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Цели" sheetId="1" r:id="rId4"/>
    <sheet state="visible" name="Аналитика" sheetId="2" r:id="rId5"/>
    <sheet state="visible" name="Расчёты" sheetId="3" r:id="rId6"/>
    <sheet state="visible" name="Бюджет" sheetId="4" r:id="rId7"/>
    <sheet state="visible" name="Последовательность расчётов" sheetId="5" r:id="rId8"/>
    <sheet state="hidden" name="Решение" sheetId="6" r:id="rId9"/>
  </sheets>
  <definedNames/>
  <calcPr/>
  <extLst>
    <ext uri="GoogleSheetsCustomDataVersion2">
      <go:sheetsCustomData xmlns:go="http://customooxmlschemas.google.com/" r:id="rId10" roundtripDataChecksum="sl4BDcm6Cwvl776+d4WYoQv8fJ4Hdt8iOl2uua5hCwc="/>
    </ext>
  </extLst>
</workbook>
</file>

<file path=xl/sharedStrings.xml><?xml version="1.0" encoding="utf-8"?>
<sst xmlns="http://schemas.openxmlformats.org/spreadsheetml/2006/main" count="777" uniqueCount="263">
  <si>
    <t>Таблица 1. Цели 2026–2027</t>
  </si>
  <si>
    <t>Подсказку?</t>
  </si>
  <si>
    <t>Community</t>
  </si>
  <si>
    <t>Education</t>
  </si>
  <si>
    <t>Итого новые направления</t>
  </si>
  <si>
    <t>Да</t>
  </si>
  <si>
    <t>Неоцифрованные</t>
  </si>
  <si>
    <t>Создать сообщество с большим количеством активных пользователей</t>
  </si>
  <si>
    <t>Создать базу квалифицированных разработчиков, которые потенциально смогут работать в Kihi</t>
  </si>
  <si>
    <t>Нет</t>
  </si>
  <si>
    <t>Самоокупаемость к концу 2027 года</t>
  </si>
  <si>
    <t>Финансовые показатели, тыс. руб.</t>
  </si>
  <si>
    <t>Выручка</t>
  </si>
  <si>
    <t>Прирост год к году, %</t>
  </si>
  <si>
    <t>Чистая прибыль</t>
  </si>
  <si>
    <t>Чистая прибыль, %</t>
  </si>
  <si>
    <t>Таблица 2. Рыночная цена аналогов, руб.</t>
  </si>
  <si>
    <t>Таблица 6. Ожидаемое количество новых пользователей, чел.</t>
  </si>
  <si>
    <t>Таблица 8. Прочие вводные</t>
  </si>
  <si>
    <t>Ежегодная индексация ЗП</t>
  </si>
  <si>
    <t xml:space="preserve">Первый месяц </t>
  </si>
  <si>
    <t>Фритрек (недельный)</t>
  </si>
  <si>
    <t>В первый месяц</t>
  </si>
  <si>
    <t>Ожидаемая инфляция 27/26</t>
  </si>
  <si>
    <t>Подписка на месяц</t>
  </si>
  <si>
    <t>Полная оплата годового курса</t>
  </si>
  <si>
    <t>Ежемесячный прирост</t>
  </si>
  <si>
    <t>Аренда помещения под 20–25 человек, тыс. руб./мес.</t>
  </si>
  <si>
    <t>Пакет на 3 месяца</t>
  </si>
  <si>
    <t>Оплата курса 2 траншами</t>
  </si>
  <si>
    <t>Ограничения</t>
  </si>
  <si>
    <t>нет</t>
  </si>
  <si>
    <t>Не более 30 человек на одного куратора (фритрек не сопровождается куратором)</t>
  </si>
  <si>
    <t>Закупка мебели, тыс. руб.</t>
  </si>
  <si>
    <t>Пакет на 6 месяцев</t>
  </si>
  <si>
    <t>Оплата курса 3 траншами</t>
  </si>
  <si>
    <t>Сезонность (дополнительный прирост в летние месяцы к ежемесячному приросту)</t>
  </si>
  <si>
    <t>Закупка оборудования (компьютеры, мыши, клавиатуры), тыс. руб./чел.</t>
  </si>
  <si>
    <t>Пакет на 12 месяцев</t>
  </si>
  <si>
    <t>Оплата курса помесячно</t>
  </si>
  <si>
    <t>Непредвиденные расходы</t>
  </si>
  <si>
    <t>1% от всех расходов</t>
  </si>
  <si>
    <t>Таблица 7. Ожидаемый уровень проникновения продаж</t>
  </si>
  <si>
    <t>Стоимость ДМС на 1 чел./мес., тыс. руб.</t>
  </si>
  <si>
    <t>Таблица 3. Стоимость и время аутсорс-разработки «под ключ», тыс. руб.</t>
  </si>
  <si>
    <t>Лицензия 1С для 1 ПК/год, тыс. руб.</t>
  </si>
  <si>
    <t>Стоимость</t>
  </si>
  <si>
    <t>Время</t>
  </si>
  <si>
    <t>Полная оплата курса</t>
  </si>
  <si>
    <t>Лицензия MS Office для 1 ПК/год, тыс. руб.</t>
  </si>
  <si>
    <t>релиз — 10.01.26</t>
  </si>
  <si>
    <t>Лицензия Miro для 1 ПК/год, тыс. руб.</t>
  </si>
  <si>
    <t>релиз — 15.01.26</t>
  </si>
  <si>
    <t>Лицензия Jira для 1 ПК/год, тыс. руб.</t>
  </si>
  <si>
    <t>Софт для разработки комьюнити-платформы  1 ПК/год, тыс. руб.</t>
  </si>
  <si>
    <t>Таблица 4. Рыночные ежемесячные расходы на рекламу, тыс. руб.</t>
  </si>
  <si>
    <t>Софт для разработки  обучающей платформы  1 ПК/год, тыс. руб.</t>
  </si>
  <si>
    <t>SEO</t>
  </si>
  <si>
    <t>SMM</t>
  </si>
  <si>
    <t>PPC</t>
  </si>
  <si>
    <t>App ads</t>
  </si>
  <si>
    <t>Email-рассылка</t>
  </si>
  <si>
    <t>Контент-маркетинг</t>
  </si>
  <si>
    <t>Таблица 5. Рыночная ЗП поддерживающего персонала в мес., тыс. руб.</t>
  </si>
  <si>
    <t>Producr Owner</t>
  </si>
  <si>
    <t>Модератор</t>
  </si>
  <si>
    <t>Куратор</t>
  </si>
  <si>
    <t>Инженер тех. поддержки</t>
  </si>
  <si>
    <t>Контент-мейкер</t>
  </si>
  <si>
    <t>Бухгалтер (на два проекта)</t>
  </si>
  <si>
    <t>Таблица 9. Количество дней в периоде, шт.</t>
  </si>
  <si>
    <t>Допущения</t>
  </si>
  <si>
    <t>янв.26</t>
  </si>
  <si>
    <t>фев.26</t>
  </si>
  <si>
    <t>мар.26</t>
  </si>
  <si>
    <t>апр.26</t>
  </si>
  <si>
    <t>июн.26</t>
  </si>
  <si>
    <t>июл.26</t>
  </si>
  <si>
    <t>авг.26</t>
  </si>
  <si>
    <t>сент.26</t>
  </si>
  <si>
    <t>окт.26</t>
  </si>
  <si>
    <t>ноя.26</t>
  </si>
  <si>
    <t>дек.26</t>
  </si>
  <si>
    <t>янв.27</t>
  </si>
  <si>
    <t>фев.27</t>
  </si>
  <si>
    <t>мар.27</t>
  </si>
  <si>
    <t>апр.27</t>
  </si>
  <si>
    <t>июн.27</t>
  </si>
  <si>
    <t>июл.27</t>
  </si>
  <si>
    <t>авг.27</t>
  </si>
  <si>
    <t>сент.27</t>
  </si>
  <si>
    <t>окт.27</t>
  </si>
  <si>
    <t>ноя.27</t>
  </si>
  <si>
    <t>дек.27</t>
  </si>
  <si>
    <t>Таблица 10. Выручка, тыс. руб.</t>
  </si>
  <si>
    <t>Фритрек</t>
  </si>
  <si>
    <t>Таблица 10.1. Количество пользователей, чел.</t>
  </si>
  <si>
    <t>- Лояльность клиентов 100% (купленные подписки всегда продлеваются, все студенты проходят полный курс обучения)
- Стоимость подписки ближайшие два года без повышения</t>
  </si>
  <si>
    <t>Таблица 10.2. Стоимость подписки в мес., руб.</t>
  </si>
  <si>
    <t>Таблица 11. Расходы на аутсорс-разработку «под ключ», тыс. руб.</t>
  </si>
  <si>
    <t>- Стоимость разработки распределена на 2 года (на период выхода в «0»)</t>
  </si>
  <si>
    <t>Таблица 12. Расходы на поддерживающий персонал, тыс. руб.</t>
  </si>
  <si>
    <t>- В расчёт не заложены премии (считаем, что на первоначальном этапе система премирования под вопросом)</t>
  </si>
  <si>
    <t>Бухгалтер</t>
  </si>
  <si>
    <t>Таблица 12.1. Оклад штатной единицы, тыс. руб.</t>
  </si>
  <si>
    <t>Таблица 12.2. Количество штатных единиц, чел.</t>
  </si>
  <si>
    <t>Таблица 12.3. ДМС штатной единицы, тыс. руб.</t>
  </si>
  <si>
    <t>- Без учёта инфляции (считаем, что договор ДМС заключён на 2 года)</t>
  </si>
  <si>
    <t>Таблица 12.4. Отпускные штатной единицы, тыс. руб.</t>
  </si>
  <si>
    <t>Таблица 12.5. Страховые взносы штатной единицы, тыс. руб.</t>
  </si>
  <si>
    <t>Таблица 13. Расходы на аренду, тыс. руб.</t>
  </si>
  <si>
    <t>- Расходы на мебель распределены на 2 года (на период выхода в «0»)</t>
  </si>
  <si>
    <t>Всего</t>
  </si>
  <si>
    <t>Аренда</t>
  </si>
  <si>
    <t>Закупка мебели</t>
  </si>
  <si>
    <t>Таблица 14. Расходы на маркетинг и рекламу, тыс. руб.</t>
  </si>
  <si>
    <t>Таблица 15: Расходы на оборудование, тыс.руб.</t>
  </si>
  <si>
    <t>- Расходы на оборудование распределены на 2 года (на период выхода в "0")</t>
  </si>
  <si>
    <t>Бухгалтерия</t>
  </si>
  <si>
    <t>Таблица 16. Расходы на лицензии и софт, тыс. руб.</t>
  </si>
  <si>
    <t>MS Office</t>
  </si>
  <si>
    <t>Miro</t>
  </si>
  <si>
    <t>Jira</t>
  </si>
  <si>
    <t>Доп. софт для разработки комьюнити-платформы</t>
  </si>
  <si>
    <t>Доп. софт для разработки обучающей платформы</t>
  </si>
  <si>
    <t>1С</t>
  </si>
  <si>
    <t>Таблица 17. Бюджет доходов и расходов 2026–2027, тыс. руб.</t>
  </si>
  <si>
    <t>Итого новые проекты</t>
  </si>
  <si>
    <t>Себестоимость</t>
  </si>
  <si>
    <t xml:space="preserve">Валовая прибыль </t>
  </si>
  <si>
    <t>Валовая прибыль, %</t>
  </si>
  <si>
    <t>Операционные расходы</t>
  </si>
  <si>
    <t>Расходы на персонал</t>
  </si>
  <si>
    <t>Реклама и маркетинг</t>
  </si>
  <si>
    <t>Оборудование, лицензии и ПО</t>
  </si>
  <si>
    <t>Прочие и непредвиденные расходы</t>
  </si>
  <si>
    <t>Операционная прибыль</t>
  </si>
  <si>
    <t>Операционная прибыль, %</t>
  </si>
  <si>
    <t>Налог на прибыль</t>
  </si>
  <si>
    <t>Последовательность расчётов</t>
  </si>
  <si>
    <t>Лист «Расчёты»</t>
  </si>
  <si>
    <t>[1]</t>
  </si>
  <si>
    <t>Рассчитать ожидаемое количество пользователей — таблица 10.1</t>
  </si>
  <si>
    <t>[2]</t>
  </si>
  <si>
    <t>Рассчитать стоимость подписки — таблица 10.2</t>
  </si>
  <si>
    <t>[3]</t>
  </si>
  <si>
    <t>Рассчитать выручку — таблица 10</t>
  </si>
  <si>
    <t>[4]</t>
  </si>
  <si>
    <t>Рассчитать расходы на аутсорс-разработку «под ключ» — таблица 11</t>
  </si>
  <si>
    <t>[5]</t>
  </si>
  <si>
    <t>Рассчитать оклады штатных единиц — таблица 12.1</t>
  </si>
  <si>
    <t>[6]</t>
  </si>
  <si>
    <t>Рассчитать количество штатных единиц — таблица 12.2</t>
  </si>
  <si>
    <t>[7]</t>
  </si>
  <si>
    <t>Рассчитать ДМС - таблица 12.3</t>
  </si>
  <si>
    <t>[8]</t>
  </si>
  <si>
    <t>Рассчитать отпускные - таблица 12.4</t>
  </si>
  <si>
    <t>[9]</t>
  </si>
  <si>
    <t>Рассчитать страховые взносы - таблица 12.5</t>
  </si>
  <si>
    <t>[10]</t>
  </si>
  <si>
    <t>Рассчитать расходы на поддерживающий персонал — таблица 12</t>
  </si>
  <si>
    <t>[11]</t>
  </si>
  <si>
    <t>Рассчитать расходы на аренду — таблица 13</t>
  </si>
  <si>
    <t>[12]</t>
  </si>
  <si>
    <t>Рассчитать расходы на маркетинг и рекламу — таблица 14</t>
  </si>
  <si>
    <t>[13]</t>
  </si>
  <si>
    <t>Рассчитать расходы на оборудование — таблица 15</t>
  </si>
  <si>
    <t>[14]</t>
  </si>
  <si>
    <t>Рассчитать расходы на лицензии и софт — таблица 16</t>
  </si>
  <si>
    <t>Лист «Бюджет»</t>
  </si>
  <si>
    <t>[15]</t>
  </si>
  <si>
    <t>Заполнить последовательно все показатели БДР — таблица 17</t>
  </si>
  <si>
    <t>Лист «Цели»</t>
  </si>
  <si>
    <t>[16]</t>
  </si>
  <si>
    <t>Заполнить последовательно все финансовые показатели — таблица 1</t>
  </si>
  <si>
    <t>Таблица 1: Отчёт о прибылях и убытках за год, тыс.руб.</t>
  </si>
  <si>
    <t>Таблица 2: Управленческий баланс, тыс.руб.</t>
  </si>
  <si>
    <t>Показатель</t>
  </si>
  <si>
    <t>Значение</t>
  </si>
  <si>
    <t>Вывод</t>
  </si>
  <si>
    <t>Формула</t>
  </si>
  <si>
    <t>31.12.23</t>
  </si>
  <si>
    <t>31.12.22</t>
  </si>
  <si>
    <t>АКТИВЫ</t>
  </si>
  <si>
    <t>Показатели рентабельности</t>
  </si>
  <si>
    <t>реклама</t>
  </si>
  <si>
    <t>Внеоборотные активы:</t>
  </si>
  <si>
    <t>Рентабельность продаж по валовой прибыли</t>
  </si>
  <si>
    <t>Показатели рентабельности Kihi в 2023 году немного снизились по сравнению с 2022 годом. Однако сохраняются на достаточно хоршем уровне.</t>
  </si>
  <si>
    <t>Валовая прибыль / Выручка * 100%</t>
  </si>
  <si>
    <t>внутриигровые транзакции</t>
  </si>
  <si>
    <t>Основные средства</t>
  </si>
  <si>
    <t>Рентабельность продаж по EBITDA</t>
  </si>
  <si>
    <t>EBITDA / Выручка * 100%</t>
  </si>
  <si>
    <t>процент с продаж</t>
  </si>
  <si>
    <t>Нематериальные активы</t>
  </si>
  <si>
    <t>Рентабельность продаж по чистой прибыли</t>
  </si>
  <si>
    <t>Чистая прибыль / Выручка * 100%</t>
  </si>
  <si>
    <t>разработка под ключ</t>
  </si>
  <si>
    <t>Долгосрочные финансовые вложения</t>
  </si>
  <si>
    <t>Рентабельность затрат (ROCS)</t>
  </si>
  <si>
    <t>Чистая прибыль / Расходы * 100%</t>
  </si>
  <si>
    <t> </t>
  </si>
  <si>
    <t>Рентабельность собственного капитала (ROE)</t>
  </si>
  <si>
    <t>Рентабельность капитала выросла - это хорошо, доходность бизнеса растёт.</t>
  </si>
  <si>
    <t>Чистая прибыль / Собственный капитал</t>
  </si>
  <si>
    <t>разработка</t>
  </si>
  <si>
    <t>Оборотные активы:</t>
  </si>
  <si>
    <t>Рентабельность активов (ROA)</t>
  </si>
  <si>
    <t>Рентабельность активов растёт - отлично, значит, Kihi эффективно использует ресурсы в своих процессах.</t>
  </si>
  <si>
    <t>Чистая прибыль / Стоимость активов * 100%</t>
  </si>
  <si>
    <t>комиссии плаёжных систем</t>
  </si>
  <si>
    <t>Запасы</t>
  </si>
  <si>
    <t>Показатели деловой активности</t>
  </si>
  <si>
    <t>Валовая прибыль (маржинальный доход)</t>
  </si>
  <si>
    <t>Дебиторская задолженность</t>
  </si>
  <si>
    <t>Оборачиваемость кредиторской задолженности</t>
  </si>
  <si>
    <t>В среднем Kihi оплачивал счета поставщикам через 23 дня</t>
  </si>
  <si>
    <t>(Среднее арифметическое значение кредиторской задолженности / Себестоимость продукции в августе) * Количество дней в периоде</t>
  </si>
  <si>
    <t>Краткосрочные финансовые вложения</t>
  </si>
  <si>
    <t>Оборачиваемость запасов</t>
  </si>
  <si>
    <t>В среднем в 2023 году запасы в Kihi обновлялись каждые 4 дня</t>
  </si>
  <si>
    <t>(Среднее арифметическое значение запасов / Себестоимость) * Количество дней в периоде</t>
  </si>
  <si>
    <t>Авансы выданные</t>
  </si>
  <si>
    <t>Показатели ликвидности и платежеспособности</t>
  </si>
  <si>
    <t>Денежные средства</t>
  </si>
  <si>
    <t>Коэффициент текущей ликвидности</t>
  </si>
  <si>
    <t>Показатель больше 2 - это говорит о том, что текущие обязательства обеспечены оборотными активами в достаточной мере</t>
  </si>
  <si>
    <t>Оборотные активы / Краткосрочные обязательства</t>
  </si>
  <si>
    <t>Коэффициент срочной ликвидности</t>
  </si>
  <si>
    <t>Показатель больше 1, значит в ближайшей перспективе при любых обстоятельствах компания способна расплатиться по своим долгам</t>
  </si>
  <si>
    <t>(Денежные Средства + Финансовые вложения + Дебиторская задолженность) / Краткосрочные обязательства</t>
  </si>
  <si>
    <t>Оборудование и софт</t>
  </si>
  <si>
    <t>ПАССИВЫ</t>
  </si>
  <si>
    <t>Коэффициент мгновенной ликвидности</t>
  </si>
  <si>
    <t>Показатель больше 0.2 - это хороший показатель, говорит о том, что компания может погасить большую часть долгов прямо сейчас</t>
  </si>
  <si>
    <t>Денежные средства / Краткосрочные обязательства</t>
  </si>
  <si>
    <t>Прочие расходы</t>
  </si>
  <si>
    <t>Капитал и резервы</t>
  </si>
  <si>
    <t>Показатели финансовой устойчивости компании</t>
  </si>
  <si>
    <t>EBITDA</t>
  </si>
  <si>
    <t>Уставный капитал</t>
  </si>
  <si>
    <t>Коэффициент финансовой независимости</t>
  </si>
  <si>
    <t>Показатель больше 0.6 - это хорошо, компания не особо зависит от сторонних кредитов</t>
  </si>
  <si>
    <t xml:space="preserve">Собственный Капитал / Активы </t>
  </si>
  <si>
    <t>Резервный капитал</t>
  </si>
  <si>
    <t>Коэффициент финансовой устойчивости</t>
  </si>
  <si>
    <t>Показатель говорит о том, что большая часть активов компании сформирована за счёт долгосрочных источников финансирования, а это хорошо.</t>
  </si>
  <si>
    <t>(Собственный Капитал + Долгосрочные Обязательства) / Активы</t>
  </si>
  <si>
    <t>Нераспределенная прибыль</t>
  </si>
  <si>
    <t>Коэффициент обеспеченности собственными оборотными средствами</t>
  </si>
  <si>
    <t>Показатель больше 0.1 - это хорошо. У Kihi достаточно собственных оборотных средств, необходимых для финансовой устойчивости.</t>
  </si>
  <si>
    <t>(Оборотные активы – Краткосрочные обязательства) / Оборотные активы</t>
  </si>
  <si>
    <t>Коэффициент маневренности собственного капитала</t>
  </si>
  <si>
    <t>Показатель больше 0.2 - хороший результат, большая часть собственного капитала используется для финансирования текущей деятельности</t>
  </si>
  <si>
    <t>(Оборотные активы – Краткосрочные обязательства) / Собственный Капитал</t>
  </si>
  <si>
    <t>Долгосрочные обязательства</t>
  </si>
  <si>
    <t>Общий вывод</t>
  </si>
  <si>
    <t>Долгосрочные кредиты и займы</t>
  </si>
  <si>
    <t>В целом у Kihi отличные показатели рентабельности, деловой активности, ликвидности, платежеспособности и финансовой устойчивости. Всё говорит о том, что бизнес развивается и готов к расширению.</t>
  </si>
  <si>
    <t>Краткосрочные обязательства</t>
  </si>
  <si>
    <t>Кредиторская задолженность по расчётам с бюджетом</t>
  </si>
  <si>
    <t>Кредиторская задолженность по расчётам с персоналом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</si>
</sst>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_-* #,##0_-;\-* #,##0_-;_-* &quot;-&quot;??_-;_-@"/>
    <numFmt numFmtId="166" formatCode="0.0"/>
    <numFmt numFmtId="167" formatCode="0.000"/>
    <numFmt numFmtId="168" formatCode="#,##0,"/>
    <numFmt numFmtId="169" formatCode="#,##0.0,"/>
    <numFmt numFmtId="170" formatCode="_-* #,##0.0_-;\-* #,##0.0_-;_-* &quot;-&quot;??_-;_-@"/>
    <numFmt numFmtId="171" formatCode="0.0000000%"/>
  </numFmts>
  <fonts count="17">
    <font>
      <sz val="11.0"/>
      <color theme="1"/>
      <name val="Calibri"/>
      <scheme val="minor"/>
    </font>
    <font>
      <b/>
      <sz val="12.0"/>
      <color rgb="FF000000"/>
      <name val="Roboto"/>
    </font>
    <font>
      <b/>
      <sz val="11.0"/>
      <color rgb="FF000000"/>
      <name val="Roboto"/>
    </font>
    <font>
      <b/>
      <sz val="14.0"/>
      <color theme="1"/>
      <name val="Roboto"/>
    </font>
    <font>
      <b/>
      <sz val="11.0"/>
      <color theme="1"/>
      <name val="Roboto"/>
    </font>
    <font/>
    <font>
      <sz val="11.0"/>
      <color theme="0"/>
      <name val="Roboto"/>
    </font>
    <font>
      <sz val="11.0"/>
      <color rgb="FF000000"/>
      <name val="Roboto"/>
    </font>
    <font>
      <sz val="11.0"/>
      <color theme="1"/>
      <name val="Calibri"/>
    </font>
    <font>
      <sz val="11.0"/>
      <color theme="1"/>
      <name val="Roboto"/>
    </font>
    <font>
      <b/>
      <sz val="10.0"/>
      <color rgb="FF000000"/>
      <name val="Roboto"/>
    </font>
    <font>
      <sz val="10.0"/>
      <color rgb="FF000000"/>
      <name val="Roboto"/>
    </font>
    <font>
      <b/>
      <sz val="14.0"/>
      <color rgb="FF000000"/>
      <name val="Roboto"/>
    </font>
    <font>
      <sz val="14.0"/>
      <color theme="1"/>
      <name val="Calibri"/>
    </font>
    <font>
      <sz val="12.0"/>
      <color theme="1"/>
      <name val="Calibri"/>
    </font>
    <font>
      <b/>
      <sz val="12.0"/>
      <color theme="1"/>
      <name val="Roboto"/>
    </font>
    <font>
      <sz val="8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99C2E5"/>
        <bgColor rgb="FF99C2E5"/>
      </patternFill>
    </fill>
    <fill>
      <patternFill patternType="solid">
        <fgColor rgb="FFE3C3AA"/>
        <bgColor rgb="FFE3C3AA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F2E2D6"/>
        <bgColor rgb="FFF2E2D6"/>
      </patternFill>
    </fill>
  </fills>
  <borders count="79">
    <border/>
    <border>
      <bottom style="medium">
        <color theme="1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right style="thin">
        <color rgb="FFD8D8D8"/>
      </right>
    </border>
    <border>
      <left style="thin">
        <color rgb="FFD8D8D8"/>
      </left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top style="thin">
        <color rgb="FFD8D8D8"/>
      </top>
    </border>
    <border>
      <left style="medium">
        <color rgb="FFFF7E29"/>
      </left>
      <right style="thin">
        <color rgb="FFD8D8D8"/>
      </right>
      <top style="medium">
        <color rgb="FFFF7E29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medium">
        <color rgb="FFFF7E29"/>
      </top>
      <bottom style="thin">
        <color rgb="FFD8D8D8"/>
      </bottom>
    </border>
    <border>
      <left style="thin">
        <color rgb="FFD8D8D8"/>
      </left>
      <right style="medium">
        <color rgb="FFFF7E29"/>
      </right>
      <top style="medium">
        <color rgb="FFFF7E29"/>
      </top>
      <bottom style="thin">
        <color rgb="FFD8D8D8"/>
      </bottom>
    </border>
    <border>
      <left style="medium">
        <color rgb="FFFF7E29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medium">
        <color rgb="FFFF7E29"/>
      </right>
      <top style="thin">
        <color rgb="FFD8D8D8"/>
      </top>
      <bottom style="thin">
        <color rgb="FFD8D8D8"/>
      </bottom>
    </border>
    <border>
      <top style="thin">
        <color rgb="FFD8D8D8"/>
      </top>
    </border>
    <border>
      <left style="medium">
        <color rgb="FFFF7E29"/>
      </left>
      <right style="thin">
        <color rgb="FFD8D8D8"/>
      </right>
      <top style="thin">
        <color rgb="FFD8D8D8"/>
      </top>
      <bottom style="medium">
        <color rgb="FFFF7E29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FF7E29"/>
      </bottom>
    </border>
    <border>
      <left style="thin">
        <color rgb="FFD8D8D8"/>
      </left>
      <right style="medium">
        <color rgb="FFFF7E29"/>
      </right>
      <top style="thin">
        <color rgb="FFD8D8D8"/>
      </top>
      <bottom style="medium">
        <color rgb="FFFF7E29"/>
      </bottom>
    </border>
    <border>
      <right style="thin">
        <color rgb="FFD8D8D8"/>
      </right>
      <top style="thin">
        <color rgb="FFD8D8D8"/>
      </top>
    </border>
    <border>
      <left/>
      <right style="thin">
        <color rgb="FFD8D8D8"/>
      </right>
      <top/>
      <bottom style="medium">
        <color theme="1"/>
      </bottom>
    </border>
    <border>
      <left style="thin">
        <color rgb="FFD8D8D8"/>
      </left>
      <right style="thin">
        <color rgb="FFD8D8D8"/>
      </right>
      <top/>
      <bottom style="medium">
        <color theme="1"/>
      </bottom>
    </border>
    <border>
      <left style="thin">
        <color rgb="FFD8D8D8"/>
      </left>
      <right/>
      <top/>
      <bottom style="medium">
        <color theme="1"/>
      </bottom>
    </border>
    <border>
      <left style="thin">
        <color rgb="FFD8D8D8"/>
      </left>
      <right style="thin">
        <color rgb="FFD8D8D8"/>
      </right>
      <bottom style="medium">
        <color rgb="FFD8D8D8"/>
      </bottom>
    </border>
    <border>
      <left style="thin">
        <color rgb="FFD8D8D8"/>
      </left>
      <bottom style="medium">
        <color rgb="FFD8D8D8"/>
      </bottom>
    </border>
    <border>
      <top/>
      <bottom/>
    </border>
    <border>
      <left style="thin">
        <color rgb="FFD8D8D8"/>
      </left>
      <right/>
      <top style="medium">
        <color rgb="FFFF7E29"/>
      </top>
      <bottom style="thin">
        <color rgb="FFD8D8D8"/>
      </bottom>
    </border>
    <border>
      <left/>
      <right style="thin">
        <color rgb="FFD8D8D8"/>
      </right>
      <top/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/>
    </border>
    <border>
      <left style="thin">
        <color rgb="FFD8D8D8"/>
      </left>
      <right/>
      <top style="thin">
        <color rgb="FFD8D8D8"/>
      </top>
      <bottom/>
    </border>
    <border>
      <left style="thin">
        <color rgb="FFD8D8D8"/>
      </left>
      <right style="medium">
        <color rgb="FFFF7E29"/>
      </right>
      <top style="thin">
        <color rgb="FFD8D8D8"/>
      </top>
      <bottom/>
    </border>
    <border>
      <left style="medium">
        <color rgb="FFFF7E29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/>
      <top/>
      <bottom style="thin">
        <color rgb="FFD8D8D8"/>
      </bottom>
    </border>
    <border>
      <left style="thin">
        <color rgb="FFD8D8D8"/>
      </left>
      <right style="medium">
        <color rgb="FFFF7E29"/>
      </right>
      <top/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medium">
        <color rgb="FFFF7E29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FF7E29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medium">
        <color rgb="FFFF7E29"/>
      </left>
      <right style="thin">
        <color rgb="FFD8D8D8"/>
      </right>
      <top/>
      <bottom style="medium">
        <color rgb="FFFF7E29"/>
      </bottom>
    </border>
    <border>
      <left style="thin">
        <color rgb="FFD8D8D8"/>
      </left>
      <right style="thin">
        <color rgb="FFD8D8D8"/>
      </right>
      <top/>
      <bottom style="medium">
        <color rgb="FFFF7E29"/>
      </bottom>
    </border>
    <border>
      <left style="thin">
        <color rgb="FFD8D8D8"/>
      </left>
      <right/>
      <top/>
      <bottom style="medium">
        <color rgb="FFFF7E29"/>
      </bottom>
    </border>
    <border>
      <left style="thin">
        <color rgb="FFD8D8D8"/>
      </left>
      <right style="medium">
        <color rgb="FFFF7E29"/>
      </right>
      <top/>
      <bottom style="medium">
        <color rgb="FFFF7E29"/>
      </bottom>
    </border>
    <border>
      <left style="thin">
        <color rgb="FFD8D8D8"/>
      </left>
      <right style="thin">
        <color rgb="FFD8D8D8"/>
      </right>
      <top style="medium">
        <color rgb="FFFF7E29"/>
      </top>
      <bottom/>
    </border>
    <border>
      <left style="medium">
        <color rgb="FFFF7E29"/>
      </left>
      <right/>
      <top style="thin">
        <color rgb="FFD8D8D8"/>
      </top>
      <bottom style="thin">
        <color rgb="FFD8D8D8"/>
      </bottom>
    </border>
    <border>
      <left style="hair">
        <color rgb="FF000000"/>
      </left>
      <right/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medium">
        <color rgb="FFFF7E29"/>
      </left>
      <right/>
      <top/>
      <bottom style="medium">
        <color rgb="FFFF7E29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theme="5"/>
      </bottom>
    </border>
    <border>
      <left/>
      <right/>
      <top/>
      <bottom style="medium">
        <color rgb="FFFF7E29"/>
      </bottom>
    </border>
    <border>
      <left style="medium">
        <color rgb="FFFF7E29"/>
      </left>
      <right style="thin">
        <color rgb="FFD8D8D8"/>
      </right>
      <top style="medium">
        <color rgb="FFFF7E29"/>
      </top>
      <bottom/>
    </border>
    <border>
      <left style="thin">
        <color rgb="FFD8D8D8"/>
      </left>
      <right/>
      <top style="medium">
        <color rgb="FFFF7E29"/>
      </top>
      <bottom/>
    </border>
    <border>
      <left style="thin">
        <color rgb="FFD8D8D8"/>
      </left>
      <right style="medium">
        <color rgb="FFFF7E29"/>
      </right>
      <top style="medium">
        <color rgb="FFFF7E29"/>
      </top>
      <bottom/>
    </border>
    <border>
      <left/>
      <right/>
      <top/>
      <bottom style="thin">
        <color rgb="FFD8D8D8"/>
      </bottom>
    </border>
    <border>
      <left style="medium">
        <color theme="5"/>
      </left>
      <right style="thin">
        <color rgb="FFD8D8D8"/>
      </right>
      <top style="hair">
        <color rgb="FF000000"/>
      </top>
      <bottom style="thin">
        <color rgb="FFD8D8D8"/>
      </bottom>
    </border>
    <border>
      <left/>
      <right/>
      <top/>
      <bottom style="medium">
        <color theme="1"/>
      </bottom>
    </border>
    <border>
      <bottom style="thin">
        <color rgb="FFD8D8D8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0" fontId="5" numFmtId="0" xfId="0" applyBorder="1" applyFont="1"/>
    <xf borderId="2" fillId="4" fontId="4" numFmtId="0" xfId="0" applyAlignment="1" applyBorder="1" applyFill="1" applyFont="1">
      <alignment horizontal="center" vertical="center"/>
    </xf>
    <xf borderId="2" fillId="5" fontId="6" numFmtId="0" xfId="0" applyBorder="1" applyFill="1" applyFont="1"/>
    <xf borderId="5" fillId="0" fontId="2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8" fillId="0" fontId="8" numFmtId="0" xfId="0" applyAlignment="1" applyBorder="1" applyFont="1">
      <alignment vertical="center"/>
    </xf>
    <xf borderId="6" fillId="0" fontId="8" numFmtId="2" xfId="0" applyAlignment="1" applyBorder="1" applyFont="1" applyNumberFormat="1">
      <alignment vertical="center"/>
    </xf>
    <xf borderId="9" fillId="0" fontId="7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12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14" fillId="0" fontId="8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15" fillId="0" fontId="9" numFmtId="3" xfId="0" applyAlignment="1" applyBorder="1" applyFont="1" applyNumberFormat="1">
      <alignment vertical="center"/>
    </xf>
    <xf borderId="16" fillId="0" fontId="9" numFmtId="3" xfId="0" applyAlignment="1" applyBorder="1" applyFont="1" applyNumberFormat="1">
      <alignment vertical="center"/>
    </xf>
    <xf borderId="17" fillId="0" fontId="9" numFmtId="3" xfId="0" applyAlignment="1" applyBorder="1" applyFont="1" applyNumberFormat="1">
      <alignment vertical="center"/>
    </xf>
    <xf borderId="0" fillId="0" fontId="9" numFmtId="0" xfId="0" applyAlignment="1" applyFont="1">
      <alignment horizontal="center"/>
    </xf>
    <xf borderId="0" fillId="0" fontId="9" numFmtId="0" xfId="0" applyFont="1"/>
    <xf borderId="18" fillId="0" fontId="9" numFmtId="164" xfId="0" applyAlignment="1" applyBorder="1" applyFont="1" applyNumberFormat="1">
      <alignment vertical="center"/>
    </xf>
    <xf borderId="12" fillId="0" fontId="9" numFmtId="164" xfId="0" applyAlignment="1" applyBorder="1" applyFont="1" applyNumberFormat="1">
      <alignment vertical="center"/>
    </xf>
    <xf borderId="19" fillId="0" fontId="9" numFmtId="164" xfId="0" applyAlignment="1" applyBorder="1" applyFont="1" applyNumberFormat="1">
      <alignment vertical="center"/>
    </xf>
    <xf borderId="18" fillId="0" fontId="9" numFmtId="3" xfId="0" applyAlignment="1" applyBorder="1" applyFont="1" applyNumberFormat="1">
      <alignment vertical="center"/>
    </xf>
    <xf borderId="12" fillId="0" fontId="9" numFmtId="3" xfId="0" applyAlignment="1" applyBorder="1" applyFont="1" applyNumberFormat="1">
      <alignment vertical="center"/>
    </xf>
    <xf borderId="19" fillId="0" fontId="9" numFmtId="3" xfId="0" applyAlignment="1" applyBorder="1" applyFont="1" applyNumberFormat="1">
      <alignment vertical="center"/>
    </xf>
    <xf borderId="20" fillId="0" fontId="7" numFmtId="0" xfId="0" applyAlignment="1" applyBorder="1" applyFont="1">
      <alignment vertical="center"/>
    </xf>
    <xf borderId="21" fillId="0" fontId="9" numFmtId="164" xfId="0" applyAlignment="1" applyBorder="1" applyFont="1" applyNumberFormat="1">
      <alignment vertical="center"/>
    </xf>
    <xf borderId="22" fillId="0" fontId="9" numFmtId="164" xfId="0" applyAlignment="1" applyBorder="1" applyFont="1" applyNumberFormat="1">
      <alignment vertical="center"/>
    </xf>
    <xf borderId="23" fillId="0" fontId="9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2" fillId="3" fontId="1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2" fillId="3" fontId="10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2" fillId="3" fontId="2" numFmtId="0" xfId="0" applyAlignment="1" applyBorder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2" fillId="6" fontId="4" numFmtId="0" xfId="0" applyAlignment="1" applyBorder="1" applyFont="1">
      <alignment horizontal="left" vertical="center"/>
    </xf>
    <xf borderId="2" fillId="6" fontId="4" numFmtId="0" xfId="0" applyAlignment="1" applyBorder="1" applyFont="1">
      <alignment horizontal="center" vertical="center"/>
    </xf>
    <xf borderId="2" fillId="6" fontId="4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6" fillId="0" fontId="9" numFmtId="164" xfId="0" applyAlignment="1" applyBorder="1" applyFont="1" applyNumberFormat="1">
      <alignment vertical="center"/>
    </xf>
    <xf borderId="8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8" fillId="0" fontId="9" numFmtId="3" xfId="0" applyAlignment="1" applyBorder="1" applyFont="1" applyNumberFormat="1">
      <alignment vertical="center"/>
    </xf>
    <xf borderId="6" fillId="0" fontId="9" numFmtId="3" xfId="0" applyAlignment="1" applyBorder="1" applyFont="1" applyNumberFormat="1">
      <alignment vertical="center"/>
    </xf>
    <xf borderId="11" fillId="0" fontId="7" numFmtId="0" xfId="0" applyAlignment="1" applyBorder="1" applyFont="1">
      <alignment vertical="center"/>
    </xf>
    <xf borderId="9" fillId="0" fontId="9" numFmtId="164" xfId="0" applyAlignment="1" applyBorder="1" applyFont="1" applyNumberFormat="1">
      <alignment vertical="center"/>
    </xf>
    <xf borderId="12" fillId="0" fontId="7" numFmtId="0" xfId="0" applyAlignment="1" applyBorder="1" applyFont="1">
      <alignment vertical="center"/>
    </xf>
    <xf borderId="9" fillId="0" fontId="9" numFmtId="3" xfId="0" applyAlignment="1" applyBorder="1" applyFont="1" applyNumberFormat="1">
      <alignment vertical="center"/>
    </xf>
    <xf borderId="12" fillId="0" fontId="9" numFmtId="10" xfId="0" applyAlignment="1" applyBorder="1" applyFont="1" applyNumberFormat="1">
      <alignment vertical="center"/>
    </xf>
    <xf borderId="12" fillId="0" fontId="9" numFmtId="9" xfId="0" applyAlignment="1" applyBorder="1" applyFont="1" applyNumberFormat="1">
      <alignment horizontal="right" vertical="center"/>
    </xf>
    <xf borderId="12" fillId="0" fontId="9" numFmtId="9" xfId="0" applyAlignment="1" applyBorder="1" applyFont="1" applyNumberFormat="1">
      <alignment horizontal="left" vertical="center"/>
    </xf>
    <xf borderId="24" fillId="0" fontId="7" numFmtId="0" xfId="0" applyAlignment="1" applyBorder="1" applyFont="1">
      <alignment vertical="center"/>
    </xf>
    <xf borderId="13" fillId="0" fontId="9" numFmtId="9" xfId="0" applyAlignment="1" applyBorder="1" applyFont="1" applyNumberFormat="1">
      <alignment vertical="center"/>
    </xf>
    <xf borderId="14" fillId="0" fontId="9" numFmtId="9" xfId="0" applyAlignment="1" applyBorder="1" applyFont="1" applyNumberFormat="1">
      <alignment horizontal="left" vertical="center"/>
    </xf>
    <xf borderId="13" fillId="0" fontId="9" numFmtId="3" xfId="0" applyAlignment="1" applyBorder="1" applyFont="1" applyNumberFormat="1">
      <alignment vertical="center"/>
    </xf>
    <xf borderId="13" fillId="0" fontId="7" numFmtId="0" xfId="0" applyAlignment="1" applyBorder="1" applyFont="1">
      <alignment vertical="center"/>
    </xf>
    <xf borderId="14" fillId="0" fontId="9" numFmtId="3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0" fillId="0" fontId="9" numFmtId="10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0" fillId="0" fontId="9" numFmtId="3" xfId="0" applyAlignment="1" applyFont="1" applyNumberFormat="1">
      <alignment vertical="center"/>
    </xf>
    <xf borderId="9" fillId="0" fontId="7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8" fillId="0" fontId="9" numFmtId="4" xfId="0" applyAlignment="1" applyBorder="1" applyFont="1" applyNumberFormat="1">
      <alignment vertical="center"/>
    </xf>
    <xf borderId="6" fillId="0" fontId="9" numFmtId="4" xfId="0" applyAlignment="1" applyBorder="1" applyFont="1" applyNumberFormat="1">
      <alignment vertical="center"/>
    </xf>
    <xf borderId="2" fillId="6" fontId="2" numFmtId="0" xfId="0" applyAlignment="1" applyBorder="1" applyFont="1">
      <alignment vertical="center"/>
    </xf>
    <xf borderId="7" fillId="0" fontId="9" numFmtId="3" xfId="0" applyAlignment="1" applyBorder="1" applyFont="1" applyNumberFormat="1">
      <alignment vertical="center"/>
    </xf>
    <xf borderId="12" fillId="0" fontId="9" numFmtId="4" xfId="0" applyAlignment="1" applyBorder="1" applyFont="1" applyNumberFormat="1">
      <alignment vertical="center"/>
    </xf>
    <xf borderId="9" fillId="0" fontId="9" numFmtId="4" xfId="0" applyAlignment="1" applyBorder="1" applyFont="1" applyNumberFormat="1">
      <alignment vertical="center"/>
    </xf>
    <xf borderId="24" fillId="0" fontId="9" numFmtId="3" xfId="0" applyAlignment="1" applyBorder="1" applyFont="1" applyNumberFormat="1">
      <alignment vertical="center"/>
    </xf>
    <xf borderId="14" fillId="0" fontId="7" numFmtId="0" xfId="0" applyAlignment="1" applyBorder="1" applyFont="1">
      <alignment vertical="center"/>
    </xf>
    <xf borderId="13" fillId="0" fontId="9" numFmtId="4" xfId="0" applyAlignment="1" applyBorder="1" applyFont="1" applyNumberFormat="1">
      <alignment vertical="center"/>
    </xf>
    <xf borderId="14" fillId="0" fontId="9" numFmtId="4" xfId="0" applyAlignment="1" applyBorder="1" applyFont="1" applyNumberFormat="1">
      <alignment vertical="center"/>
    </xf>
    <xf borderId="0" fillId="0" fontId="8" numFmtId="0" xfId="0" applyAlignment="1" applyFont="1">
      <alignment horizontal="center" vertical="center"/>
    </xf>
    <xf borderId="2" fillId="6" fontId="8" numFmtId="0" xfId="0" applyAlignment="1" applyBorder="1" applyFont="1">
      <alignment vertical="center"/>
    </xf>
    <xf borderId="2" fillId="6" fontId="2" numFmtId="0" xfId="0" applyAlignment="1" applyBorder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11" numFmtId="0" xfId="0" applyAlignment="1" applyFont="1">
      <alignment vertical="center"/>
    </xf>
    <xf borderId="20" fillId="0" fontId="7" numFmtId="0" xfId="0" applyAlignment="1" applyBorder="1" applyFont="1">
      <alignment horizontal="center" vertical="center"/>
    </xf>
    <xf borderId="20" fillId="0" fontId="5" numFmtId="0" xfId="0" applyBorder="1" applyFont="1"/>
    <xf borderId="24" fillId="0" fontId="5" numFmtId="0" xfId="0" applyBorder="1" applyFont="1"/>
    <xf borderId="2" fillId="3" fontId="12" numFmtId="0" xfId="0" applyAlignment="1" applyBorder="1" applyFont="1">
      <alignment vertical="center"/>
    </xf>
    <xf borderId="2" fillId="3" fontId="13" numFmtId="0" xfId="0" applyAlignment="1" applyBorder="1" applyFont="1">
      <alignment vertical="center"/>
    </xf>
    <xf borderId="2" fillId="3" fontId="1" numFmtId="0" xfId="0" applyAlignment="1" applyBorder="1" applyFont="1">
      <alignment horizontal="center" vertical="center"/>
    </xf>
    <xf borderId="0" fillId="0" fontId="14" numFmtId="0" xfId="0" applyFont="1"/>
    <xf borderId="2" fillId="2" fontId="15" numFmtId="0" xfId="0" applyAlignment="1" applyBorder="1" applyFont="1">
      <alignment horizontal="center" vertical="center"/>
    </xf>
    <xf borderId="25" fillId="5" fontId="4" numFmtId="0" xfId="0" applyAlignment="1" applyBorder="1" applyFont="1">
      <alignment horizontal="center" vertical="center"/>
    </xf>
    <xf borderId="26" fillId="5" fontId="9" numFmtId="0" xfId="0" applyAlignment="1" applyBorder="1" applyFont="1">
      <alignment horizontal="center" vertical="center"/>
    </xf>
    <xf borderId="26" fillId="5" fontId="9" numFmtId="17" xfId="0" applyAlignment="1" applyBorder="1" applyFont="1" applyNumberFormat="1">
      <alignment horizontal="center" vertical="center"/>
    </xf>
    <xf borderId="26" fillId="5" fontId="4" numFmtId="0" xfId="0" applyAlignment="1" applyBorder="1" applyFont="1">
      <alignment horizontal="center" vertical="center"/>
    </xf>
    <xf borderId="27" fillId="5" fontId="4" numFmtId="0" xfId="0" applyAlignment="1" applyBorder="1" applyFont="1">
      <alignment horizontal="center" vertical="center"/>
    </xf>
    <xf borderId="28" fillId="0" fontId="9" numFmtId="3" xfId="0" applyAlignment="1" applyBorder="1" applyFont="1" applyNumberFormat="1">
      <alignment vertical="center"/>
    </xf>
    <xf borderId="29" fillId="0" fontId="4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vertical="center"/>
    </xf>
    <xf borderId="3" fillId="3" fontId="12" numFmtId="0" xfId="0" applyAlignment="1" applyBorder="1" applyFont="1">
      <alignment horizontal="center" vertical="center"/>
    </xf>
    <xf borderId="30" fillId="0" fontId="5" numFmtId="0" xfId="0" applyBorder="1" applyFont="1"/>
    <xf borderId="2" fillId="5" fontId="4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 vertical="center"/>
    </xf>
    <xf borderId="15" fillId="6" fontId="4" numFmtId="3" xfId="0" applyAlignment="1" applyBorder="1" applyFont="1" applyNumberFormat="1">
      <alignment vertical="center"/>
    </xf>
    <xf borderId="16" fillId="6" fontId="4" numFmtId="3" xfId="0" applyAlignment="1" applyBorder="1" applyFont="1" applyNumberFormat="1">
      <alignment vertical="center"/>
    </xf>
    <xf borderId="31" fillId="6" fontId="4" numFmtId="3" xfId="0" applyAlignment="1" applyBorder="1" applyFont="1" applyNumberFormat="1">
      <alignment vertical="center"/>
    </xf>
    <xf borderId="17" fillId="6" fontId="4" numFmtId="3" xfId="0" applyAlignment="1" applyBorder="1" applyFont="1" applyNumberFormat="1">
      <alignment vertical="center"/>
    </xf>
    <xf borderId="32" fillId="5" fontId="7" numFmtId="0" xfId="0" applyAlignment="1" applyBorder="1" applyFont="1">
      <alignment vertical="center"/>
    </xf>
    <xf borderId="18" fillId="5" fontId="9" numFmtId="3" xfId="0" applyAlignment="1" applyBorder="1" applyFont="1" applyNumberFormat="1">
      <alignment vertical="center"/>
    </xf>
    <xf borderId="12" fillId="5" fontId="9" numFmtId="3" xfId="0" applyAlignment="1" applyBorder="1" applyFont="1" applyNumberFormat="1">
      <alignment vertical="center"/>
    </xf>
    <xf borderId="33" fillId="5" fontId="4" numFmtId="3" xfId="0" applyAlignment="1" applyBorder="1" applyFont="1" applyNumberFormat="1">
      <alignment vertical="center"/>
    </xf>
    <xf borderId="19" fillId="5" fontId="4" numFmtId="3" xfId="0" applyAlignment="1" applyBorder="1" applyFont="1" applyNumberFormat="1">
      <alignment vertical="center"/>
    </xf>
    <xf borderId="34" fillId="5" fontId="7" numFmtId="0" xfId="0" applyAlignment="1" applyBorder="1" applyFont="1">
      <alignment vertical="center"/>
    </xf>
    <xf borderId="35" fillId="5" fontId="7" numFmtId="0" xfId="0" applyAlignment="1" applyBorder="1" applyFont="1">
      <alignment vertical="center"/>
    </xf>
    <xf borderId="36" fillId="5" fontId="4" numFmtId="3" xfId="0" applyAlignment="1" applyBorder="1" applyFont="1" applyNumberFormat="1">
      <alignment vertical="center"/>
    </xf>
    <xf borderId="37" fillId="5" fontId="4" numFmtId="3" xfId="0" applyAlignment="1" applyBorder="1" applyFont="1" applyNumberFormat="1">
      <alignment vertical="center"/>
    </xf>
    <xf borderId="38" fillId="6" fontId="4" numFmtId="3" xfId="0" applyAlignment="1" applyBorder="1" applyFont="1" applyNumberFormat="1">
      <alignment vertical="center"/>
    </xf>
    <xf borderId="39" fillId="6" fontId="4" numFmtId="3" xfId="0" applyAlignment="1" applyBorder="1" applyFont="1" applyNumberFormat="1">
      <alignment vertical="center"/>
    </xf>
    <xf borderId="40" fillId="6" fontId="4" numFmtId="3" xfId="0" applyAlignment="1" applyBorder="1" applyFont="1" applyNumberFormat="1">
      <alignment vertical="center"/>
    </xf>
    <xf borderId="41" fillId="6" fontId="4" numFmtId="3" xfId="0" applyAlignment="1" applyBorder="1" applyFont="1" applyNumberFormat="1">
      <alignment vertical="center"/>
    </xf>
    <xf borderId="38" fillId="5" fontId="9" numFmtId="3" xfId="0" applyAlignment="1" applyBorder="1" applyFont="1" applyNumberFormat="1">
      <alignment vertical="center"/>
    </xf>
    <xf borderId="39" fillId="5" fontId="9" numFmtId="3" xfId="0" applyAlignment="1" applyBorder="1" applyFont="1" applyNumberFormat="1">
      <alignment vertical="center"/>
    </xf>
    <xf borderId="40" fillId="5" fontId="4" numFmtId="3" xfId="0" applyAlignment="1" applyBorder="1" applyFont="1" applyNumberFormat="1">
      <alignment vertical="center"/>
    </xf>
    <xf borderId="41" fillId="5" fontId="4" numFmtId="3" xfId="0" applyAlignment="1" applyBorder="1" applyFont="1" applyNumberFormat="1">
      <alignment vertical="center"/>
    </xf>
    <xf borderId="21" fillId="5" fontId="9" numFmtId="3" xfId="0" applyAlignment="1" applyBorder="1" applyFont="1" applyNumberFormat="1">
      <alignment vertical="center"/>
    </xf>
    <xf borderId="22" fillId="5" fontId="9" numFmtId="3" xfId="0" applyAlignment="1" applyBorder="1" applyFont="1" applyNumberFormat="1">
      <alignment vertical="center"/>
    </xf>
    <xf borderId="42" fillId="5" fontId="4" numFmtId="3" xfId="0" applyAlignment="1" applyBorder="1" applyFont="1" applyNumberFormat="1">
      <alignment vertical="center"/>
    </xf>
    <xf borderId="23" fillId="5" fontId="4" numFmtId="3" xfId="0" applyAlignment="1" applyBorder="1" applyFont="1" applyNumberFormat="1">
      <alignment vertical="center"/>
    </xf>
    <xf borderId="0" fillId="0" fontId="9" numFmtId="4" xfId="0" applyFont="1" applyNumberFormat="1"/>
    <xf borderId="43" fillId="5" fontId="1" numFmtId="0" xfId="0" applyAlignment="1" applyBorder="1" applyFont="1">
      <alignment vertical="center"/>
    </xf>
    <xf borderId="43" fillId="5" fontId="12" numFmtId="0" xfId="0" applyAlignment="1" applyBorder="1" applyFont="1">
      <alignment vertical="center"/>
    </xf>
    <xf borderId="44" fillId="5" fontId="12" numFmtId="0" xfId="0" applyAlignment="1" applyBorder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0" fillId="0" fontId="8" numFmtId="0" xfId="0" applyFont="1"/>
    <xf borderId="0" fillId="0" fontId="7" numFmtId="0" xfId="0" applyAlignment="1" applyFont="1">
      <alignment horizontal="left" shrinkToFit="0" vertical="top" wrapText="1"/>
    </xf>
    <xf borderId="12" fillId="5" fontId="4" numFmtId="3" xfId="0" applyAlignment="1" applyBorder="1" applyFont="1" applyNumberFormat="1">
      <alignment vertical="center"/>
    </xf>
    <xf borderId="47" fillId="5" fontId="9" numFmtId="3" xfId="0" applyAlignment="1" applyBorder="1" applyFont="1" applyNumberFormat="1">
      <alignment vertical="center"/>
    </xf>
    <xf borderId="48" fillId="5" fontId="9" numFmtId="3" xfId="0" applyAlignment="1" applyBorder="1" applyFont="1" applyNumberFormat="1">
      <alignment vertical="center"/>
    </xf>
    <xf borderId="0" fillId="0" fontId="4" numFmtId="3" xfId="0" applyFont="1" applyNumberFormat="1"/>
    <xf borderId="44" fillId="5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quotePrefix="1" borderId="0" fillId="0" fontId="9" numFmtId="0" xfId="0" applyAlignment="1" applyFont="1">
      <alignment horizontal="left" shrinkToFit="0" vertical="top" wrapText="1"/>
    </xf>
    <xf borderId="49" fillId="6" fontId="4" numFmtId="3" xfId="0" applyAlignment="1" applyBorder="1" applyFont="1" applyNumberFormat="1">
      <alignment vertical="center"/>
    </xf>
    <xf borderId="50" fillId="6" fontId="4" numFmtId="3" xfId="0" applyAlignment="1" applyBorder="1" applyFont="1" applyNumberFormat="1">
      <alignment vertical="center"/>
    </xf>
    <xf borderId="51" fillId="6" fontId="4" numFmtId="3" xfId="0" applyAlignment="1" applyBorder="1" applyFont="1" applyNumberFormat="1">
      <alignment vertical="center"/>
    </xf>
    <xf borderId="52" fillId="6" fontId="4" numFmtId="3" xfId="0" applyAlignment="1" applyBorder="1" applyFont="1" applyNumberFormat="1">
      <alignment vertical="center"/>
    </xf>
    <xf borderId="0" fillId="0" fontId="8" numFmtId="3" xfId="0" applyFont="1" applyNumberFormat="1"/>
    <xf borderId="53" fillId="6" fontId="4" numFmtId="3" xfId="0" applyAlignment="1" applyBorder="1" applyFont="1" applyNumberFormat="1">
      <alignment vertical="center"/>
    </xf>
    <xf borderId="54" fillId="5" fontId="9" numFmtId="3" xfId="0" applyAlignment="1" applyBorder="1" applyFont="1" applyNumberFormat="1">
      <alignment vertical="center"/>
    </xf>
    <xf borderId="55" fillId="5" fontId="9" numFmtId="3" xfId="0" applyAlignment="1" applyBorder="1" applyFont="1" applyNumberFormat="1">
      <alignment vertical="center"/>
    </xf>
    <xf borderId="56" fillId="6" fontId="4" numFmtId="3" xfId="0" applyAlignment="1" applyBorder="1" applyFont="1" applyNumberFormat="1">
      <alignment vertical="center"/>
    </xf>
    <xf borderId="57" fillId="5" fontId="9" numFmtId="3" xfId="0" applyAlignment="1" applyBorder="1" applyFont="1" applyNumberFormat="1">
      <alignment vertical="center"/>
    </xf>
    <xf borderId="34" fillId="5" fontId="9" numFmtId="3" xfId="0" applyAlignment="1" applyBorder="1" applyFont="1" applyNumberFormat="1">
      <alignment vertical="center"/>
    </xf>
    <xf borderId="58" fillId="5" fontId="9" numFmtId="3" xfId="0" applyAlignment="1" applyBorder="1" applyFont="1" applyNumberFormat="1">
      <alignment vertical="center"/>
    </xf>
    <xf borderId="35" fillId="5" fontId="9" numFmtId="3" xfId="0" applyAlignment="1" applyBorder="1" applyFont="1" applyNumberFormat="1">
      <alignment vertical="center"/>
    </xf>
    <xf borderId="59" fillId="6" fontId="4" numFmtId="3" xfId="0" applyAlignment="1" applyBorder="1" applyFont="1" applyNumberFormat="1">
      <alignment vertical="center"/>
    </xf>
    <xf borderId="60" fillId="6" fontId="4" numFmtId="3" xfId="0" applyAlignment="1" applyBorder="1" applyFont="1" applyNumberFormat="1">
      <alignment vertical="center"/>
    </xf>
    <xf borderId="61" fillId="6" fontId="4" numFmtId="3" xfId="0" applyAlignment="1" applyBorder="1" applyFont="1" applyNumberFormat="1">
      <alignment vertical="center"/>
    </xf>
    <xf borderId="62" fillId="6" fontId="4" numFmtId="3" xfId="0" applyAlignment="1" applyBorder="1" applyFont="1" applyNumberFormat="1">
      <alignment vertical="center"/>
    </xf>
    <xf borderId="63" fillId="6" fontId="4" numFmtId="3" xfId="0" applyAlignment="1" applyBorder="1" applyFont="1" applyNumberFormat="1">
      <alignment vertical="center"/>
    </xf>
    <xf borderId="64" fillId="6" fontId="4" numFmtId="3" xfId="0" applyAlignment="1" applyBorder="1" applyFont="1" applyNumberFormat="1">
      <alignment vertical="center"/>
    </xf>
    <xf borderId="21" fillId="6" fontId="4" numFmtId="3" xfId="0" applyAlignment="1" applyBorder="1" applyFont="1" applyNumberFormat="1">
      <alignment vertical="center"/>
    </xf>
    <xf borderId="22" fillId="6" fontId="4" numFmtId="3" xfId="0" applyAlignment="1" applyBorder="1" applyFont="1" applyNumberFormat="1">
      <alignment vertical="center"/>
    </xf>
    <xf borderId="42" fillId="6" fontId="4" numFmtId="3" xfId="0" applyAlignment="1" applyBorder="1" applyFont="1" applyNumberFormat="1">
      <alignment vertical="center"/>
    </xf>
    <xf borderId="23" fillId="6" fontId="4" numFmtId="3" xfId="0" applyAlignment="1" applyBorder="1" applyFont="1" applyNumberFormat="1">
      <alignment vertical="center"/>
    </xf>
    <xf borderId="65" fillId="5" fontId="7" numFmtId="0" xfId="0" applyAlignment="1" applyBorder="1" applyFont="1">
      <alignment vertical="center"/>
    </xf>
    <xf borderId="2" fillId="5" fontId="9" numFmtId="3" xfId="0" applyAlignment="1" applyBorder="1" applyFont="1" applyNumberFormat="1">
      <alignment vertical="center"/>
    </xf>
    <xf borderId="2" fillId="5" fontId="4" numFmtId="3" xfId="0" applyAlignment="1" applyBorder="1" applyFont="1" applyNumberFormat="1">
      <alignment vertical="center"/>
    </xf>
    <xf quotePrefix="1" borderId="0" fillId="0" fontId="7" numFmtId="0" xfId="0" applyAlignment="1" applyFont="1">
      <alignment shrinkToFit="0" vertical="top" wrapText="1"/>
    </xf>
    <xf borderId="66" fillId="6" fontId="4" numFmtId="3" xfId="0" applyAlignment="1" applyBorder="1" applyFont="1" applyNumberFormat="1">
      <alignment vertical="center"/>
    </xf>
    <xf borderId="48" fillId="6" fontId="4" numFmtId="3" xfId="0" applyAlignment="1" applyBorder="1" applyFont="1" applyNumberFormat="1">
      <alignment vertical="center"/>
    </xf>
    <xf borderId="36" fillId="6" fontId="4" numFmtId="3" xfId="0" applyAlignment="1" applyBorder="1" applyFont="1" applyNumberFormat="1">
      <alignment vertical="center"/>
    </xf>
    <xf borderId="37" fillId="6" fontId="4" numFmtId="3" xfId="0" applyAlignment="1" applyBorder="1" applyFont="1" applyNumberFormat="1">
      <alignment vertical="center"/>
    </xf>
    <xf borderId="0" fillId="0" fontId="9" numFmtId="0" xfId="0" applyAlignment="1" applyFont="1">
      <alignment horizontal="left" shrinkToFit="0" vertical="top" wrapText="1"/>
    </xf>
    <xf borderId="67" fillId="5" fontId="1" numFmtId="0" xfId="0" applyAlignment="1" applyBorder="1" applyFont="1">
      <alignment vertical="center"/>
    </xf>
    <xf borderId="67" fillId="5" fontId="2" numFmtId="0" xfId="0" applyAlignment="1" applyBorder="1" applyFont="1">
      <alignment vertical="center"/>
    </xf>
    <xf borderId="2" fillId="5" fontId="8" numFmtId="0" xfId="0" applyAlignment="1" applyBorder="1" applyFont="1">
      <alignment vertical="center"/>
    </xf>
    <xf borderId="2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68" fillId="0" fontId="2" numFmtId="0" xfId="0" applyAlignment="1" applyBorder="1" applyFont="1">
      <alignment vertical="center"/>
    </xf>
    <xf borderId="15" fillId="0" fontId="4" numFmtId="3" xfId="0" applyAlignment="1" applyBorder="1" applyFont="1" applyNumberFormat="1">
      <alignment vertical="center"/>
    </xf>
    <xf borderId="17" fillId="0" fontId="4" numFmtId="3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10" fillId="0" fontId="2" numFmtId="0" xfId="0" applyAlignment="1" applyBorder="1" applyFont="1">
      <alignment vertical="center"/>
    </xf>
    <xf borderId="18" fillId="0" fontId="2" numFmtId="3" xfId="0" applyAlignment="1" applyBorder="1" applyFont="1" applyNumberFormat="1">
      <alignment vertical="center"/>
    </xf>
    <xf borderId="19" fillId="0" fontId="2" numFmtId="3" xfId="0" applyAlignment="1" applyBorder="1" applyFont="1" applyNumberFormat="1">
      <alignment vertical="center"/>
    </xf>
    <xf borderId="18" fillId="0" fontId="4" numFmtId="3" xfId="0" applyAlignment="1" applyBorder="1" applyFont="1" applyNumberFormat="1">
      <alignment vertical="center"/>
    </xf>
    <xf borderId="19" fillId="0" fontId="4" numFmtId="3" xfId="0" applyAlignment="1" applyBorder="1" applyFont="1" applyNumberFormat="1">
      <alignment vertical="center"/>
    </xf>
    <xf borderId="18" fillId="0" fontId="4" numFmtId="164" xfId="0" applyAlignment="1" applyBorder="1" applyFont="1" applyNumberFormat="1">
      <alignment vertical="center"/>
    </xf>
    <xf borderId="19" fillId="0" fontId="4" numFmtId="164" xfId="0" applyAlignment="1" applyBorder="1" applyFont="1" applyNumberFormat="1">
      <alignment vertical="center"/>
    </xf>
    <xf borderId="10" fillId="0" fontId="9" numFmtId="0" xfId="0" applyAlignment="1" applyBorder="1" applyFont="1">
      <alignment horizontal="left" vertical="center"/>
    </xf>
    <xf borderId="10" fillId="0" fontId="9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4" numFmtId="164" xfId="0" applyAlignment="1" applyBorder="1" applyFont="1" applyNumberFormat="1">
      <alignment vertical="center"/>
    </xf>
    <xf borderId="23" fillId="0" fontId="4" numFmtId="16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4" numFmtId="0" xfId="0" applyAlignment="1" applyFont="1">
      <alignment vertical="center"/>
    </xf>
    <xf borderId="2" fillId="3" fontId="2" numFmtId="0" xfId="0" applyBorder="1" applyFont="1"/>
    <xf borderId="2" fillId="2" fontId="4" numFmtId="0" xfId="0" applyAlignment="1" applyBorder="1" applyFont="1">
      <alignment horizontal="center"/>
    </xf>
    <xf borderId="0" fillId="0" fontId="7" numFmtId="0" xfId="0" applyFont="1"/>
    <xf borderId="0" fillId="0" fontId="4" numFmtId="168" xfId="0" applyFont="1" applyNumberFormat="1"/>
    <xf borderId="0" fillId="0" fontId="4" numFmtId="0" xfId="0" applyFont="1"/>
    <xf borderId="0" fillId="0" fontId="9" numFmtId="0" xfId="0" applyAlignment="1" applyFont="1">
      <alignment horizontal="left"/>
    </xf>
    <xf borderId="0" fillId="0" fontId="9" numFmtId="168" xfId="0" applyFont="1" applyNumberFormat="1"/>
    <xf borderId="69" fillId="0" fontId="4" numFmtId="168" xfId="0" applyBorder="1" applyFont="1" applyNumberFormat="1"/>
    <xf borderId="0" fillId="0" fontId="9" numFmtId="164" xfId="0" applyFont="1" applyNumberFormat="1"/>
    <xf borderId="0" fillId="0" fontId="9" numFmtId="0" xfId="0" applyAlignment="1" applyFont="1">
      <alignment horizontal="center" shrinkToFit="0" wrapText="1"/>
    </xf>
    <xf borderId="0" fillId="0" fontId="9" numFmtId="169" xfId="0" applyFont="1" applyNumberFormat="1"/>
    <xf borderId="0" fillId="0" fontId="7" numFmtId="0" xfId="0" applyAlignment="1" applyFont="1">
      <alignment horizontal="left"/>
    </xf>
    <xf borderId="70" fillId="0" fontId="9" numFmtId="168" xfId="0" applyBorder="1" applyFont="1" applyNumberFormat="1"/>
    <xf borderId="0" fillId="0" fontId="2" numFmtId="0" xfId="0" applyFont="1"/>
    <xf borderId="0" fillId="0" fontId="9" numFmtId="165" xfId="0" applyFont="1" applyNumberFormat="1"/>
    <xf borderId="0" fillId="0" fontId="9" numFmtId="170" xfId="0" applyFont="1" applyNumberFormat="1"/>
    <xf borderId="71" fillId="0" fontId="9" numFmtId="0" xfId="0" applyAlignment="1" applyBorder="1" applyFont="1">
      <alignment horizontal="left" shrinkToFit="0" vertical="top" wrapText="1"/>
    </xf>
    <xf borderId="72" fillId="0" fontId="5" numFmtId="0" xfId="0" applyBorder="1" applyFont="1"/>
    <xf borderId="73" fillId="0" fontId="5" numFmtId="0" xfId="0" applyBorder="1" applyFont="1"/>
    <xf borderId="0" fillId="0" fontId="9" numFmtId="0" xfId="0" applyAlignment="1" applyFont="1">
      <alignment shrinkToFit="0" vertical="top" wrapText="1"/>
    </xf>
    <xf borderId="74" fillId="0" fontId="5" numFmtId="0" xfId="0" applyBorder="1" applyFont="1"/>
    <xf borderId="75" fillId="0" fontId="5" numFmtId="0" xfId="0" applyBorder="1" applyFont="1"/>
    <xf borderId="76" fillId="0" fontId="5" numFmtId="0" xfId="0" applyBorder="1" applyFont="1"/>
    <xf borderId="77" fillId="0" fontId="5" numFmtId="0" xfId="0" applyBorder="1" applyFont="1"/>
    <xf borderId="78" fillId="0" fontId="5" numFmtId="0" xfId="0" applyBorder="1" applyFont="1"/>
    <xf borderId="0" fillId="0" fontId="16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43.43"/>
    <col customWidth="1" min="3" max="6" width="11.43"/>
    <col customWidth="1" min="7" max="8" width="14.71"/>
    <col customWidth="1" min="9" max="9" width="2.29"/>
    <col customWidth="1" min="10" max="10" width="15.71"/>
    <col customWidth="1" min="11" max="26" width="8.86"/>
  </cols>
  <sheetData>
    <row r="1" ht="19.5" customHeight="1"/>
    <row r="2" ht="19.5" customHeight="1">
      <c r="B2" s="1" t="s">
        <v>0</v>
      </c>
      <c r="C2" s="2"/>
      <c r="D2" s="2"/>
      <c r="E2" s="2"/>
      <c r="F2" s="2"/>
      <c r="G2" s="2"/>
      <c r="H2" s="2"/>
      <c r="J2" s="3" t="s">
        <v>1</v>
      </c>
    </row>
    <row r="3" ht="19.5" customHeight="1">
      <c r="B3" s="4"/>
      <c r="C3" s="5" t="s">
        <v>2</v>
      </c>
      <c r="D3" s="6"/>
      <c r="E3" s="5" t="s">
        <v>3</v>
      </c>
      <c r="F3" s="6"/>
      <c r="G3" s="5" t="s">
        <v>4</v>
      </c>
      <c r="H3" s="6"/>
    </row>
    <row r="4" ht="19.5" customHeight="1">
      <c r="B4" s="7"/>
      <c r="C4" s="7">
        <v>2026.0</v>
      </c>
      <c r="D4" s="7">
        <v>2027.0</v>
      </c>
      <c r="E4" s="7">
        <v>2026.0</v>
      </c>
      <c r="F4" s="7">
        <v>2027.0</v>
      </c>
      <c r="G4" s="7">
        <v>2026.0</v>
      </c>
      <c r="H4" s="7">
        <v>2027.0</v>
      </c>
      <c r="V4" s="8" t="s">
        <v>5</v>
      </c>
    </row>
    <row r="5" ht="90.0" customHeight="1">
      <c r="B5" s="9" t="s">
        <v>6</v>
      </c>
      <c r="C5" s="10" t="s">
        <v>7</v>
      </c>
      <c r="D5" s="11"/>
      <c r="E5" s="10" t="s">
        <v>8</v>
      </c>
      <c r="F5" s="11"/>
      <c r="G5" s="12"/>
      <c r="H5" s="13"/>
      <c r="V5" s="8" t="s">
        <v>9</v>
      </c>
    </row>
    <row r="6" ht="19.5" customHeight="1">
      <c r="B6" s="11"/>
      <c r="C6" s="14" t="s">
        <v>10</v>
      </c>
      <c r="D6" s="15"/>
      <c r="E6" s="15"/>
      <c r="F6" s="16"/>
      <c r="G6" s="17"/>
      <c r="H6" s="18"/>
    </row>
    <row r="7" ht="19.5" customHeight="1">
      <c r="B7" s="19" t="s">
        <v>11</v>
      </c>
      <c r="C7" s="20"/>
      <c r="D7" s="20"/>
      <c r="E7" s="20"/>
      <c r="F7" s="20"/>
      <c r="G7" s="20"/>
      <c r="H7" s="21"/>
    </row>
    <row r="8" ht="19.5" customHeight="1">
      <c r="B8" s="22" t="s">
        <v>12</v>
      </c>
      <c r="C8" s="23">
        <f>'Бюджет'!F5</f>
        <v>4840.536862</v>
      </c>
      <c r="D8" s="24">
        <f>'Бюджет'!G5</f>
        <v>16907.57316</v>
      </c>
      <c r="E8" s="24">
        <f>'Бюджет'!I5</f>
        <v>15642.711</v>
      </c>
      <c r="F8" s="24">
        <f>'Бюджет'!J5</f>
        <v>34206.01596</v>
      </c>
      <c r="G8" s="24">
        <f>'Бюджет'!C5</f>
        <v>20483.24786</v>
      </c>
      <c r="H8" s="25">
        <f>'Бюджет'!D5</f>
        <v>51113.58912</v>
      </c>
      <c r="J8" s="26" t="s">
        <v>9</v>
      </c>
      <c r="K8" s="27" t="str">
        <f>IF(J8="Нет", " ", "Цели по выручке заполните из листа Бюджет после всех расчётов")</f>
        <v> </v>
      </c>
    </row>
    <row r="9" ht="19.5" customHeight="1">
      <c r="B9" s="22" t="s">
        <v>13</v>
      </c>
      <c r="C9" s="28"/>
      <c r="D9" s="29">
        <f>D8/C8-1</f>
        <v>2.4929128</v>
      </c>
      <c r="E9" s="29"/>
      <c r="F9" s="29">
        <f>F8/E8-1</f>
        <v>1.186706381</v>
      </c>
      <c r="G9" s="29"/>
      <c r="H9" s="30">
        <f>H8/G8-1</f>
        <v>1.495384983</v>
      </c>
      <c r="J9" s="26" t="s">
        <v>9</v>
      </c>
      <c r="K9" s="27" t="str">
        <f>IF(J9="Нет", " ", "Рассчитывается как показатель 2027 / показатель 2026 - 1")</f>
        <v> </v>
      </c>
    </row>
    <row r="10" ht="19.5" customHeight="1">
      <c r="B10" s="22" t="s">
        <v>14</v>
      </c>
      <c r="C10" s="31">
        <f>'Бюджет'!F18</f>
        <v>-9802.443138</v>
      </c>
      <c r="D10" s="32">
        <f>'Бюджет'!G18</f>
        <v>1488.670762</v>
      </c>
      <c r="E10" s="32">
        <f>'Бюджет'!I18</f>
        <v>-4761.308998</v>
      </c>
      <c r="F10" s="32">
        <f>'Бюджет'!J18</f>
        <v>2328.597959</v>
      </c>
      <c r="G10" s="32">
        <f>'Бюджет'!C18</f>
        <v>-15990.88214</v>
      </c>
      <c r="H10" s="33">
        <f>'Бюджет'!D18</f>
        <v>1720.853641</v>
      </c>
      <c r="J10" s="26" t="s">
        <v>9</v>
      </c>
      <c r="K10" s="27" t="str">
        <f>IF(J10="Нет", " ", "Цели по прибыли заполните из листа Бюджет после всех расчётов")</f>
        <v> </v>
      </c>
    </row>
    <row r="11" ht="19.5" customHeight="1">
      <c r="B11" s="34" t="s">
        <v>15</v>
      </c>
      <c r="C11" s="35">
        <f t="shared" ref="C11:H11" si="1">C10/C8</f>
        <v>-2.025073544</v>
      </c>
      <c r="D11" s="36">
        <f t="shared" si="1"/>
        <v>0.08804757183</v>
      </c>
      <c r="E11" s="36">
        <f t="shared" si="1"/>
        <v>-0.3043787613</v>
      </c>
      <c r="F11" s="36">
        <f t="shared" si="1"/>
        <v>0.06807568475</v>
      </c>
      <c r="G11" s="36">
        <f t="shared" si="1"/>
        <v>-0.7806809859</v>
      </c>
      <c r="H11" s="37">
        <f t="shared" si="1"/>
        <v>0.0336672433</v>
      </c>
      <c r="J11" s="26" t="s">
        <v>9</v>
      </c>
      <c r="K11" s="27" t="str">
        <f>IF(J11="Нет", " ", "Рассчитывается как Чистая прибыль / Выручку")</f>
        <v> </v>
      </c>
    </row>
    <row r="12" ht="19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3:D3"/>
    <mergeCell ref="E3:F3"/>
    <mergeCell ref="G3:H3"/>
    <mergeCell ref="B5:B6"/>
    <mergeCell ref="C5:D5"/>
    <mergeCell ref="E5:F5"/>
    <mergeCell ref="C6:F6"/>
  </mergeCells>
  <dataValidations>
    <dataValidation type="list" allowBlank="1" showErrorMessage="1" sqref="J8:J11">
      <formula1>$V$4:$V$5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24.14"/>
    <col customWidth="1" min="3" max="3" width="11.43"/>
    <col customWidth="1" min="4" max="4" width="32.71"/>
    <col customWidth="1" min="5" max="5" width="18.29"/>
    <col customWidth="1" min="6" max="6" width="8.86"/>
    <col customWidth="1" min="7" max="7" width="57.29"/>
    <col customWidth="1" min="8" max="8" width="19.86"/>
    <col customWidth="1" min="9" max="9" width="30.71"/>
    <col customWidth="1" min="10" max="10" width="19.86"/>
    <col customWidth="1" min="11" max="11" width="8.86"/>
    <col customWidth="1" min="12" max="12" width="73.0"/>
    <col customWidth="1" min="13" max="26" width="8.86"/>
  </cols>
  <sheetData>
    <row r="1" ht="19.5" customHeight="1">
      <c r="H1" s="38"/>
      <c r="I1" s="38"/>
    </row>
    <row r="2" ht="19.5" customHeight="1">
      <c r="B2" s="39" t="s">
        <v>16</v>
      </c>
      <c r="C2" s="40"/>
      <c r="D2" s="41"/>
      <c r="E2" s="40"/>
      <c r="F2" s="42"/>
      <c r="G2" s="39" t="s">
        <v>17</v>
      </c>
      <c r="H2" s="43"/>
      <c r="I2" s="43"/>
      <c r="J2" s="40"/>
      <c r="K2" s="42"/>
      <c r="L2" s="39" t="s">
        <v>18</v>
      </c>
      <c r="M2" s="40"/>
    </row>
    <row r="3" ht="19.5" customHeight="1">
      <c r="B3" s="44" t="s">
        <v>2</v>
      </c>
      <c r="C3" s="6"/>
      <c r="D3" s="44" t="s">
        <v>3</v>
      </c>
      <c r="E3" s="6"/>
      <c r="F3" s="42"/>
      <c r="G3" s="45"/>
      <c r="H3" s="46" t="s">
        <v>2</v>
      </c>
      <c r="I3" s="46" t="s">
        <v>3</v>
      </c>
      <c r="J3" s="47"/>
      <c r="K3" s="42"/>
      <c r="L3" s="48" t="s">
        <v>19</v>
      </c>
      <c r="M3" s="49">
        <v>0.08</v>
      </c>
    </row>
    <row r="4" ht="19.5" customHeight="1">
      <c r="B4" s="48" t="s">
        <v>20</v>
      </c>
      <c r="C4" s="50">
        <v>0.0</v>
      </c>
      <c r="D4" s="50" t="s">
        <v>21</v>
      </c>
      <c r="E4" s="51">
        <v>0.0</v>
      </c>
      <c r="F4" s="42"/>
      <c r="G4" s="48" t="s">
        <v>22</v>
      </c>
      <c r="H4" s="52">
        <v>500.0</v>
      </c>
      <c r="I4" s="52">
        <v>40.0</v>
      </c>
      <c r="J4" s="53"/>
      <c r="K4" s="42"/>
      <c r="L4" s="54" t="s">
        <v>23</v>
      </c>
      <c r="M4" s="55">
        <v>0.07</v>
      </c>
    </row>
    <row r="5" ht="19.5" customHeight="1">
      <c r="B5" s="54" t="s">
        <v>24</v>
      </c>
      <c r="C5" s="32">
        <v>300.0</v>
      </c>
      <c r="D5" s="56" t="s">
        <v>25</v>
      </c>
      <c r="E5" s="57">
        <v>100000.0</v>
      </c>
      <c r="F5" s="42"/>
      <c r="G5" s="54" t="s">
        <v>26</v>
      </c>
      <c r="H5" s="58">
        <v>0.017</v>
      </c>
      <c r="I5" s="58">
        <v>0.02</v>
      </c>
      <c r="J5" s="57"/>
      <c r="K5" s="42"/>
      <c r="L5" s="54" t="s">
        <v>27</v>
      </c>
      <c r="M5" s="57">
        <v>50.0</v>
      </c>
    </row>
    <row r="6" ht="19.5" customHeight="1">
      <c r="B6" s="54" t="s">
        <v>28</v>
      </c>
      <c r="C6" s="32">
        <v>850.0</v>
      </c>
      <c r="D6" s="56" t="s">
        <v>29</v>
      </c>
      <c r="E6" s="57">
        <v>110000.0</v>
      </c>
      <c r="F6" s="42"/>
      <c r="G6" s="54" t="s">
        <v>30</v>
      </c>
      <c r="H6" s="59" t="s">
        <v>31</v>
      </c>
      <c r="I6" s="60" t="s">
        <v>32</v>
      </c>
      <c r="J6" s="57"/>
      <c r="K6" s="42"/>
      <c r="L6" s="54" t="s">
        <v>33</v>
      </c>
      <c r="M6" s="57">
        <v>150.0</v>
      </c>
    </row>
    <row r="7" ht="19.5" customHeight="1">
      <c r="B7" s="54" t="s">
        <v>34</v>
      </c>
      <c r="C7" s="32">
        <v>1600.0</v>
      </c>
      <c r="D7" s="56" t="s">
        <v>35</v>
      </c>
      <c r="E7" s="57">
        <v>114000.0</v>
      </c>
      <c r="F7" s="42"/>
      <c r="G7" s="61" t="s">
        <v>36</v>
      </c>
      <c r="H7" s="62">
        <v>0.03</v>
      </c>
      <c r="I7" s="62">
        <v>0.03</v>
      </c>
      <c r="J7" s="63"/>
      <c r="K7" s="42"/>
      <c r="L7" s="54" t="s">
        <v>37</v>
      </c>
      <c r="M7" s="57">
        <v>100.0</v>
      </c>
    </row>
    <row r="8" ht="19.5" customHeight="1">
      <c r="B8" s="61" t="s">
        <v>38</v>
      </c>
      <c r="C8" s="64">
        <v>3000.0</v>
      </c>
      <c r="D8" s="65" t="s">
        <v>39</v>
      </c>
      <c r="E8" s="66">
        <v>120000.0</v>
      </c>
      <c r="F8" s="42"/>
      <c r="G8" s="67"/>
      <c r="H8" s="68"/>
      <c r="I8" s="69"/>
      <c r="J8" s="70"/>
      <c r="K8" s="42"/>
      <c r="L8" s="54" t="s">
        <v>40</v>
      </c>
      <c r="M8" s="71" t="s">
        <v>41</v>
      </c>
    </row>
    <row r="9" ht="19.5" customHeight="1">
      <c r="B9" s="42"/>
      <c r="C9" s="42"/>
      <c r="D9" s="42"/>
      <c r="E9" s="42"/>
      <c r="F9" s="42"/>
      <c r="G9" s="39" t="s">
        <v>42</v>
      </c>
      <c r="H9" s="43"/>
      <c r="I9" s="43"/>
      <c r="J9" s="40"/>
      <c r="K9" s="42"/>
      <c r="L9" s="54" t="s">
        <v>43</v>
      </c>
      <c r="M9" s="57">
        <v>2.0</v>
      </c>
    </row>
    <row r="10" ht="19.5" customHeight="1">
      <c r="B10" s="39" t="s">
        <v>44</v>
      </c>
      <c r="C10" s="40"/>
      <c r="D10" s="40"/>
      <c r="E10" s="40"/>
      <c r="F10" s="42"/>
      <c r="G10" s="44" t="s">
        <v>2</v>
      </c>
      <c r="H10" s="6"/>
      <c r="I10" s="44" t="s">
        <v>3</v>
      </c>
      <c r="J10" s="6"/>
      <c r="K10" s="42"/>
      <c r="L10" s="54" t="s">
        <v>45</v>
      </c>
      <c r="M10" s="57">
        <v>10.0</v>
      </c>
    </row>
    <row r="11" ht="19.5" customHeight="1">
      <c r="B11" s="42"/>
      <c r="C11" s="72" t="s">
        <v>46</v>
      </c>
      <c r="D11" s="72" t="s">
        <v>47</v>
      </c>
      <c r="E11" s="42"/>
      <c r="F11" s="42"/>
      <c r="G11" s="48" t="s">
        <v>24</v>
      </c>
      <c r="H11" s="73">
        <v>0.2</v>
      </c>
      <c r="I11" s="50" t="s">
        <v>48</v>
      </c>
      <c r="J11" s="74">
        <v>0.03</v>
      </c>
      <c r="K11" s="42"/>
      <c r="L11" s="54" t="s">
        <v>49</v>
      </c>
      <c r="M11" s="57">
        <v>30.0</v>
      </c>
    </row>
    <row r="12" ht="19.5" customHeight="1">
      <c r="B12" s="75" t="s">
        <v>2</v>
      </c>
      <c r="C12" s="76">
        <v>8000.0</v>
      </c>
      <c r="D12" s="51" t="s">
        <v>50</v>
      </c>
      <c r="E12" s="42"/>
      <c r="F12" s="42"/>
      <c r="G12" s="54" t="s">
        <v>28</v>
      </c>
      <c r="H12" s="77">
        <v>0.15</v>
      </c>
      <c r="I12" s="56" t="s">
        <v>29</v>
      </c>
      <c r="J12" s="78">
        <v>0.1</v>
      </c>
      <c r="K12" s="42"/>
      <c r="L12" s="54" t="s">
        <v>51</v>
      </c>
      <c r="M12" s="57">
        <v>14.0</v>
      </c>
    </row>
    <row r="13" ht="19.5" customHeight="1">
      <c r="B13" s="75" t="s">
        <v>3</v>
      </c>
      <c r="C13" s="79">
        <v>6000.0</v>
      </c>
      <c r="D13" s="80" t="s">
        <v>52</v>
      </c>
      <c r="E13" s="42"/>
      <c r="F13" s="42"/>
      <c r="G13" s="54" t="s">
        <v>34</v>
      </c>
      <c r="H13" s="77">
        <v>0.1</v>
      </c>
      <c r="I13" s="56" t="s">
        <v>35</v>
      </c>
      <c r="J13" s="78">
        <v>0.15</v>
      </c>
      <c r="K13" s="42"/>
      <c r="L13" s="54" t="s">
        <v>53</v>
      </c>
      <c r="M13" s="57">
        <v>10.0</v>
      </c>
    </row>
    <row r="14" ht="19.5" customHeight="1">
      <c r="B14" s="42"/>
      <c r="C14" s="42"/>
      <c r="D14" s="42"/>
      <c r="E14" s="42"/>
      <c r="F14" s="42"/>
      <c r="G14" s="61" t="s">
        <v>38</v>
      </c>
      <c r="H14" s="81">
        <v>0.03</v>
      </c>
      <c r="I14" s="65" t="s">
        <v>39</v>
      </c>
      <c r="J14" s="82">
        <v>0.2</v>
      </c>
      <c r="K14" s="42"/>
      <c r="L14" s="54" t="s">
        <v>54</v>
      </c>
      <c r="M14" s="57">
        <v>66.0</v>
      </c>
    </row>
    <row r="15" ht="19.5" customHeight="1">
      <c r="B15" s="39" t="s">
        <v>55</v>
      </c>
      <c r="C15" s="40"/>
      <c r="D15" s="40"/>
      <c r="E15" s="40"/>
      <c r="F15" s="42"/>
      <c r="G15" s="42"/>
      <c r="H15" s="83"/>
      <c r="I15" s="83"/>
      <c r="J15" s="42"/>
      <c r="K15" s="42"/>
      <c r="L15" s="61" t="s">
        <v>56</v>
      </c>
      <c r="M15" s="66">
        <v>66.0</v>
      </c>
    </row>
    <row r="16" ht="19.5" customHeight="1">
      <c r="B16" s="84"/>
      <c r="C16" s="75" t="s">
        <v>2</v>
      </c>
      <c r="D16" s="85" t="s">
        <v>3</v>
      </c>
      <c r="E16" s="84"/>
      <c r="F16" s="42"/>
      <c r="G16" s="42"/>
      <c r="H16" s="83"/>
      <c r="I16" s="83"/>
      <c r="J16" s="42"/>
      <c r="K16" s="42"/>
      <c r="L16" s="42"/>
      <c r="M16" s="42"/>
    </row>
    <row r="17" ht="19.5" customHeight="1">
      <c r="B17" s="48" t="s">
        <v>57</v>
      </c>
      <c r="C17" s="52">
        <v>40.0</v>
      </c>
      <c r="D17" s="53">
        <v>40.0</v>
      </c>
      <c r="E17" s="42"/>
      <c r="F17" s="42"/>
      <c r="G17" s="42"/>
      <c r="H17" s="83"/>
      <c r="I17" s="83"/>
      <c r="J17" s="42"/>
      <c r="K17" s="42"/>
      <c r="L17" s="67"/>
      <c r="M17" s="70"/>
    </row>
    <row r="18" ht="19.5" customHeight="1">
      <c r="B18" s="54" t="s">
        <v>58</v>
      </c>
      <c r="C18" s="32">
        <v>60.0</v>
      </c>
      <c r="D18" s="57">
        <v>60.0</v>
      </c>
      <c r="E18" s="42"/>
      <c r="F18" s="42"/>
      <c r="G18" s="42"/>
      <c r="H18" s="83"/>
      <c r="I18" s="83"/>
      <c r="J18" s="42"/>
      <c r="K18" s="42"/>
      <c r="L18" s="42"/>
      <c r="M18" s="42"/>
    </row>
    <row r="19" ht="19.5" customHeight="1">
      <c r="B19" s="54" t="s">
        <v>59</v>
      </c>
      <c r="C19" s="32">
        <v>40.0</v>
      </c>
      <c r="D19" s="57">
        <v>40.0</v>
      </c>
      <c r="E19" s="42"/>
      <c r="F19" s="42"/>
      <c r="G19" s="42"/>
      <c r="H19" s="83"/>
      <c r="I19" s="83"/>
      <c r="J19" s="42"/>
      <c r="K19" s="42"/>
      <c r="L19" s="42"/>
      <c r="M19" s="42"/>
    </row>
    <row r="20" ht="19.5" customHeight="1">
      <c r="B20" s="54" t="s">
        <v>60</v>
      </c>
      <c r="C20" s="32">
        <v>70.0</v>
      </c>
      <c r="D20" s="57">
        <v>70.0</v>
      </c>
      <c r="E20" s="42"/>
      <c r="F20" s="42"/>
      <c r="G20" s="42"/>
      <c r="H20" s="83"/>
      <c r="I20" s="83"/>
      <c r="J20" s="42"/>
      <c r="K20" s="42"/>
      <c r="L20" s="42"/>
      <c r="M20" s="42"/>
    </row>
    <row r="21" ht="19.5" customHeight="1">
      <c r="B21" s="54" t="s">
        <v>61</v>
      </c>
      <c r="C21" s="32">
        <v>40.0</v>
      </c>
      <c r="D21" s="57">
        <v>40.0</v>
      </c>
      <c r="E21" s="42"/>
      <c r="F21" s="42"/>
      <c r="G21" s="42"/>
      <c r="H21" s="83"/>
      <c r="I21" s="83"/>
      <c r="J21" s="42"/>
      <c r="K21" s="42"/>
      <c r="L21" s="42"/>
      <c r="M21" s="42"/>
    </row>
    <row r="22" ht="19.5" customHeight="1">
      <c r="B22" s="61" t="s">
        <v>62</v>
      </c>
      <c r="C22" s="64">
        <v>50.0</v>
      </c>
      <c r="D22" s="66">
        <v>50.0</v>
      </c>
      <c r="E22" s="42"/>
      <c r="F22" s="42"/>
      <c r="G22" s="42"/>
      <c r="H22" s="83"/>
      <c r="I22" s="83"/>
      <c r="J22" s="42"/>
      <c r="K22" s="42"/>
      <c r="L22" s="42"/>
      <c r="M22" s="42"/>
    </row>
    <row r="23" ht="19.5" customHeight="1">
      <c r="B23" s="42"/>
      <c r="C23" s="42"/>
      <c r="D23" s="42"/>
      <c r="E23" s="42"/>
      <c r="F23" s="42"/>
      <c r="G23" s="42"/>
      <c r="H23" s="83"/>
      <c r="I23" s="83"/>
      <c r="J23" s="42"/>
      <c r="K23" s="42"/>
      <c r="L23" s="42"/>
      <c r="M23" s="42"/>
    </row>
    <row r="24" ht="19.5" customHeight="1">
      <c r="B24" s="39" t="s">
        <v>63</v>
      </c>
      <c r="C24" s="40"/>
      <c r="D24" s="40"/>
      <c r="E24" s="40"/>
      <c r="F24" s="42"/>
      <c r="G24" s="42"/>
      <c r="H24" s="86"/>
      <c r="I24" s="83"/>
      <c r="J24" s="42"/>
      <c r="K24" s="42"/>
      <c r="L24" s="42"/>
      <c r="M24" s="42"/>
    </row>
    <row r="25" ht="19.5" customHeight="1">
      <c r="B25" s="44" t="s">
        <v>2</v>
      </c>
      <c r="C25" s="6"/>
      <c r="D25" s="44" t="s">
        <v>3</v>
      </c>
      <c r="E25" s="6"/>
      <c r="F25" s="42"/>
      <c r="G25" s="87"/>
      <c r="H25" s="70"/>
      <c r="I25" s="70"/>
      <c r="J25" s="70"/>
      <c r="K25" s="42"/>
      <c r="L25" s="42"/>
      <c r="M25" s="42"/>
    </row>
    <row r="26" ht="19.5" customHeight="1">
      <c r="B26" s="48" t="s">
        <v>64</v>
      </c>
      <c r="C26" s="52">
        <v>100.0</v>
      </c>
      <c r="D26" s="50" t="s">
        <v>64</v>
      </c>
      <c r="E26" s="53">
        <v>100.0</v>
      </c>
      <c r="F26" s="42"/>
      <c r="G26" s="87"/>
      <c r="H26" s="70"/>
      <c r="I26" s="70"/>
      <c r="J26" s="70"/>
      <c r="K26" s="42"/>
      <c r="L26" s="42"/>
      <c r="M26" s="42"/>
    </row>
    <row r="27" ht="19.5" customHeight="1">
      <c r="B27" s="54" t="s">
        <v>65</v>
      </c>
      <c r="C27" s="32">
        <v>60.0</v>
      </c>
      <c r="D27" s="56" t="s">
        <v>66</v>
      </c>
      <c r="E27" s="57">
        <v>100.0</v>
      </c>
      <c r="F27" s="42"/>
      <c r="G27" s="87"/>
      <c r="H27" s="70"/>
      <c r="I27" s="70"/>
      <c r="J27" s="70"/>
      <c r="K27" s="42"/>
      <c r="L27" s="42"/>
      <c r="M27" s="42"/>
    </row>
    <row r="28" ht="19.5" customHeight="1">
      <c r="B28" s="54" t="s">
        <v>67</v>
      </c>
      <c r="C28" s="32">
        <v>60.0</v>
      </c>
      <c r="D28" s="56" t="s">
        <v>67</v>
      </c>
      <c r="E28" s="57">
        <v>70.0</v>
      </c>
      <c r="F28" s="42"/>
      <c r="G28" s="87"/>
      <c r="H28" s="70"/>
      <c r="I28" s="70"/>
      <c r="J28" s="70"/>
      <c r="K28" s="42"/>
      <c r="L28" s="42"/>
      <c r="M28" s="42"/>
    </row>
    <row r="29" ht="19.5" customHeight="1">
      <c r="B29" s="54" t="s">
        <v>68</v>
      </c>
      <c r="C29" s="32">
        <v>80.0</v>
      </c>
      <c r="D29" s="56" t="s">
        <v>58</v>
      </c>
      <c r="E29" s="57">
        <v>80.0</v>
      </c>
      <c r="F29" s="42"/>
      <c r="G29" s="87"/>
      <c r="H29" s="83"/>
      <c r="I29" s="83"/>
      <c r="J29" s="42"/>
      <c r="K29" s="42"/>
      <c r="L29" s="42"/>
      <c r="M29" s="42"/>
    </row>
    <row r="30" ht="19.5" customHeight="1">
      <c r="B30" s="54" t="s">
        <v>58</v>
      </c>
      <c r="C30" s="32">
        <v>80.0</v>
      </c>
      <c r="D30" s="56"/>
      <c r="E30" s="18"/>
      <c r="F30" s="42"/>
      <c r="G30" s="42"/>
      <c r="H30" s="83"/>
      <c r="I30" s="83"/>
      <c r="J30" s="42"/>
      <c r="K30" s="42"/>
      <c r="L30" s="42"/>
      <c r="M30" s="42"/>
    </row>
    <row r="31" ht="19.5" customHeight="1">
      <c r="B31" s="88" t="s">
        <v>69</v>
      </c>
      <c r="C31" s="89"/>
      <c r="D31" s="90"/>
      <c r="E31" s="66">
        <v>40.0</v>
      </c>
      <c r="F31" s="42"/>
      <c r="G31" s="42"/>
      <c r="H31" s="83"/>
      <c r="I31" s="83"/>
      <c r="J31" s="42"/>
      <c r="K31" s="42"/>
      <c r="L31" s="42"/>
      <c r="M31" s="42"/>
    </row>
    <row r="32" ht="19.5" customHeight="1">
      <c r="H32" s="38"/>
      <c r="I32" s="38"/>
    </row>
    <row r="33" ht="19.5" customHeight="1">
      <c r="H33" s="38"/>
      <c r="I33" s="38"/>
    </row>
    <row r="34" ht="19.5" customHeight="1">
      <c r="H34" s="38"/>
      <c r="I34" s="38"/>
    </row>
    <row r="35" ht="15.75" customHeight="1">
      <c r="H35" s="38"/>
      <c r="I35" s="38"/>
    </row>
    <row r="36" ht="15.75" customHeight="1">
      <c r="H36" s="38"/>
      <c r="I36" s="38"/>
    </row>
    <row r="37" ht="15.75" customHeight="1">
      <c r="H37" s="38"/>
      <c r="I37" s="38"/>
    </row>
    <row r="38" ht="15.75" customHeight="1">
      <c r="H38" s="38"/>
      <c r="I38" s="38"/>
    </row>
    <row r="39" ht="15.75" customHeight="1">
      <c r="H39" s="38"/>
      <c r="I39" s="38"/>
    </row>
    <row r="40" ht="15.75" customHeight="1">
      <c r="H40" s="38"/>
      <c r="I40" s="38"/>
    </row>
    <row r="41" ht="15.75" customHeight="1">
      <c r="H41" s="38"/>
      <c r="I41" s="38"/>
    </row>
    <row r="42" ht="15.75" customHeight="1">
      <c r="H42" s="38"/>
      <c r="I42" s="38"/>
    </row>
    <row r="43" ht="15.75" customHeight="1">
      <c r="H43" s="38"/>
      <c r="I43" s="38"/>
    </row>
    <row r="44" ht="15.75" customHeight="1">
      <c r="H44" s="38"/>
      <c r="I44" s="38"/>
    </row>
    <row r="45" ht="15.75" customHeight="1">
      <c r="H45" s="38"/>
      <c r="I45" s="38"/>
    </row>
    <row r="46" ht="15.75" customHeight="1">
      <c r="H46" s="38"/>
      <c r="I46" s="38"/>
    </row>
    <row r="47" ht="15.75" customHeight="1">
      <c r="H47" s="38"/>
      <c r="I47" s="38"/>
    </row>
    <row r="48" ht="15.75" customHeight="1">
      <c r="H48" s="38"/>
      <c r="I48" s="38"/>
    </row>
    <row r="49" ht="15.75" customHeight="1">
      <c r="H49" s="38"/>
      <c r="I49" s="38"/>
    </row>
    <row r="50" ht="15.75" customHeight="1">
      <c r="H50" s="38"/>
      <c r="I50" s="38"/>
    </row>
    <row r="51" ht="15.75" customHeight="1">
      <c r="H51" s="38"/>
      <c r="I51" s="38"/>
    </row>
    <row r="52" ht="15.75" customHeight="1">
      <c r="H52" s="38"/>
      <c r="I52" s="38"/>
    </row>
    <row r="53" ht="15.75" customHeight="1">
      <c r="H53" s="38"/>
      <c r="I53" s="38"/>
    </row>
    <row r="54" ht="15.75" customHeight="1">
      <c r="H54" s="38"/>
      <c r="I54" s="38"/>
    </row>
    <row r="55" ht="15.75" customHeight="1">
      <c r="H55" s="38"/>
      <c r="I55" s="38"/>
    </row>
    <row r="56" ht="15.75" customHeight="1">
      <c r="H56" s="38"/>
      <c r="I56" s="38"/>
    </row>
    <row r="57" ht="15.75" customHeight="1">
      <c r="H57" s="38"/>
      <c r="I57" s="38"/>
    </row>
    <row r="58" ht="15.75" customHeight="1">
      <c r="H58" s="38"/>
      <c r="I58" s="38"/>
    </row>
    <row r="59" ht="15.75" customHeight="1">
      <c r="H59" s="38"/>
      <c r="I59" s="38"/>
    </row>
    <row r="60" ht="15.75" customHeight="1">
      <c r="H60" s="38"/>
      <c r="I60" s="38"/>
    </row>
    <row r="61" ht="15.75" customHeight="1">
      <c r="H61" s="38"/>
      <c r="I61" s="38"/>
    </row>
    <row r="62" ht="15.75" customHeight="1">
      <c r="H62" s="38"/>
      <c r="I62" s="38"/>
    </row>
    <row r="63" ht="15.75" customHeight="1">
      <c r="H63" s="38"/>
      <c r="I63" s="38"/>
    </row>
    <row r="64" ht="15.75" customHeight="1">
      <c r="H64" s="38"/>
      <c r="I64" s="38"/>
    </row>
    <row r="65" ht="15.75" customHeight="1">
      <c r="H65" s="38"/>
      <c r="I65" s="38"/>
    </row>
    <row r="66" ht="15.75" customHeight="1">
      <c r="H66" s="38"/>
      <c r="I66" s="38"/>
    </row>
    <row r="67" ht="15.75" customHeight="1">
      <c r="H67" s="38"/>
      <c r="I67" s="38"/>
    </row>
    <row r="68" ht="15.75" customHeight="1">
      <c r="H68" s="38"/>
      <c r="I68" s="38"/>
    </row>
    <row r="69" ht="15.75" customHeight="1">
      <c r="H69" s="38"/>
      <c r="I69" s="38"/>
    </row>
    <row r="70" ht="15.75" customHeight="1">
      <c r="H70" s="38"/>
      <c r="I70" s="38"/>
    </row>
    <row r="71" ht="15.75" customHeight="1">
      <c r="H71" s="38"/>
      <c r="I71" s="38"/>
    </row>
    <row r="72" ht="15.75" customHeight="1">
      <c r="H72" s="38"/>
      <c r="I72" s="38"/>
    </row>
    <row r="73" ht="15.75" customHeight="1">
      <c r="H73" s="38"/>
      <c r="I73" s="38"/>
    </row>
    <row r="74" ht="15.75" customHeight="1">
      <c r="H74" s="38"/>
      <c r="I74" s="38"/>
    </row>
    <row r="75" ht="15.75" customHeight="1">
      <c r="H75" s="38"/>
      <c r="I75" s="38"/>
    </row>
    <row r="76" ht="15.75" customHeight="1">
      <c r="H76" s="38"/>
      <c r="I76" s="38"/>
    </row>
    <row r="77" ht="15.75" customHeight="1">
      <c r="H77" s="38"/>
      <c r="I77" s="38"/>
    </row>
    <row r="78" ht="15.75" customHeight="1">
      <c r="H78" s="38"/>
      <c r="I78" s="38"/>
    </row>
    <row r="79" ht="15.75" customHeight="1">
      <c r="H79" s="38"/>
      <c r="I79" s="38"/>
    </row>
    <row r="80" ht="15.75" customHeight="1">
      <c r="H80" s="38"/>
      <c r="I80" s="38"/>
    </row>
    <row r="81" ht="15.75" customHeight="1">
      <c r="H81" s="38"/>
      <c r="I81" s="38"/>
    </row>
    <row r="82" ht="15.75" customHeight="1">
      <c r="H82" s="38"/>
      <c r="I82" s="38"/>
    </row>
    <row r="83" ht="15.75" customHeight="1">
      <c r="H83" s="38"/>
      <c r="I83" s="38"/>
    </row>
    <row r="84" ht="15.75" customHeight="1">
      <c r="H84" s="38"/>
      <c r="I84" s="38"/>
    </row>
    <row r="85" ht="15.75" customHeight="1">
      <c r="H85" s="38"/>
      <c r="I85" s="38"/>
    </row>
    <row r="86" ht="15.75" customHeight="1">
      <c r="H86" s="38"/>
      <c r="I86" s="38"/>
    </row>
    <row r="87" ht="15.75" customHeight="1">
      <c r="H87" s="38"/>
      <c r="I87" s="38"/>
    </row>
    <row r="88" ht="15.75" customHeight="1">
      <c r="H88" s="38"/>
      <c r="I88" s="38"/>
    </row>
    <row r="89" ht="15.75" customHeight="1">
      <c r="H89" s="38"/>
      <c r="I89" s="38"/>
    </row>
    <row r="90" ht="15.75" customHeight="1">
      <c r="H90" s="38"/>
      <c r="I90" s="38"/>
    </row>
    <row r="91" ht="15.75" customHeight="1">
      <c r="H91" s="38"/>
      <c r="I91" s="38"/>
    </row>
    <row r="92" ht="15.75" customHeight="1">
      <c r="H92" s="38"/>
      <c r="I92" s="38"/>
    </row>
    <row r="93" ht="15.75" customHeight="1">
      <c r="H93" s="38"/>
      <c r="I93" s="38"/>
    </row>
    <row r="94" ht="15.75" customHeight="1">
      <c r="H94" s="38"/>
      <c r="I94" s="38"/>
    </row>
    <row r="95" ht="15.75" customHeight="1">
      <c r="H95" s="38"/>
      <c r="I95" s="38"/>
    </row>
    <row r="96" ht="15.75" customHeight="1">
      <c r="H96" s="38"/>
      <c r="I96" s="38"/>
    </row>
    <row r="97" ht="15.75" customHeight="1">
      <c r="H97" s="38"/>
      <c r="I97" s="38"/>
    </row>
    <row r="98" ht="15.75" customHeight="1">
      <c r="H98" s="38"/>
      <c r="I98" s="38"/>
    </row>
    <row r="99" ht="15.75" customHeight="1">
      <c r="H99" s="38"/>
      <c r="I99" s="38"/>
    </row>
    <row r="100" ht="15.75" customHeight="1">
      <c r="H100" s="38"/>
      <c r="I100" s="38"/>
    </row>
    <row r="101" ht="15.75" customHeight="1">
      <c r="H101" s="38"/>
      <c r="I101" s="38"/>
    </row>
    <row r="102" ht="15.75" customHeight="1">
      <c r="H102" s="38"/>
      <c r="I102" s="38"/>
    </row>
    <row r="103" ht="15.75" customHeight="1">
      <c r="H103" s="38"/>
      <c r="I103" s="38"/>
    </row>
    <row r="104" ht="15.75" customHeight="1">
      <c r="H104" s="38"/>
      <c r="I104" s="38"/>
    </row>
    <row r="105" ht="15.75" customHeight="1">
      <c r="H105" s="38"/>
      <c r="I105" s="38"/>
    </row>
    <row r="106" ht="15.75" customHeight="1">
      <c r="H106" s="38"/>
      <c r="I106" s="38"/>
    </row>
    <row r="107" ht="15.75" customHeight="1">
      <c r="H107" s="38"/>
      <c r="I107" s="38"/>
    </row>
    <row r="108" ht="15.75" customHeight="1">
      <c r="H108" s="38"/>
      <c r="I108" s="38"/>
    </row>
    <row r="109" ht="15.75" customHeight="1">
      <c r="H109" s="38"/>
      <c r="I109" s="38"/>
    </row>
    <row r="110" ht="15.75" customHeight="1">
      <c r="H110" s="38"/>
      <c r="I110" s="38"/>
    </row>
    <row r="111" ht="15.75" customHeight="1">
      <c r="H111" s="38"/>
      <c r="I111" s="38"/>
    </row>
    <row r="112" ht="15.75" customHeight="1">
      <c r="H112" s="38"/>
      <c r="I112" s="38"/>
    </row>
    <row r="113" ht="15.75" customHeight="1">
      <c r="H113" s="38"/>
      <c r="I113" s="38"/>
    </row>
    <row r="114" ht="15.75" customHeight="1">
      <c r="H114" s="38"/>
      <c r="I114" s="38"/>
    </row>
    <row r="115" ht="15.75" customHeight="1">
      <c r="H115" s="38"/>
      <c r="I115" s="38"/>
    </row>
    <row r="116" ht="15.75" customHeight="1">
      <c r="H116" s="38"/>
      <c r="I116" s="38"/>
    </row>
    <row r="117" ht="15.75" customHeight="1">
      <c r="H117" s="38"/>
      <c r="I117" s="38"/>
    </row>
    <row r="118" ht="15.75" customHeight="1">
      <c r="H118" s="38"/>
      <c r="I118" s="38"/>
    </row>
    <row r="119" ht="15.75" customHeight="1">
      <c r="H119" s="38"/>
      <c r="I119" s="38"/>
    </row>
    <row r="120" ht="15.75" customHeight="1">
      <c r="H120" s="38"/>
      <c r="I120" s="38"/>
    </row>
    <row r="121" ht="15.75" customHeight="1">
      <c r="H121" s="38"/>
      <c r="I121" s="38"/>
    </row>
    <row r="122" ht="15.75" customHeight="1">
      <c r="H122" s="38"/>
      <c r="I122" s="38"/>
    </row>
    <row r="123" ht="15.75" customHeight="1">
      <c r="H123" s="38"/>
      <c r="I123" s="38"/>
    </row>
    <row r="124" ht="15.75" customHeight="1">
      <c r="H124" s="38"/>
      <c r="I124" s="38"/>
    </row>
    <row r="125" ht="15.75" customHeight="1">
      <c r="H125" s="38"/>
      <c r="I125" s="38"/>
    </row>
    <row r="126" ht="15.75" customHeight="1">
      <c r="H126" s="38"/>
      <c r="I126" s="38"/>
    </row>
    <row r="127" ht="15.75" customHeight="1">
      <c r="H127" s="38"/>
      <c r="I127" s="38"/>
    </row>
    <row r="128" ht="15.75" customHeight="1">
      <c r="H128" s="38"/>
      <c r="I128" s="38"/>
    </row>
    <row r="129" ht="15.75" customHeight="1">
      <c r="H129" s="38"/>
      <c r="I129" s="38"/>
    </row>
    <row r="130" ht="15.75" customHeight="1">
      <c r="H130" s="38"/>
      <c r="I130" s="38"/>
    </row>
    <row r="131" ht="15.75" customHeight="1">
      <c r="H131" s="38"/>
      <c r="I131" s="38"/>
    </row>
    <row r="132" ht="15.75" customHeight="1">
      <c r="H132" s="38"/>
      <c r="I132" s="38"/>
    </row>
    <row r="133" ht="15.75" customHeight="1">
      <c r="H133" s="38"/>
      <c r="I133" s="38"/>
    </row>
    <row r="134" ht="15.75" customHeight="1">
      <c r="H134" s="38"/>
      <c r="I134" s="38"/>
    </row>
    <row r="135" ht="15.75" customHeight="1">
      <c r="H135" s="38"/>
      <c r="I135" s="38"/>
    </row>
    <row r="136" ht="15.75" customHeight="1">
      <c r="H136" s="38"/>
      <c r="I136" s="38"/>
    </row>
    <row r="137" ht="15.75" customHeight="1">
      <c r="H137" s="38"/>
      <c r="I137" s="38"/>
    </row>
    <row r="138" ht="15.75" customHeight="1">
      <c r="H138" s="38"/>
      <c r="I138" s="38"/>
    </row>
    <row r="139" ht="15.75" customHeight="1">
      <c r="H139" s="38"/>
      <c r="I139" s="38"/>
    </row>
    <row r="140" ht="15.75" customHeight="1">
      <c r="H140" s="38"/>
      <c r="I140" s="38"/>
    </row>
    <row r="141" ht="15.75" customHeight="1">
      <c r="H141" s="38"/>
      <c r="I141" s="38"/>
    </row>
    <row r="142" ht="15.75" customHeight="1">
      <c r="H142" s="38"/>
      <c r="I142" s="38"/>
    </row>
    <row r="143" ht="15.75" customHeight="1">
      <c r="H143" s="38"/>
      <c r="I143" s="38"/>
    </row>
    <row r="144" ht="15.75" customHeight="1">
      <c r="H144" s="38"/>
      <c r="I144" s="38"/>
    </row>
    <row r="145" ht="15.75" customHeight="1">
      <c r="H145" s="38"/>
      <c r="I145" s="38"/>
    </row>
    <row r="146" ht="15.75" customHeight="1">
      <c r="H146" s="38"/>
      <c r="I146" s="38"/>
    </row>
    <row r="147" ht="15.75" customHeight="1">
      <c r="H147" s="38"/>
      <c r="I147" s="38"/>
    </row>
    <row r="148" ht="15.75" customHeight="1">
      <c r="H148" s="38"/>
      <c r="I148" s="38"/>
    </row>
    <row r="149" ht="15.75" customHeight="1">
      <c r="H149" s="38"/>
      <c r="I149" s="38"/>
    </row>
    <row r="150" ht="15.75" customHeight="1">
      <c r="H150" s="38"/>
      <c r="I150" s="38"/>
    </row>
    <row r="151" ht="15.75" customHeight="1">
      <c r="H151" s="38"/>
      <c r="I151" s="38"/>
    </row>
    <row r="152" ht="15.75" customHeight="1">
      <c r="H152" s="38"/>
      <c r="I152" s="38"/>
    </row>
    <row r="153" ht="15.75" customHeight="1">
      <c r="H153" s="38"/>
      <c r="I153" s="38"/>
    </row>
    <row r="154" ht="15.75" customHeight="1">
      <c r="H154" s="38"/>
      <c r="I154" s="38"/>
    </row>
    <row r="155" ht="15.75" customHeight="1">
      <c r="H155" s="38"/>
      <c r="I155" s="38"/>
    </row>
    <row r="156" ht="15.75" customHeight="1">
      <c r="H156" s="38"/>
      <c r="I156" s="38"/>
    </row>
    <row r="157" ht="15.75" customHeight="1">
      <c r="H157" s="38"/>
      <c r="I157" s="38"/>
    </row>
    <row r="158" ht="15.75" customHeight="1">
      <c r="H158" s="38"/>
      <c r="I158" s="38"/>
    </row>
    <row r="159" ht="15.75" customHeight="1">
      <c r="H159" s="38"/>
      <c r="I159" s="38"/>
    </row>
    <row r="160" ht="15.75" customHeight="1">
      <c r="H160" s="38"/>
      <c r="I160" s="38"/>
    </row>
    <row r="161" ht="15.75" customHeight="1">
      <c r="H161" s="38"/>
      <c r="I161" s="38"/>
    </row>
    <row r="162" ht="15.75" customHeight="1">
      <c r="H162" s="38"/>
      <c r="I162" s="38"/>
    </row>
    <row r="163" ht="15.75" customHeight="1">
      <c r="H163" s="38"/>
      <c r="I163" s="38"/>
    </row>
    <row r="164" ht="15.75" customHeight="1">
      <c r="H164" s="38"/>
      <c r="I164" s="38"/>
    </row>
    <row r="165" ht="15.75" customHeight="1">
      <c r="H165" s="38"/>
      <c r="I165" s="38"/>
    </row>
    <row r="166" ht="15.75" customHeight="1">
      <c r="H166" s="38"/>
      <c r="I166" s="38"/>
    </row>
    <row r="167" ht="15.75" customHeight="1">
      <c r="H167" s="38"/>
      <c r="I167" s="38"/>
    </row>
    <row r="168" ht="15.75" customHeight="1">
      <c r="H168" s="38"/>
      <c r="I168" s="38"/>
    </row>
    <row r="169" ht="15.75" customHeight="1">
      <c r="H169" s="38"/>
      <c r="I169" s="38"/>
    </row>
    <row r="170" ht="15.75" customHeight="1">
      <c r="H170" s="38"/>
      <c r="I170" s="38"/>
    </row>
    <row r="171" ht="15.75" customHeight="1">
      <c r="H171" s="38"/>
      <c r="I171" s="38"/>
    </row>
    <row r="172" ht="15.75" customHeight="1">
      <c r="H172" s="38"/>
      <c r="I172" s="38"/>
    </row>
    <row r="173" ht="15.75" customHeight="1">
      <c r="H173" s="38"/>
      <c r="I173" s="38"/>
    </row>
    <row r="174" ht="15.75" customHeight="1">
      <c r="H174" s="38"/>
      <c r="I174" s="38"/>
    </row>
    <row r="175" ht="15.75" customHeight="1">
      <c r="H175" s="38"/>
      <c r="I175" s="38"/>
    </row>
    <row r="176" ht="15.75" customHeight="1">
      <c r="H176" s="38"/>
      <c r="I176" s="38"/>
    </row>
    <row r="177" ht="15.75" customHeight="1">
      <c r="H177" s="38"/>
      <c r="I177" s="38"/>
    </row>
    <row r="178" ht="15.75" customHeight="1">
      <c r="H178" s="38"/>
      <c r="I178" s="38"/>
    </row>
    <row r="179" ht="15.75" customHeight="1">
      <c r="H179" s="38"/>
      <c r="I179" s="38"/>
    </row>
    <row r="180" ht="15.75" customHeight="1">
      <c r="H180" s="38"/>
      <c r="I180" s="38"/>
    </row>
    <row r="181" ht="15.75" customHeight="1">
      <c r="H181" s="38"/>
      <c r="I181" s="38"/>
    </row>
    <row r="182" ht="15.75" customHeight="1">
      <c r="H182" s="38"/>
      <c r="I182" s="38"/>
    </row>
    <row r="183" ht="15.75" customHeight="1">
      <c r="H183" s="38"/>
      <c r="I183" s="38"/>
    </row>
    <row r="184" ht="15.75" customHeight="1">
      <c r="H184" s="38"/>
      <c r="I184" s="38"/>
    </row>
    <row r="185" ht="15.75" customHeight="1">
      <c r="H185" s="38"/>
      <c r="I185" s="38"/>
    </row>
    <row r="186" ht="15.75" customHeight="1">
      <c r="H186" s="38"/>
      <c r="I186" s="38"/>
    </row>
    <row r="187" ht="15.75" customHeight="1">
      <c r="H187" s="38"/>
      <c r="I187" s="38"/>
    </row>
    <row r="188" ht="15.75" customHeight="1">
      <c r="H188" s="38"/>
      <c r="I188" s="38"/>
    </row>
    <row r="189" ht="15.75" customHeight="1">
      <c r="H189" s="38"/>
      <c r="I189" s="38"/>
    </row>
    <row r="190" ht="15.75" customHeight="1">
      <c r="H190" s="38"/>
      <c r="I190" s="38"/>
    </row>
    <row r="191" ht="15.75" customHeight="1">
      <c r="H191" s="38"/>
      <c r="I191" s="38"/>
    </row>
    <row r="192" ht="15.75" customHeight="1">
      <c r="H192" s="38"/>
      <c r="I192" s="38"/>
    </row>
    <row r="193" ht="15.75" customHeight="1">
      <c r="H193" s="38"/>
      <c r="I193" s="38"/>
    </row>
    <row r="194" ht="15.75" customHeight="1">
      <c r="H194" s="38"/>
      <c r="I194" s="38"/>
    </row>
    <row r="195" ht="15.75" customHeight="1">
      <c r="H195" s="38"/>
      <c r="I195" s="38"/>
    </row>
    <row r="196" ht="15.75" customHeight="1">
      <c r="H196" s="38"/>
      <c r="I196" s="38"/>
    </row>
    <row r="197" ht="15.75" customHeight="1">
      <c r="H197" s="38"/>
      <c r="I197" s="38"/>
    </row>
    <row r="198" ht="15.75" customHeight="1">
      <c r="H198" s="38"/>
      <c r="I198" s="38"/>
    </row>
    <row r="199" ht="15.75" customHeight="1">
      <c r="H199" s="38"/>
      <c r="I199" s="38"/>
    </row>
    <row r="200" ht="15.75" customHeight="1">
      <c r="H200" s="38"/>
      <c r="I200" s="38"/>
    </row>
    <row r="201" ht="15.75" customHeight="1">
      <c r="H201" s="38"/>
      <c r="I201" s="38"/>
    </row>
    <row r="202" ht="15.75" customHeight="1">
      <c r="H202" s="38"/>
      <c r="I202" s="38"/>
    </row>
    <row r="203" ht="15.75" customHeight="1">
      <c r="H203" s="38"/>
      <c r="I203" s="38"/>
    </row>
    <row r="204" ht="15.75" customHeight="1">
      <c r="H204" s="38"/>
      <c r="I204" s="38"/>
    </row>
    <row r="205" ht="15.75" customHeight="1">
      <c r="H205" s="38"/>
      <c r="I205" s="38"/>
    </row>
    <row r="206" ht="15.75" customHeight="1">
      <c r="H206" s="38"/>
      <c r="I206" s="38"/>
    </row>
    <row r="207" ht="15.75" customHeight="1">
      <c r="H207" s="38"/>
      <c r="I207" s="38"/>
    </row>
    <row r="208" ht="15.75" customHeight="1">
      <c r="H208" s="38"/>
      <c r="I208" s="38"/>
    </row>
    <row r="209" ht="15.75" customHeight="1">
      <c r="H209" s="38"/>
      <c r="I209" s="38"/>
    </row>
    <row r="210" ht="15.75" customHeight="1">
      <c r="H210" s="38"/>
      <c r="I210" s="38"/>
    </row>
    <row r="211" ht="15.75" customHeight="1">
      <c r="H211" s="38"/>
      <c r="I211" s="38"/>
    </row>
    <row r="212" ht="15.75" customHeight="1">
      <c r="H212" s="38"/>
      <c r="I212" s="38"/>
    </row>
    <row r="213" ht="15.75" customHeight="1">
      <c r="H213" s="38"/>
      <c r="I213" s="38"/>
    </row>
    <row r="214" ht="15.75" customHeight="1">
      <c r="H214" s="38"/>
      <c r="I214" s="38"/>
    </row>
    <row r="215" ht="15.75" customHeight="1">
      <c r="H215" s="38"/>
      <c r="I215" s="38"/>
    </row>
    <row r="216" ht="15.75" customHeight="1">
      <c r="H216" s="38"/>
      <c r="I216" s="38"/>
    </row>
    <row r="217" ht="15.75" customHeight="1">
      <c r="H217" s="38"/>
      <c r="I217" s="38"/>
    </row>
    <row r="218" ht="15.75" customHeight="1">
      <c r="H218" s="38"/>
      <c r="I218" s="38"/>
    </row>
    <row r="219" ht="15.75" customHeight="1">
      <c r="H219" s="38"/>
      <c r="I219" s="38"/>
    </row>
    <row r="220" ht="15.75" customHeight="1">
      <c r="H220" s="38"/>
      <c r="I220" s="38"/>
    </row>
    <row r="221" ht="15.75" customHeight="1">
      <c r="H221" s="38"/>
      <c r="I221" s="38"/>
    </row>
    <row r="222" ht="15.75" customHeight="1">
      <c r="H222" s="38"/>
      <c r="I222" s="38"/>
    </row>
    <row r="223" ht="15.75" customHeight="1">
      <c r="H223" s="38"/>
      <c r="I223" s="38"/>
    </row>
    <row r="224" ht="15.75" customHeight="1">
      <c r="H224" s="38"/>
      <c r="I224" s="38"/>
    </row>
    <row r="225" ht="15.75" customHeight="1">
      <c r="H225" s="38"/>
      <c r="I225" s="38"/>
    </row>
    <row r="226" ht="15.75" customHeight="1">
      <c r="H226" s="38"/>
      <c r="I226" s="38"/>
    </row>
    <row r="227" ht="15.75" customHeight="1">
      <c r="H227" s="38"/>
      <c r="I227" s="38"/>
    </row>
    <row r="228" ht="15.75" customHeight="1">
      <c r="H228" s="38"/>
      <c r="I228" s="38"/>
    </row>
    <row r="229" ht="15.75" customHeight="1">
      <c r="H229" s="38"/>
      <c r="I229" s="38"/>
    </row>
    <row r="230" ht="15.75" customHeight="1">
      <c r="H230" s="38"/>
      <c r="I230" s="38"/>
    </row>
    <row r="231" ht="15.75" customHeight="1">
      <c r="H231" s="38"/>
      <c r="I231" s="38"/>
    </row>
    <row r="232" ht="15.75" customHeight="1">
      <c r="H232" s="38"/>
      <c r="I232" s="38"/>
    </row>
    <row r="233" ht="15.75" customHeight="1">
      <c r="H233" s="38"/>
      <c r="I233" s="38"/>
    </row>
    <row r="234" ht="15.75" customHeight="1">
      <c r="H234" s="38"/>
      <c r="I234" s="38"/>
    </row>
    <row r="235" ht="15.75" customHeight="1">
      <c r="H235" s="38"/>
      <c r="I235" s="38"/>
    </row>
    <row r="236" ht="15.75" customHeight="1">
      <c r="H236" s="38"/>
      <c r="I236" s="38"/>
    </row>
    <row r="237" ht="15.75" customHeight="1">
      <c r="H237" s="38"/>
      <c r="I237" s="38"/>
    </row>
    <row r="238" ht="15.75" customHeight="1">
      <c r="H238" s="38"/>
      <c r="I238" s="38"/>
    </row>
    <row r="239" ht="15.75" customHeight="1">
      <c r="H239" s="38"/>
      <c r="I239" s="38"/>
    </row>
    <row r="240" ht="15.75" customHeight="1">
      <c r="H240" s="38"/>
      <c r="I240" s="38"/>
    </row>
    <row r="241" ht="15.75" customHeight="1">
      <c r="H241" s="38"/>
      <c r="I241" s="38"/>
    </row>
    <row r="242" ht="15.75" customHeight="1">
      <c r="H242" s="38"/>
      <c r="I242" s="38"/>
    </row>
    <row r="243" ht="15.75" customHeight="1">
      <c r="H243" s="38"/>
      <c r="I243" s="38"/>
    </row>
    <row r="244" ht="15.75" customHeight="1">
      <c r="H244" s="38"/>
      <c r="I244" s="38"/>
    </row>
    <row r="245" ht="15.75" customHeight="1">
      <c r="H245" s="38"/>
      <c r="I245" s="38"/>
    </row>
    <row r="246" ht="15.75" customHeight="1">
      <c r="H246" s="38"/>
      <c r="I246" s="38"/>
    </row>
    <row r="247" ht="15.75" customHeight="1">
      <c r="H247" s="38"/>
      <c r="I247" s="38"/>
    </row>
    <row r="248" ht="15.75" customHeight="1">
      <c r="H248" s="38"/>
      <c r="I248" s="38"/>
    </row>
    <row r="249" ht="15.75" customHeight="1">
      <c r="H249" s="38"/>
      <c r="I249" s="38"/>
    </row>
    <row r="250" ht="15.75" customHeight="1">
      <c r="H250" s="38"/>
      <c r="I250" s="38"/>
    </row>
    <row r="251" ht="15.75" customHeight="1">
      <c r="H251" s="38"/>
      <c r="I251" s="38"/>
    </row>
    <row r="252" ht="15.75" customHeight="1">
      <c r="H252" s="38"/>
      <c r="I252" s="38"/>
    </row>
    <row r="253" ht="15.75" customHeight="1">
      <c r="H253" s="38"/>
      <c r="I253" s="38"/>
    </row>
    <row r="254" ht="15.75" customHeight="1">
      <c r="H254" s="38"/>
      <c r="I254" s="38"/>
    </row>
    <row r="255" ht="15.75" customHeight="1">
      <c r="H255" s="38"/>
      <c r="I255" s="38"/>
    </row>
    <row r="256" ht="15.75" customHeight="1">
      <c r="H256" s="38"/>
      <c r="I256" s="38"/>
    </row>
    <row r="257" ht="15.75" customHeight="1">
      <c r="H257" s="38"/>
      <c r="I257" s="38"/>
    </row>
    <row r="258" ht="15.75" customHeight="1">
      <c r="H258" s="38"/>
      <c r="I258" s="38"/>
    </row>
    <row r="259" ht="15.75" customHeight="1">
      <c r="H259" s="38"/>
      <c r="I259" s="38"/>
    </row>
    <row r="260" ht="15.75" customHeight="1">
      <c r="H260" s="38"/>
      <c r="I260" s="38"/>
    </row>
    <row r="261" ht="15.75" customHeight="1">
      <c r="H261" s="38"/>
      <c r="I261" s="38"/>
    </row>
    <row r="262" ht="15.75" customHeight="1">
      <c r="H262" s="38"/>
      <c r="I262" s="38"/>
    </row>
    <row r="263" ht="15.75" customHeight="1">
      <c r="H263" s="38"/>
      <c r="I263" s="38"/>
    </row>
    <row r="264" ht="15.75" customHeight="1">
      <c r="H264" s="38"/>
      <c r="I264" s="38"/>
    </row>
    <row r="265" ht="15.75" customHeight="1">
      <c r="H265" s="38"/>
      <c r="I265" s="38"/>
    </row>
    <row r="266" ht="15.75" customHeight="1">
      <c r="H266" s="38"/>
      <c r="I266" s="38"/>
    </row>
    <row r="267" ht="15.75" customHeight="1">
      <c r="H267" s="38"/>
      <c r="I267" s="38"/>
    </row>
    <row r="268" ht="15.75" customHeight="1">
      <c r="H268" s="38"/>
      <c r="I268" s="38"/>
    </row>
    <row r="269" ht="15.75" customHeight="1">
      <c r="H269" s="38"/>
      <c r="I269" s="38"/>
    </row>
    <row r="270" ht="15.75" customHeight="1">
      <c r="H270" s="38"/>
      <c r="I270" s="38"/>
    </row>
    <row r="271" ht="15.75" customHeight="1">
      <c r="H271" s="38"/>
      <c r="I271" s="38"/>
    </row>
    <row r="272" ht="15.75" customHeight="1">
      <c r="H272" s="38"/>
      <c r="I272" s="38"/>
    </row>
    <row r="273" ht="15.75" customHeight="1">
      <c r="H273" s="38"/>
      <c r="I273" s="38"/>
    </row>
    <row r="274" ht="15.75" customHeight="1">
      <c r="H274" s="38"/>
      <c r="I274" s="38"/>
    </row>
    <row r="275" ht="15.75" customHeight="1">
      <c r="H275" s="38"/>
      <c r="I275" s="38"/>
    </row>
    <row r="276" ht="15.75" customHeight="1">
      <c r="H276" s="38"/>
      <c r="I276" s="38"/>
    </row>
    <row r="277" ht="15.75" customHeight="1">
      <c r="H277" s="38"/>
      <c r="I277" s="38"/>
    </row>
    <row r="278" ht="15.75" customHeight="1">
      <c r="H278" s="38"/>
      <c r="I278" s="38"/>
    </row>
    <row r="279" ht="15.75" customHeight="1">
      <c r="H279" s="38"/>
      <c r="I279" s="38"/>
    </row>
    <row r="280" ht="15.75" customHeight="1">
      <c r="H280" s="38"/>
      <c r="I280" s="38"/>
    </row>
    <row r="281" ht="15.75" customHeight="1">
      <c r="H281" s="38"/>
      <c r="I281" s="38"/>
    </row>
    <row r="282" ht="15.75" customHeight="1">
      <c r="H282" s="38"/>
      <c r="I282" s="38"/>
    </row>
    <row r="283" ht="15.75" customHeight="1">
      <c r="H283" s="38"/>
      <c r="I283" s="38"/>
    </row>
    <row r="284" ht="15.75" customHeight="1">
      <c r="H284" s="38"/>
      <c r="I284" s="38"/>
    </row>
    <row r="285" ht="15.75" customHeight="1">
      <c r="H285" s="38"/>
      <c r="I285" s="38"/>
    </row>
    <row r="286" ht="15.75" customHeight="1">
      <c r="H286" s="38"/>
      <c r="I286" s="38"/>
    </row>
    <row r="287" ht="15.75" customHeight="1">
      <c r="H287" s="38"/>
      <c r="I287" s="38"/>
    </row>
    <row r="288" ht="15.75" customHeight="1">
      <c r="H288" s="38"/>
      <c r="I288" s="38"/>
    </row>
    <row r="289" ht="15.75" customHeight="1">
      <c r="H289" s="38"/>
      <c r="I289" s="38"/>
    </row>
    <row r="290" ht="15.75" customHeight="1">
      <c r="H290" s="38"/>
      <c r="I290" s="38"/>
    </row>
    <row r="291" ht="15.75" customHeight="1">
      <c r="H291" s="38"/>
      <c r="I291" s="38"/>
    </row>
    <row r="292" ht="15.75" customHeight="1">
      <c r="H292" s="38"/>
      <c r="I292" s="38"/>
    </row>
    <row r="293" ht="15.75" customHeight="1">
      <c r="H293" s="38"/>
      <c r="I293" s="38"/>
    </row>
    <row r="294" ht="15.75" customHeight="1">
      <c r="H294" s="38"/>
      <c r="I294" s="38"/>
    </row>
    <row r="295" ht="15.75" customHeight="1">
      <c r="H295" s="38"/>
      <c r="I295" s="38"/>
    </row>
    <row r="296" ht="15.75" customHeight="1">
      <c r="H296" s="38"/>
      <c r="I296" s="38"/>
    </row>
    <row r="297" ht="15.75" customHeight="1">
      <c r="H297" s="38"/>
      <c r="I297" s="38"/>
    </row>
    <row r="298" ht="15.75" customHeight="1">
      <c r="H298" s="38"/>
      <c r="I298" s="38"/>
    </row>
    <row r="299" ht="15.75" customHeight="1">
      <c r="H299" s="38"/>
      <c r="I299" s="38"/>
    </row>
    <row r="300" ht="15.75" customHeight="1">
      <c r="H300" s="38"/>
      <c r="I300" s="38"/>
    </row>
    <row r="301" ht="15.75" customHeight="1">
      <c r="H301" s="38"/>
      <c r="I301" s="38"/>
    </row>
    <row r="302" ht="15.75" customHeight="1">
      <c r="H302" s="38"/>
      <c r="I302" s="38"/>
    </row>
    <row r="303" ht="15.75" customHeight="1">
      <c r="H303" s="38"/>
      <c r="I303" s="38"/>
    </row>
    <row r="304" ht="15.75" customHeight="1">
      <c r="H304" s="38"/>
      <c r="I304" s="38"/>
    </row>
    <row r="305" ht="15.75" customHeight="1">
      <c r="H305" s="38"/>
      <c r="I305" s="38"/>
    </row>
    <row r="306" ht="15.75" customHeight="1">
      <c r="H306" s="38"/>
      <c r="I306" s="38"/>
    </row>
    <row r="307" ht="15.75" customHeight="1">
      <c r="H307" s="38"/>
      <c r="I307" s="38"/>
    </row>
    <row r="308" ht="15.75" customHeight="1">
      <c r="H308" s="38"/>
      <c r="I308" s="38"/>
    </row>
    <row r="309" ht="15.75" customHeight="1">
      <c r="H309" s="38"/>
      <c r="I309" s="38"/>
    </row>
    <row r="310" ht="15.75" customHeight="1">
      <c r="H310" s="38"/>
      <c r="I310" s="38"/>
    </row>
    <row r="311" ht="15.75" customHeight="1">
      <c r="H311" s="38"/>
      <c r="I311" s="38"/>
    </row>
    <row r="312" ht="15.75" customHeight="1">
      <c r="H312" s="38"/>
      <c r="I312" s="38"/>
    </row>
    <row r="313" ht="15.75" customHeight="1">
      <c r="H313" s="38"/>
      <c r="I313" s="38"/>
    </row>
    <row r="314" ht="15.75" customHeight="1">
      <c r="H314" s="38"/>
      <c r="I314" s="38"/>
    </row>
    <row r="315" ht="15.75" customHeight="1">
      <c r="H315" s="38"/>
      <c r="I315" s="38"/>
    </row>
    <row r="316" ht="15.75" customHeight="1">
      <c r="H316" s="38"/>
      <c r="I316" s="38"/>
    </row>
    <row r="317" ht="15.75" customHeight="1">
      <c r="H317" s="38"/>
      <c r="I317" s="38"/>
    </row>
    <row r="318" ht="15.75" customHeight="1">
      <c r="H318" s="38"/>
      <c r="I318" s="38"/>
    </row>
    <row r="319" ht="15.75" customHeight="1">
      <c r="H319" s="38"/>
      <c r="I319" s="38"/>
    </row>
    <row r="320" ht="15.75" customHeight="1">
      <c r="H320" s="38"/>
      <c r="I320" s="38"/>
    </row>
    <row r="321" ht="15.75" customHeight="1">
      <c r="H321" s="38"/>
      <c r="I321" s="38"/>
    </row>
    <row r="322" ht="15.75" customHeight="1">
      <c r="H322" s="38"/>
      <c r="I322" s="38"/>
    </row>
    <row r="323" ht="15.75" customHeight="1">
      <c r="H323" s="38"/>
      <c r="I323" s="38"/>
    </row>
    <row r="324" ht="15.75" customHeight="1">
      <c r="H324" s="38"/>
      <c r="I324" s="38"/>
    </row>
    <row r="325" ht="15.75" customHeight="1">
      <c r="H325" s="38"/>
      <c r="I325" s="38"/>
    </row>
    <row r="326" ht="15.75" customHeight="1">
      <c r="H326" s="38"/>
      <c r="I326" s="38"/>
    </row>
    <row r="327" ht="15.75" customHeight="1">
      <c r="H327" s="38"/>
      <c r="I327" s="38"/>
    </row>
    <row r="328" ht="15.75" customHeight="1">
      <c r="H328" s="38"/>
      <c r="I328" s="38"/>
    </row>
    <row r="329" ht="15.75" customHeight="1">
      <c r="H329" s="38"/>
      <c r="I329" s="38"/>
    </row>
    <row r="330" ht="15.75" customHeight="1">
      <c r="H330" s="38"/>
      <c r="I330" s="38"/>
    </row>
    <row r="331" ht="15.75" customHeight="1">
      <c r="H331" s="38"/>
      <c r="I331" s="38"/>
    </row>
    <row r="332" ht="15.75" customHeight="1">
      <c r="H332" s="38"/>
      <c r="I332" s="38"/>
    </row>
    <row r="333" ht="15.75" customHeight="1">
      <c r="H333" s="38"/>
      <c r="I333" s="38"/>
    </row>
    <row r="334" ht="15.75" customHeight="1">
      <c r="H334" s="38"/>
      <c r="I334" s="38"/>
    </row>
    <row r="335" ht="15.75" customHeight="1">
      <c r="H335" s="38"/>
      <c r="I335" s="38"/>
    </row>
    <row r="336" ht="15.75" customHeight="1">
      <c r="H336" s="38"/>
      <c r="I336" s="38"/>
    </row>
    <row r="337" ht="15.75" customHeight="1">
      <c r="H337" s="38"/>
      <c r="I337" s="38"/>
    </row>
    <row r="338" ht="15.75" customHeight="1">
      <c r="H338" s="38"/>
      <c r="I338" s="38"/>
    </row>
    <row r="339" ht="15.75" customHeight="1">
      <c r="H339" s="38"/>
      <c r="I339" s="38"/>
    </row>
    <row r="340" ht="15.75" customHeight="1">
      <c r="H340" s="38"/>
      <c r="I340" s="38"/>
    </row>
    <row r="341" ht="15.75" customHeight="1">
      <c r="H341" s="38"/>
      <c r="I341" s="38"/>
    </row>
    <row r="342" ht="15.75" customHeight="1">
      <c r="H342" s="38"/>
      <c r="I342" s="38"/>
    </row>
    <row r="343" ht="15.75" customHeight="1">
      <c r="H343" s="38"/>
      <c r="I343" s="38"/>
    </row>
    <row r="344" ht="15.75" customHeight="1">
      <c r="H344" s="38"/>
      <c r="I344" s="38"/>
    </row>
    <row r="345" ht="15.75" customHeight="1">
      <c r="H345" s="38"/>
      <c r="I345" s="38"/>
    </row>
    <row r="346" ht="15.75" customHeight="1">
      <c r="H346" s="38"/>
      <c r="I346" s="38"/>
    </row>
    <row r="347" ht="15.75" customHeight="1">
      <c r="H347" s="38"/>
      <c r="I347" s="38"/>
    </row>
    <row r="348" ht="15.75" customHeight="1">
      <c r="H348" s="38"/>
      <c r="I348" s="38"/>
    </row>
    <row r="349" ht="15.75" customHeight="1">
      <c r="H349" s="38"/>
      <c r="I349" s="38"/>
    </row>
    <row r="350" ht="15.75" customHeight="1">
      <c r="H350" s="38"/>
      <c r="I350" s="38"/>
    </row>
    <row r="351" ht="15.75" customHeight="1">
      <c r="H351" s="38"/>
      <c r="I351" s="38"/>
    </row>
    <row r="352" ht="15.75" customHeight="1">
      <c r="H352" s="38"/>
      <c r="I352" s="38"/>
    </row>
    <row r="353" ht="15.75" customHeight="1">
      <c r="H353" s="38"/>
      <c r="I353" s="38"/>
    </row>
    <row r="354" ht="15.75" customHeight="1">
      <c r="H354" s="38"/>
      <c r="I354" s="38"/>
    </row>
    <row r="355" ht="15.75" customHeight="1">
      <c r="H355" s="38"/>
      <c r="I355" s="38"/>
    </row>
    <row r="356" ht="15.75" customHeight="1">
      <c r="H356" s="38"/>
      <c r="I356" s="38"/>
    </row>
    <row r="357" ht="15.75" customHeight="1">
      <c r="H357" s="38"/>
      <c r="I357" s="38"/>
    </row>
    <row r="358" ht="15.75" customHeight="1">
      <c r="H358" s="38"/>
      <c r="I358" s="38"/>
    </row>
    <row r="359" ht="15.75" customHeight="1">
      <c r="H359" s="38"/>
      <c r="I359" s="38"/>
    </row>
    <row r="360" ht="15.75" customHeight="1">
      <c r="H360" s="38"/>
      <c r="I360" s="38"/>
    </row>
    <row r="361" ht="15.75" customHeight="1">
      <c r="H361" s="38"/>
      <c r="I361" s="38"/>
    </row>
    <row r="362" ht="15.75" customHeight="1">
      <c r="H362" s="38"/>
      <c r="I362" s="38"/>
    </row>
    <row r="363" ht="15.75" customHeight="1">
      <c r="H363" s="38"/>
      <c r="I363" s="38"/>
    </row>
    <row r="364" ht="15.75" customHeight="1">
      <c r="H364" s="38"/>
      <c r="I364" s="38"/>
    </row>
    <row r="365" ht="15.75" customHeight="1">
      <c r="H365" s="38"/>
      <c r="I365" s="38"/>
    </row>
    <row r="366" ht="15.75" customHeight="1">
      <c r="H366" s="38"/>
      <c r="I366" s="38"/>
    </row>
    <row r="367" ht="15.75" customHeight="1">
      <c r="H367" s="38"/>
      <c r="I367" s="38"/>
    </row>
    <row r="368" ht="15.75" customHeight="1">
      <c r="H368" s="38"/>
      <c r="I368" s="38"/>
    </row>
    <row r="369" ht="15.75" customHeight="1">
      <c r="H369" s="38"/>
      <c r="I369" s="38"/>
    </row>
    <row r="370" ht="15.75" customHeight="1">
      <c r="H370" s="38"/>
      <c r="I370" s="38"/>
    </row>
    <row r="371" ht="15.75" customHeight="1">
      <c r="H371" s="38"/>
      <c r="I371" s="38"/>
    </row>
    <row r="372" ht="15.75" customHeight="1">
      <c r="H372" s="38"/>
      <c r="I372" s="38"/>
    </row>
    <row r="373" ht="15.75" customHeight="1">
      <c r="H373" s="38"/>
      <c r="I373" s="38"/>
    </row>
    <row r="374" ht="15.75" customHeight="1">
      <c r="H374" s="38"/>
      <c r="I374" s="38"/>
    </row>
    <row r="375" ht="15.75" customHeight="1">
      <c r="H375" s="38"/>
      <c r="I375" s="38"/>
    </row>
    <row r="376" ht="15.75" customHeight="1">
      <c r="H376" s="38"/>
      <c r="I376" s="38"/>
    </row>
    <row r="377" ht="15.75" customHeight="1">
      <c r="H377" s="38"/>
      <c r="I377" s="38"/>
    </row>
    <row r="378" ht="15.75" customHeight="1">
      <c r="H378" s="38"/>
      <c r="I378" s="38"/>
    </row>
    <row r="379" ht="15.75" customHeight="1">
      <c r="H379" s="38"/>
      <c r="I379" s="38"/>
    </row>
    <row r="380" ht="15.75" customHeight="1">
      <c r="H380" s="38"/>
      <c r="I380" s="38"/>
    </row>
    <row r="381" ht="15.75" customHeight="1">
      <c r="H381" s="38"/>
      <c r="I381" s="38"/>
    </row>
    <row r="382" ht="15.75" customHeight="1">
      <c r="H382" s="38"/>
      <c r="I382" s="38"/>
    </row>
    <row r="383" ht="15.75" customHeight="1">
      <c r="H383" s="38"/>
      <c r="I383" s="38"/>
    </row>
    <row r="384" ht="15.75" customHeight="1">
      <c r="H384" s="38"/>
      <c r="I384" s="38"/>
    </row>
    <row r="385" ht="15.75" customHeight="1">
      <c r="H385" s="38"/>
      <c r="I385" s="38"/>
    </row>
    <row r="386" ht="15.75" customHeight="1">
      <c r="H386" s="38"/>
      <c r="I386" s="38"/>
    </row>
    <row r="387" ht="15.75" customHeight="1">
      <c r="H387" s="38"/>
      <c r="I387" s="38"/>
    </row>
    <row r="388" ht="15.75" customHeight="1">
      <c r="H388" s="38"/>
      <c r="I388" s="38"/>
    </row>
    <row r="389" ht="15.75" customHeight="1">
      <c r="H389" s="38"/>
      <c r="I389" s="38"/>
    </row>
    <row r="390" ht="15.75" customHeight="1">
      <c r="H390" s="38"/>
      <c r="I390" s="38"/>
    </row>
    <row r="391" ht="15.75" customHeight="1">
      <c r="H391" s="38"/>
      <c r="I391" s="38"/>
    </row>
    <row r="392" ht="15.75" customHeight="1">
      <c r="H392" s="38"/>
      <c r="I392" s="38"/>
    </row>
    <row r="393" ht="15.75" customHeight="1">
      <c r="H393" s="38"/>
      <c r="I393" s="38"/>
    </row>
    <row r="394" ht="15.75" customHeight="1">
      <c r="H394" s="38"/>
      <c r="I394" s="38"/>
    </row>
    <row r="395" ht="15.75" customHeight="1">
      <c r="H395" s="38"/>
      <c r="I395" s="38"/>
    </row>
    <row r="396" ht="15.75" customHeight="1">
      <c r="H396" s="38"/>
      <c r="I396" s="38"/>
    </row>
    <row r="397" ht="15.75" customHeight="1">
      <c r="H397" s="38"/>
      <c r="I397" s="38"/>
    </row>
    <row r="398" ht="15.75" customHeight="1">
      <c r="H398" s="38"/>
      <c r="I398" s="38"/>
    </row>
    <row r="399" ht="15.75" customHeight="1">
      <c r="H399" s="38"/>
      <c r="I399" s="38"/>
    </row>
    <row r="400" ht="15.75" customHeight="1">
      <c r="H400" s="38"/>
      <c r="I400" s="38"/>
    </row>
    <row r="401" ht="15.75" customHeight="1">
      <c r="H401" s="38"/>
      <c r="I401" s="38"/>
    </row>
    <row r="402" ht="15.75" customHeight="1">
      <c r="H402" s="38"/>
      <c r="I402" s="38"/>
    </row>
    <row r="403" ht="15.75" customHeight="1">
      <c r="H403" s="38"/>
      <c r="I403" s="38"/>
    </row>
    <row r="404" ht="15.75" customHeight="1">
      <c r="H404" s="38"/>
      <c r="I404" s="38"/>
    </row>
    <row r="405" ht="15.75" customHeight="1">
      <c r="H405" s="38"/>
      <c r="I405" s="38"/>
    </row>
    <row r="406" ht="15.75" customHeight="1">
      <c r="H406" s="38"/>
      <c r="I406" s="38"/>
    </row>
    <row r="407" ht="15.75" customHeight="1">
      <c r="H407" s="38"/>
      <c r="I407" s="38"/>
    </row>
    <row r="408" ht="15.75" customHeight="1">
      <c r="H408" s="38"/>
      <c r="I408" s="38"/>
    </row>
    <row r="409" ht="15.75" customHeight="1">
      <c r="H409" s="38"/>
      <c r="I409" s="38"/>
    </row>
    <row r="410" ht="15.75" customHeight="1">
      <c r="H410" s="38"/>
      <c r="I410" s="38"/>
    </row>
    <row r="411" ht="15.75" customHeight="1">
      <c r="H411" s="38"/>
      <c r="I411" s="38"/>
    </row>
    <row r="412" ht="15.75" customHeight="1">
      <c r="H412" s="38"/>
      <c r="I412" s="38"/>
    </row>
    <row r="413" ht="15.75" customHeight="1">
      <c r="H413" s="38"/>
      <c r="I413" s="38"/>
    </row>
    <row r="414" ht="15.75" customHeight="1">
      <c r="H414" s="38"/>
      <c r="I414" s="38"/>
    </row>
    <row r="415" ht="15.75" customHeight="1">
      <c r="H415" s="38"/>
      <c r="I415" s="38"/>
    </row>
    <row r="416" ht="15.75" customHeight="1">
      <c r="H416" s="38"/>
      <c r="I416" s="38"/>
    </row>
    <row r="417" ht="15.75" customHeight="1">
      <c r="H417" s="38"/>
      <c r="I417" s="38"/>
    </row>
    <row r="418" ht="15.75" customHeight="1">
      <c r="H418" s="38"/>
      <c r="I418" s="38"/>
    </row>
    <row r="419" ht="15.75" customHeight="1">
      <c r="H419" s="38"/>
      <c r="I419" s="38"/>
    </row>
    <row r="420" ht="15.75" customHeight="1">
      <c r="H420" s="38"/>
      <c r="I420" s="38"/>
    </row>
    <row r="421" ht="15.75" customHeight="1">
      <c r="H421" s="38"/>
      <c r="I421" s="38"/>
    </row>
    <row r="422" ht="15.75" customHeight="1">
      <c r="H422" s="38"/>
      <c r="I422" s="38"/>
    </row>
    <row r="423" ht="15.75" customHeight="1">
      <c r="H423" s="38"/>
      <c r="I423" s="38"/>
    </row>
    <row r="424" ht="15.75" customHeight="1">
      <c r="H424" s="38"/>
      <c r="I424" s="38"/>
    </row>
    <row r="425" ht="15.75" customHeight="1">
      <c r="H425" s="38"/>
      <c r="I425" s="38"/>
    </row>
    <row r="426" ht="15.75" customHeight="1">
      <c r="H426" s="38"/>
      <c r="I426" s="38"/>
    </row>
    <row r="427" ht="15.75" customHeight="1">
      <c r="H427" s="38"/>
      <c r="I427" s="38"/>
    </row>
    <row r="428" ht="15.75" customHeight="1">
      <c r="H428" s="38"/>
      <c r="I428" s="38"/>
    </row>
    <row r="429" ht="15.75" customHeight="1">
      <c r="H429" s="38"/>
      <c r="I429" s="38"/>
    </row>
    <row r="430" ht="15.75" customHeight="1">
      <c r="H430" s="38"/>
      <c r="I430" s="38"/>
    </row>
    <row r="431" ht="15.75" customHeight="1">
      <c r="H431" s="38"/>
      <c r="I431" s="38"/>
    </row>
    <row r="432" ht="15.75" customHeight="1">
      <c r="H432" s="38"/>
      <c r="I432" s="38"/>
    </row>
    <row r="433" ht="15.75" customHeight="1">
      <c r="H433" s="38"/>
      <c r="I433" s="38"/>
    </row>
    <row r="434" ht="15.75" customHeight="1">
      <c r="H434" s="38"/>
      <c r="I434" s="38"/>
    </row>
    <row r="435" ht="15.75" customHeight="1">
      <c r="H435" s="38"/>
      <c r="I435" s="38"/>
    </row>
    <row r="436" ht="15.75" customHeight="1">
      <c r="H436" s="38"/>
      <c r="I436" s="38"/>
    </row>
    <row r="437" ht="15.75" customHeight="1">
      <c r="H437" s="38"/>
      <c r="I437" s="38"/>
    </row>
    <row r="438" ht="15.75" customHeight="1">
      <c r="H438" s="38"/>
      <c r="I438" s="38"/>
    </row>
    <row r="439" ht="15.75" customHeight="1">
      <c r="H439" s="38"/>
      <c r="I439" s="38"/>
    </row>
    <row r="440" ht="15.75" customHeight="1">
      <c r="H440" s="38"/>
      <c r="I440" s="38"/>
    </row>
    <row r="441" ht="15.75" customHeight="1">
      <c r="H441" s="38"/>
      <c r="I441" s="38"/>
    </row>
    <row r="442" ht="15.75" customHeight="1">
      <c r="H442" s="38"/>
      <c r="I442" s="38"/>
    </row>
    <row r="443" ht="15.75" customHeight="1">
      <c r="H443" s="38"/>
      <c r="I443" s="38"/>
    </row>
    <row r="444" ht="15.75" customHeight="1">
      <c r="H444" s="38"/>
      <c r="I444" s="38"/>
    </row>
    <row r="445" ht="15.75" customHeight="1">
      <c r="H445" s="38"/>
      <c r="I445" s="38"/>
    </row>
    <row r="446" ht="15.75" customHeight="1">
      <c r="H446" s="38"/>
      <c r="I446" s="38"/>
    </row>
    <row r="447" ht="15.75" customHeight="1">
      <c r="H447" s="38"/>
      <c r="I447" s="38"/>
    </row>
    <row r="448" ht="15.75" customHeight="1">
      <c r="H448" s="38"/>
      <c r="I448" s="38"/>
    </row>
    <row r="449" ht="15.75" customHeight="1">
      <c r="H449" s="38"/>
      <c r="I449" s="38"/>
    </row>
    <row r="450" ht="15.75" customHeight="1">
      <c r="H450" s="38"/>
      <c r="I450" s="38"/>
    </row>
    <row r="451" ht="15.75" customHeight="1">
      <c r="H451" s="38"/>
      <c r="I451" s="38"/>
    </row>
    <row r="452" ht="15.75" customHeight="1">
      <c r="H452" s="38"/>
      <c r="I452" s="38"/>
    </row>
    <row r="453" ht="15.75" customHeight="1">
      <c r="H453" s="38"/>
      <c r="I453" s="38"/>
    </row>
    <row r="454" ht="15.75" customHeight="1">
      <c r="H454" s="38"/>
      <c r="I454" s="38"/>
    </row>
    <row r="455" ht="15.75" customHeight="1">
      <c r="H455" s="38"/>
      <c r="I455" s="38"/>
    </row>
    <row r="456" ht="15.75" customHeight="1">
      <c r="H456" s="38"/>
      <c r="I456" s="38"/>
    </row>
    <row r="457" ht="15.75" customHeight="1">
      <c r="H457" s="38"/>
      <c r="I457" s="38"/>
    </row>
    <row r="458" ht="15.75" customHeight="1">
      <c r="H458" s="38"/>
      <c r="I458" s="38"/>
    </row>
    <row r="459" ht="15.75" customHeight="1">
      <c r="H459" s="38"/>
      <c r="I459" s="38"/>
    </row>
    <row r="460" ht="15.75" customHeight="1">
      <c r="H460" s="38"/>
      <c r="I460" s="38"/>
    </row>
    <row r="461" ht="15.75" customHeight="1">
      <c r="H461" s="38"/>
      <c r="I461" s="38"/>
    </row>
    <row r="462" ht="15.75" customHeight="1">
      <c r="H462" s="38"/>
      <c r="I462" s="38"/>
    </row>
    <row r="463" ht="15.75" customHeight="1">
      <c r="H463" s="38"/>
      <c r="I463" s="38"/>
    </row>
    <row r="464" ht="15.75" customHeight="1">
      <c r="H464" s="38"/>
      <c r="I464" s="38"/>
    </row>
    <row r="465" ht="15.75" customHeight="1">
      <c r="H465" s="38"/>
      <c r="I465" s="38"/>
    </row>
    <row r="466" ht="15.75" customHeight="1">
      <c r="H466" s="38"/>
      <c r="I466" s="38"/>
    </row>
    <row r="467" ht="15.75" customHeight="1">
      <c r="H467" s="38"/>
      <c r="I467" s="38"/>
    </row>
    <row r="468" ht="15.75" customHeight="1">
      <c r="H468" s="38"/>
      <c r="I468" s="38"/>
    </row>
    <row r="469" ht="15.75" customHeight="1">
      <c r="H469" s="38"/>
      <c r="I469" s="38"/>
    </row>
    <row r="470" ht="15.75" customHeight="1">
      <c r="H470" s="38"/>
      <c r="I470" s="38"/>
    </row>
    <row r="471" ht="15.75" customHeight="1">
      <c r="H471" s="38"/>
      <c r="I471" s="38"/>
    </row>
    <row r="472" ht="15.75" customHeight="1">
      <c r="H472" s="38"/>
      <c r="I472" s="38"/>
    </row>
    <row r="473" ht="15.75" customHeight="1">
      <c r="H473" s="38"/>
      <c r="I473" s="38"/>
    </row>
    <row r="474" ht="15.75" customHeight="1">
      <c r="H474" s="38"/>
      <c r="I474" s="38"/>
    </row>
    <row r="475" ht="15.75" customHeight="1">
      <c r="H475" s="38"/>
      <c r="I475" s="38"/>
    </row>
    <row r="476" ht="15.75" customHeight="1">
      <c r="H476" s="38"/>
      <c r="I476" s="38"/>
    </row>
    <row r="477" ht="15.75" customHeight="1">
      <c r="H477" s="38"/>
      <c r="I477" s="38"/>
    </row>
    <row r="478" ht="15.75" customHeight="1">
      <c r="H478" s="38"/>
      <c r="I478" s="38"/>
    </row>
    <row r="479" ht="15.75" customHeight="1">
      <c r="H479" s="38"/>
      <c r="I479" s="38"/>
    </row>
    <row r="480" ht="15.75" customHeight="1">
      <c r="H480" s="38"/>
      <c r="I480" s="38"/>
    </row>
    <row r="481" ht="15.75" customHeight="1">
      <c r="H481" s="38"/>
      <c r="I481" s="38"/>
    </row>
    <row r="482" ht="15.75" customHeight="1">
      <c r="H482" s="38"/>
      <c r="I482" s="38"/>
    </row>
    <row r="483" ht="15.75" customHeight="1">
      <c r="H483" s="38"/>
      <c r="I483" s="38"/>
    </row>
    <row r="484" ht="15.75" customHeight="1">
      <c r="H484" s="38"/>
      <c r="I484" s="38"/>
    </row>
    <row r="485" ht="15.75" customHeight="1">
      <c r="H485" s="38"/>
      <c r="I485" s="38"/>
    </row>
    <row r="486" ht="15.75" customHeight="1">
      <c r="H486" s="38"/>
      <c r="I486" s="38"/>
    </row>
    <row r="487" ht="15.75" customHeight="1">
      <c r="H487" s="38"/>
      <c r="I487" s="38"/>
    </row>
    <row r="488" ht="15.75" customHeight="1">
      <c r="H488" s="38"/>
      <c r="I488" s="38"/>
    </row>
    <row r="489" ht="15.75" customHeight="1">
      <c r="H489" s="38"/>
      <c r="I489" s="38"/>
    </row>
    <row r="490" ht="15.75" customHeight="1">
      <c r="H490" s="38"/>
      <c r="I490" s="38"/>
    </row>
    <row r="491" ht="15.75" customHeight="1">
      <c r="H491" s="38"/>
      <c r="I491" s="38"/>
    </row>
    <row r="492" ht="15.75" customHeight="1">
      <c r="H492" s="38"/>
      <c r="I492" s="38"/>
    </row>
    <row r="493" ht="15.75" customHeight="1">
      <c r="H493" s="38"/>
      <c r="I493" s="38"/>
    </row>
    <row r="494" ht="15.75" customHeight="1">
      <c r="H494" s="38"/>
      <c r="I494" s="38"/>
    </row>
    <row r="495" ht="15.75" customHeight="1">
      <c r="H495" s="38"/>
      <c r="I495" s="38"/>
    </row>
    <row r="496" ht="15.75" customHeight="1">
      <c r="H496" s="38"/>
      <c r="I496" s="38"/>
    </row>
    <row r="497" ht="15.75" customHeight="1">
      <c r="H497" s="38"/>
      <c r="I497" s="38"/>
    </row>
    <row r="498" ht="15.75" customHeight="1">
      <c r="H498" s="38"/>
      <c r="I498" s="38"/>
    </row>
    <row r="499" ht="15.75" customHeight="1">
      <c r="H499" s="38"/>
      <c r="I499" s="38"/>
    </row>
    <row r="500" ht="15.75" customHeight="1">
      <c r="H500" s="38"/>
      <c r="I500" s="38"/>
    </row>
    <row r="501" ht="15.75" customHeight="1">
      <c r="H501" s="38"/>
      <c r="I501" s="38"/>
    </row>
    <row r="502" ht="15.75" customHeight="1">
      <c r="H502" s="38"/>
      <c r="I502" s="38"/>
    </row>
    <row r="503" ht="15.75" customHeight="1">
      <c r="H503" s="38"/>
      <c r="I503" s="38"/>
    </row>
    <row r="504" ht="15.75" customHeight="1">
      <c r="H504" s="38"/>
      <c r="I504" s="38"/>
    </row>
    <row r="505" ht="15.75" customHeight="1">
      <c r="H505" s="38"/>
      <c r="I505" s="38"/>
    </row>
    <row r="506" ht="15.75" customHeight="1">
      <c r="H506" s="38"/>
      <c r="I506" s="38"/>
    </row>
    <row r="507" ht="15.75" customHeight="1">
      <c r="H507" s="38"/>
      <c r="I507" s="38"/>
    </row>
    <row r="508" ht="15.75" customHeight="1">
      <c r="H508" s="38"/>
      <c r="I508" s="38"/>
    </row>
    <row r="509" ht="15.75" customHeight="1">
      <c r="H509" s="38"/>
      <c r="I509" s="38"/>
    </row>
    <row r="510" ht="15.75" customHeight="1">
      <c r="H510" s="38"/>
      <c r="I510" s="38"/>
    </row>
    <row r="511" ht="15.75" customHeight="1">
      <c r="H511" s="38"/>
      <c r="I511" s="38"/>
    </row>
    <row r="512" ht="15.75" customHeight="1">
      <c r="H512" s="38"/>
      <c r="I512" s="38"/>
    </row>
    <row r="513" ht="15.75" customHeight="1">
      <c r="H513" s="38"/>
      <c r="I513" s="38"/>
    </row>
    <row r="514" ht="15.75" customHeight="1">
      <c r="H514" s="38"/>
      <c r="I514" s="38"/>
    </row>
    <row r="515" ht="15.75" customHeight="1">
      <c r="H515" s="38"/>
      <c r="I515" s="38"/>
    </row>
    <row r="516" ht="15.75" customHeight="1">
      <c r="H516" s="38"/>
      <c r="I516" s="38"/>
    </row>
    <row r="517" ht="15.75" customHeight="1">
      <c r="H517" s="38"/>
      <c r="I517" s="38"/>
    </row>
    <row r="518" ht="15.75" customHeight="1">
      <c r="H518" s="38"/>
      <c r="I518" s="38"/>
    </row>
    <row r="519" ht="15.75" customHeight="1">
      <c r="H519" s="38"/>
      <c r="I519" s="38"/>
    </row>
    <row r="520" ht="15.75" customHeight="1">
      <c r="H520" s="38"/>
      <c r="I520" s="38"/>
    </row>
    <row r="521" ht="15.75" customHeight="1">
      <c r="H521" s="38"/>
      <c r="I521" s="38"/>
    </row>
    <row r="522" ht="15.75" customHeight="1">
      <c r="H522" s="38"/>
      <c r="I522" s="38"/>
    </row>
    <row r="523" ht="15.75" customHeight="1">
      <c r="H523" s="38"/>
      <c r="I523" s="38"/>
    </row>
    <row r="524" ht="15.75" customHeight="1">
      <c r="H524" s="38"/>
      <c r="I524" s="38"/>
    </row>
    <row r="525" ht="15.75" customHeight="1">
      <c r="H525" s="38"/>
      <c r="I525" s="38"/>
    </row>
    <row r="526" ht="15.75" customHeight="1">
      <c r="H526" s="38"/>
      <c r="I526" s="38"/>
    </row>
    <row r="527" ht="15.75" customHeight="1">
      <c r="H527" s="38"/>
      <c r="I527" s="38"/>
    </row>
    <row r="528" ht="15.75" customHeight="1">
      <c r="H528" s="38"/>
      <c r="I528" s="38"/>
    </row>
    <row r="529" ht="15.75" customHeight="1">
      <c r="H529" s="38"/>
      <c r="I529" s="38"/>
    </row>
    <row r="530" ht="15.75" customHeight="1">
      <c r="H530" s="38"/>
      <c r="I530" s="38"/>
    </row>
    <row r="531" ht="15.75" customHeight="1">
      <c r="H531" s="38"/>
      <c r="I531" s="38"/>
    </row>
    <row r="532" ht="15.75" customHeight="1">
      <c r="H532" s="38"/>
      <c r="I532" s="38"/>
    </row>
    <row r="533" ht="15.75" customHeight="1">
      <c r="H533" s="38"/>
      <c r="I533" s="38"/>
    </row>
    <row r="534" ht="15.75" customHeight="1">
      <c r="H534" s="38"/>
      <c r="I534" s="38"/>
    </row>
    <row r="535" ht="15.75" customHeight="1">
      <c r="H535" s="38"/>
      <c r="I535" s="38"/>
    </row>
    <row r="536" ht="15.75" customHeight="1">
      <c r="H536" s="38"/>
      <c r="I536" s="38"/>
    </row>
    <row r="537" ht="15.75" customHeight="1">
      <c r="H537" s="38"/>
      <c r="I537" s="38"/>
    </row>
    <row r="538" ht="15.75" customHeight="1">
      <c r="H538" s="38"/>
      <c r="I538" s="38"/>
    </row>
    <row r="539" ht="15.75" customHeight="1">
      <c r="H539" s="38"/>
      <c r="I539" s="38"/>
    </row>
    <row r="540" ht="15.75" customHeight="1">
      <c r="H540" s="38"/>
      <c r="I540" s="38"/>
    </row>
    <row r="541" ht="15.75" customHeight="1">
      <c r="H541" s="38"/>
      <c r="I541" s="38"/>
    </row>
    <row r="542" ht="15.75" customHeight="1">
      <c r="H542" s="38"/>
      <c r="I542" s="38"/>
    </row>
    <row r="543" ht="15.75" customHeight="1">
      <c r="H543" s="38"/>
      <c r="I543" s="38"/>
    </row>
    <row r="544" ht="15.75" customHeight="1">
      <c r="H544" s="38"/>
      <c r="I544" s="38"/>
    </row>
    <row r="545" ht="15.75" customHeight="1">
      <c r="H545" s="38"/>
      <c r="I545" s="38"/>
    </row>
    <row r="546" ht="15.75" customHeight="1">
      <c r="H546" s="38"/>
      <c r="I546" s="38"/>
    </row>
    <row r="547" ht="15.75" customHeight="1">
      <c r="H547" s="38"/>
      <c r="I547" s="38"/>
    </row>
    <row r="548" ht="15.75" customHeight="1">
      <c r="H548" s="38"/>
      <c r="I548" s="38"/>
    </row>
    <row r="549" ht="15.75" customHeight="1">
      <c r="H549" s="38"/>
      <c r="I549" s="38"/>
    </row>
    <row r="550" ht="15.75" customHeight="1">
      <c r="H550" s="38"/>
      <c r="I550" s="38"/>
    </row>
    <row r="551" ht="15.75" customHeight="1">
      <c r="H551" s="38"/>
      <c r="I551" s="38"/>
    </row>
    <row r="552" ht="15.75" customHeight="1">
      <c r="H552" s="38"/>
      <c r="I552" s="38"/>
    </row>
    <row r="553" ht="15.75" customHeight="1">
      <c r="H553" s="38"/>
      <c r="I553" s="38"/>
    </row>
    <row r="554" ht="15.75" customHeight="1">
      <c r="H554" s="38"/>
      <c r="I554" s="38"/>
    </row>
    <row r="555" ht="15.75" customHeight="1">
      <c r="H555" s="38"/>
      <c r="I555" s="38"/>
    </row>
    <row r="556" ht="15.75" customHeight="1">
      <c r="H556" s="38"/>
      <c r="I556" s="38"/>
    </row>
    <row r="557" ht="15.75" customHeight="1">
      <c r="H557" s="38"/>
      <c r="I557" s="38"/>
    </row>
    <row r="558" ht="15.75" customHeight="1">
      <c r="H558" s="38"/>
      <c r="I558" s="38"/>
    </row>
    <row r="559" ht="15.75" customHeight="1">
      <c r="H559" s="38"/>
      <c r="I559" s="38"/>
    </row>
    <row r="560" ht="15.75" customHeight="1">
      <c r="H560" s="38"/>
      <c r="I560" s="38"/>
    </row>
    <row r="561" ht="15.75" customHeight="1">
      <c r="H561" s="38"/>
      <c r="I561" s="38"/>
    </row>
    <row r="562" ht="15.75" customHeight="1">
      <c r="H562" s="38"/>
      <c r="I562" s="38"/>
    </row>
    <row r="563" ht="15.75" customHeight="1">
      <c r="H563" s="38"/>
      <c r="I563" s="38"/>
    </row>
    <row r="564" ht="15.75" customHeight="1">
      <c r="H564" s="38"/>
      <c r="I564" s="38"/>
    </row>
    <row r="565" ht="15.75" customHeight="1">
      <c r="H565" s="38"/>
      <c r="I565" s="38"/>
    </row>
    <row r="566" ht="15.75" customHeight="1">
      <c r="H566" s="38"/>
      <c r="I566" s="38"/>
    </row>
    <row r="567" ht="15.75" customHeight="1">
      <c r="H567" s="38"/>
      <c r="I567" s="38"/>
    </row>
    <row r="568" ht="15.75" customHeight="1">
      <c r="H568" s="38"/>
      <c r="I568" s="38"/>
    </row>
    <row r="569" ht="15.75" customHeight="1">
      <c r="H569" s="38"/>
      <c r="I569" s="38"/>
    </row>
    <row r="570" ht="15.75" customHeight="1">
      <c r="H570" s="38"/>
      <c r="I570" s="38"/>
    </row>
    <row r="571" ht="15.75" customHeight="1">
      <c r="H571" s="38"/>
      <c r="I571" s="38"/>
    </row>
    <row r="572" ht="15.75" customHeight="1">
      <c r="H572" s="38"/>
      <c r="I572" s="38"/>
    </row>
    <row r="573" ht="15.75" customHeight="1">
      <c r="H573" s="38"/>
      <c r="I573" s="38"/>
    </row>
    <row r="574" ht="15.75" customHeight="1">
      <c r="H574" s="38"/>
      <c r="I574" s="38"/>
    </row>
    <row r="575" ht="15.75" customHeight="1">
      <c r="H575" s="38"/>
      <c r="I575" s="38"/>
    </row>
    <row r="576" ht="15.75" customHeight="1">
      <c r="H576" s="38"/>
      <c r="I576" s="38"/>
    </row>
    <row r="577" ht="15.75" customHeight="1">
      <c r="H577" s="38"/>
      <c r="I577" s="38"/>
    </row>
    <row r="578" ht="15.75" customHeight="1">
      <c r="H578" s="38"/>
      <c r="I578" s="38"/>
    </row>
    <row r="579" ht="15.75" customHeight="1">
      <c r="H579" s="38"/>
      <c r="I579" s="38"/>
    </row>
    <row r="580" ht="15.75" customHeight="1">
      <c r="H580" s="38"/>
      <c r="I580" s="38"/>
    </row>
    <row r="581" ht="15.75" customHeight="1">
      <c r="H581" s="38"/>
      <c r="I581" s="38"/>
    </row>
    <row r="582" ht="15.75" customHeight="1">
      <c r="H582" s="38"/>
      <c r="I582" s="38"/>
    </row>
    <row r="583" ht="15.75" customHeight="1">
      <c r="H583" s="38"/>
      <c r="I583" s="38"/>
    </row>
    <row r="584" ht="15.75" customHeight="1">
      <c r="H584" s="38"/>
      <c r="I584" s="38"/>
    </row>
    <row r="585" ht="15.75" customHeight="1">
      <c r="H585" s="38"/>
      <c r="I585" s="38"/>
    </row>
    <row r="586" ht="15.75" customHeight="1">
      <c r="H586" s="38"/>
      <c r="I586" s="38"/>
    </row>
    <row r="587" ht="15.75" customHeight="1">
      <c r="H587" s="38"/>
      <c r="I587" s="38"/>
    </row>
    <row r="588" ht="15.75" customHeight="1">
      <c r="H588" s="38"/>
      <c r="I588" s="38"/>
    </row>
    <row r="589" ht="15.75" customHeight="1">
      <c r="H589" s="38"/>
      <c r="I589" s="38"/>
    </row>
    <row r="590" ht="15.75" customHeight="1">
      <c r="H590" s="38"/>
      <c r="I590" s="38"/>
    </row>
    <row r="591" ht="15.75" customHeight="1">
      <c r="H591" s="38"/>
      <c r="I591" s="38"/>
    </row>
    <row r="592" ht="15.75" customHeight="1">
      <c r="H592" s="38"/>
      <c r="I592" s="38"/>
    </row>
    <row r="593" ht="15.75" customHeight="1">
      <c r="H593" s="38"/>
      <c r="I593" s="38"/>
    </row>
    <row r="594" ht="15.75" customHeight="1">
      <c r="H594" s="38"/>
      <c r="I594" s="38"/>
    </row>
    <row r="595" ht="15.75" customHeight="1">
      <c r="H595" s="38"/>
      <c r="I595" s="38"/>
    </row>
    <row r="596" ht="15.75" customHeight="1">
      <c r="H596" s="38"/>
      <c r="I596" s="38"/>
    </row>
    <row r="597" ht="15.75" customHeight="1">
      <c r="H597" s="38"/>
      <c r="I597" s="38"/>
    </row>
    <row r="598" ht="15.75" customHeight="1">
      <c r="H598" s="38"/>
      <c r="I598" s="38"/>
    </row>
    <row r="599" ht="15.75" customHeight="1">
      <c r="H599" s="38"/>
      <c r="I599" s="38"/>
    </row>
    <row r="600" ht="15.75" customHeight="1">
      <c r="H600" s="38"/>
      <c r="I600" s="38"/>
    </row>
    <row r="601" ht="15.75" customHeight="1">
      <c r="H601" s="38"/>
      <c r="I601" s="38"/>
    </row>
    <row r="602" ht="15.75" customHeight="1">
      <c r="H602" s="38"/>
      <c r="I602" s="38"/>
    </row>
    <row r="603" ht="15.75" customHeight="1">
      <c r="H603" s="38"/>
      <c r="I603" s="38"/>
    </row>
    <row r="604" ht="15.75" customHeight="1">
      <c r="H604" s="38"/>
      <c r="I604" s="38"/>
    </row>
    <row r="605" ht="15.75" customHeight="1">
      <c r="H605" s="38"/>
      <c r="I605" s="38"/>
    </row>
    <row r="606" ht="15.75" customHeight="1">
      <c r="H606" s="38"/>
      <c r="I606" s="38"/>
    </row>
    <row r="607" ht="15.75" customHeight="1">
      <c r="H607" s="38"/>
      <c r="I607" s="38"/>
    </row>
    <row r="608" ht="15.75" customHeight="1">
      <c r="H608" s="38"/>
      <c r="I608" s="38"/>
    </row>
    <row r="609" ht="15.75" customHeight="1">
      <c r="H609" s="38"/>
      <c r="I609" s="38"/>
    </row>
    <row r="610" ht="15.75" customHeight="1">
      <c r="H610" s="38"/>
      <c r="I610" s="38"/>
    </row>
    <row r="611" ht="15.75" customHeight="1">
      <c r="H611" s="38"/>
      <c r="I611" s="38"/>
    </row>
    <row r="612" ht="15.75" customHeight="1">
      <c r="H612" s="38"/>
      <c r="I612" s="38"/>
    </row>
    <row r="613" ht="15.75" customHeight="1">
      <c r="H613" s="38"/>
      <c r="I613" s="38"/>
    </row>
    <row r="614" ht="15.75" customHeight="1">
      <c r="H614" s="38"/>
      <c r="I614" s="38"/>
    </row>
    <row r="615" ht="15.75" customHeight="1">
      <c r="H615" s="38"/>
      <c r="I615" s="38"/>
    </row>
    <row r="616" ht="15.75" customHeight="1">
      <c r="H616" s="38"/>
      <c r="I616" s="38"/>
    </row>
    <row r="617" ht="15.75" customHeight="1">
      <c r="H617" s="38"/>
      <c r="I617" s="38"/>
    </row>
    <row r="618" ht="15.75" customHeight="1">
      <c r="H618" s="38"/>
      <c r="I618" s="38"/>
    </row>
    <row r="619" ht="15.75" customHeight="1">
      <c r="H619" s="38"/>
      <c r="I619" s="38"/>
    </row>
    <row r="620" ht="15.75" customHeight="1">
      <c r="H620" s="38"/>
      <c r="I620" s="38"/>
    </row>
    <row r="621" ht="15.75" customHeight="1">
      <c r="H621" s="38"/>
      <c r="I621" s="38"/>
    </row>
    <row r="622" ht="15.75" customHeight="1">
      <c r="H622" s="38"/>
      <c r="I622" s="38"/>
    </row>
    <row r="623" ht="15.75" customHeight="1">
      <c r="H623" s="38"/>
      <c r="I623" s="38"/>
    </row>
    <row r="624" ht="15.75" customHeight="1">
      <c r="H624" s="38"/>
      <c r="I624" s="38"/>
    </row>
    <row r="625" ht="15.75" customHeight="1">
      <c r="H625" s="38"/>
      <c r="I625" s="38"/>
    </row>
    <row r="626" ht="15.75" customHeight="1">
      <c r="H626" s="38"/>
      <c r="I626" s="38"/>
    </row>
    <row r="627" ht="15.75" customHeight="1">
      <c r="H627" s="38"/>
      <c r="I627" s="38"/>
    </row>
    <row r="628" ht="15.75" customHeight="1">
      <c r="H628" s="38"/>
      <c r="I628" s="38"/>
    </row>
    <row r="629" ht="15.75" customHeight="1">
      <c r="H629" s="38"/>
      <c r="I629" s="38"/>
    </row>
    <row r="630" ht="15.75" customHeight="1">
      <c r="H630" s="38"/>
      <c r="I630" s="38"/>
    </row>
    <row r="631" ht="15.75" customHeight="1">
      <c r="H631" s="38"/>
      <c r="I631" s="38"/>
    </row>
    <row r="632" ht="15.75" customHeight="1">
      <c r="H632" s="38"/>
      <c r="I632" s="38"/>
    </row>
    <row r="633" ht="15.75" customHeight="1">
      <c r="H633" s="38"/>
      <c r="I633" s="38"/>
    </row>
    <row r="634" ht="15.75" customHeight="1">
      <c r="H634" s="38"/>
      <c r="I634" s="38"/>
    </row>
    <row r="635" ht="15.75" customHeight="1">
      <c r="H635" s="38"/>
      <c r="I635" s="38"/>
    </row>
    <row r="636" ht="15.75" customHeight="1">
      <c r="H636" s="38"/>
      <c r="I636" s="38"/>
    </row>
    <row r="637" ht="15.75" customHeight="1">
      <c r="H637" s="38"/>
      <c r="I637" s="38"/>
    </row>
    <row r="638" ht="15.75" customHeight="1">
      <c r="H638" s="38"/>
      <c r="I638" s="38"/>
    </row>
    <row r="639" ht="15.75" customHeight="1">
      <c r="H639" s="38"/>
      <c r="I639" s="38"/>
    </row>
    <row r="640" ht="15.75" customHeight="1">
      <c r="H640" s="38"/>
      <c r="I640" s="38"/>
    </row>
    <row r="641" ht="15.75" customHeight="1">
      <c r="H641" s="38"/>
      <c r="I641" s="38"/>
    </row>
    <row r="642" ht="15.75" customHeight="1">
      <c r="H642" s="38"/>
      <c r="I642" s="38"/>
    </row>
    <row r="643" ht="15.75" customHeight="1">
      <c r="H643" s="38"/>
      <c r="I643" s="38"/>
    </row>
    <row r="644" ht="15.75" customHeight="1">
      <c r="H644" s="38"/>
      <c r="I644" s="38"/>
    </row>
    <row r="645" ht="15.75" customHeight="1">
      <c r="H645" s="38"/>
      <c r="I645" s="38"/>
    </row>
    <row r="646" ht="15.75" customHeight="1">
      <c r="H646" s="38"/>
      <c r="I646" s="38"/>
    </row>
    <row r="647" ht="15.75" customHeight="1">
      <c r="H647" s="38"/>
      <c r="I647" s="38"/>
    </row>
    <row r="648" ht="15.75" customHeight="1">
      <c r="H648" s="38"/>
      <c r="I648" s="38"/>
    </row>
    <row r="649" ht="15.75" customHeight="1">
      <c r="H649" s="38"/>
      <c r="I649" s="38"/>
    </row>
    <row r="650" ht="15.75" customHeight="1">
      <c r="H650" s="38"/>
      <c r="I650" s="38"/>
    </row>
    <row r="651" ht="15.75" customHeight="1">
      <c r="H651" s="38"/>
      <c r="I651" s="38"/>
    </row>
    <row r="652" ht="15.75" customHeight="1">
      <c r="H652" s="38"/>
      <c r="I652" s="38"/>
    </row>
    <row r="653" ht="15.75" customHeight="1">
      <c r="H653" s="38"/>
      <c r="I653" s="38"/>
    </row>
    <row r="654" ht="15.75" customHeight="1">
      <c r="H654" s="38"/>
      <c r="I654" s="38"/>
    </row>
    <row r="655" ht="15.75" customHeight="1">
      <c r="H655" s="38"/>
      <c r="I655" s="38"/>
    </row>
    <row r="656" ht="15.75" customHeight="1">
      <c r="H656" s="38"/>
      <c r="I656" s="38"/>
    </row>
    <row r="657" ht="15.75" customHeight="1">
      <c r="H657" s="38"/>
      <c r="I657" s="38"/>
    </row>
    <row r="658" ht="15.75" customHeight="1">
      <c r="H658" s="38"/>
      <c r="I658" s="38"/>
    </row>
    <row r="659" ht="15.75" customHeight="1">
      <c r="H659" s="38"/>
      <c r="I659" s="38"/>
    </row>
    <row r="660" ht="15.75" customHeight="1">
      <c r="H660" s="38"/>
      <c r="I660" s="38"/>
    </row>
    <row r="661" ht="15.75" customHeight="1">
      <c r="H661" s="38"/>
      <c r="I661" s="38"/>
    </row>
    <row r="662" ht="15.75" customHeight="1">
      <c r="H662" s="38"/>
      <c r="I662" s="38"/>
    </row>
    <row r="663" ht="15.75" customHeight="1">
      <c r="H663" s="38"/>
      <c r="I663" s="38"/>
    </row>
    <row r="664" ht="15.75" customHeight="1">
      <c r="H664" s="38"/>
      <c r="I664" s="38"/>
    </row>
    <row r="665" ht="15.75" customHeight="1">
      <c r="H665" s="38"/>
      <c r="I665" s="38"/>
    </row>
    <row r="666" ht="15.75" customHeight="1">
      <c r="H666" s="38"/>
      <c r="I666" s="38"/>
    </row>
    <row r="667" ht="15.75" customHeight="1">
      <c r="H667" s="38"/>
      <c r="I667" s="38"/>
    </row>
    <row r="668" ht="15.75" customHeight="1">
      <c r="H668" s="38"/>
      <c r="I668" s="38"/>
    </row>
    <row r="669" ht="15.75" customHeight="1">
      <c r="H669" s="38"/>
      <c r="I669" s="38"/>
    </row>
    <row r="670" ht="15.75" customHeight="1">
      <c r="H670" s="38"/>
      <c r="I670" s="38"/>
    </row>
    <row r="671" ht="15.75" customHeight="1">
      <c r="H671" s="38"/>
      <c r="I671" s="38"/>
    </row>
    <row r="672" ht="15.75" customHeight="1">
      <c r="H672" s="38"/>
      <c r="I672" s="38"/>
    </row>
    <row r="673" ht="15.75" customHeight="1">
      <c r="H673" s="38"/>
      <c r="I673" s="38"/>
    </row>
    <row r="674" ht="15.75" customHeight="1">
      <c r="H674" s="38"/>
      <c r="I674" s="38"/>
    </row>
    <row r="675" ht="15.75" customHeight="1">
      <c r="H675" s="38"/>
      <c r="I675" s="38"/>
    </row>
    <row r="676" ht="15.75" customHeight="1">
      <c r="H676" s="38"/>
      <c r="I676" s="38"/>
    </row>
    <row r="677" ht="15.75" customHeight="1">
      <c r="H677" s="38"/>
      <c r="I677" s="38"/>
    </row>
    <row r="678" ht="15.75" customHeight="1">
      <c r="H678" s="38"/>
      <c r="I678" s="38"/>
    </row>
    <row r="679" ht="15.75" customHeight="1">
      <c r="H679" s="38"/>
      <c r="I679" s="38"/>
    </row>
    <row r="680" ht="15.75" customHeight="1">
      <c r="H680" s="38"/>
      <c r="I680" s="38"/>
    </row>
    <row r="681" ht="15.75" customHeight="1">
      <c r="H681" s="38"/>
      <c r="I681" s="38"/>
    </row>
    <row r="682" ht="15.75" customHeight="1">
      <c r="H682" s="38"/>
      <c r="I682" s="38"/>
    </row>
    <row r="683" ht="15.75" customHeight="1">
      <c r="H683" s="38"/>
      <c r="I683" s="38"/>
    </row>
    <row r="684" ht="15.75" customHeight="1">
      <c r="H684" s="38"/>
      <c r="I684" s="38"/>
    </row>
    <row r="685" ht="15.75" customHeight="1">
      <c r="H685" s="38"/>
      <c r="I685" s="38"/>
    </row>
    <row r="686" ht="15.75" customHeight="1">
      <c r="H686" s="38"/>
      <c r="I686" s="38"/>
    </row>
    <row r="687" ht="15.75" customHeight="1">
      <c r="H687" s="38"/>
      <c r="I687" s="38"/>
    </row>
    <row r="688" ht="15.75" customHeight="1">
      <c r="H688" s="38"/>
      <c r="I688" s="38"/>
    </row>
    <row r="689" ht="15.75" customHeight="1">
      <c r="H689" s="38"/>
      <c r="I689" s="38"/>
    </row>
    <row r="690" ht="15.75" customHeight="1">
      <c r="H690" s="38"/>
      <c r="I690" s="38"/>
    </row>
    <row r="691" ht="15.75" customHeight="1">
      <c r="H691" s="38"/>
      <c r="I691" s="38"/>
    </row>
    <row r="692" ht="15.75" customHeight="1">
      <c r="H692" s="38"/>
      <c r="I692" s="38"/>
    </row>
    <row r="693" ht="15.75" customHeight="1">
      <c r="H693" s="38"/>
      <c r="I693" s="38"/>
    </row>
    <row r="694" ht="15.75" customHeight="1">
      <c r="H694" s="38"/>
      <c r="I694" s="38"/>
    </row>
    <row r="695" ht="15.75" customHeight="1">
      <c r="H695" s="38"/>
      <c r="I695" s="38"/>
    </row>
    <row r="696" ht="15.75" customHeight="1">
      <c r="H696" s="38"/>
      <c r="I696" s="38"/>
    </row>
    <row r="697" ht="15.75" customHeight="1">
      <c r="H697" s="38"/>
      <c r="I697" s="38"/>
    </row>
    <row r="698" ht="15.75" customHeight="1">
      <c r="H698" s="38"/>
      <c r="I698" s="38"/>
    </row>
    <row r="699" ht="15.75" customHeight="1">
      <c r="H699" s="38"/>
      <c r="I699" s="38"/>
    </row>
    <row r="700" ht="15.75" customHeight="1">
      <c r="H700" s="38"/>
      <c r="I700" s="38"/>
    </row>
    <row r="701" ht="15.75" customHeight="1">
      <c r="H701" s="38"/>
      <c r="I701" s="38"/>
    </row>
    <row r="702" ht="15.75" customHeight="1">
      <c r="H702" s="38"/>
      <c r="I702" s="38"/>
    </row>
    <row r="703" ht="15.75" customHeight="1">
      <c r="H703" s="38"/>
      <c r="I703" s="38"/>
    </row>
    <row r="704" ht="15.75" customHeight="1">
      <c r="H704" s="38"/>
      <c r="I704" s="38"/>
    </row>
    <row r="705" ht="15.75" customHeight="1">
      <c r="H705" s="38"/>
      <c r="I705" s="38"/>
    </row>
    <row r="706" ht="15.75" customHeight="1">
      <c r="H706" s="38"/>
      <c r="I706" s="38"/>
    </row>
    <row r="707" ht="15.75" customHeight="1">
      <c r="H707" s="38"/>
      <c r="I707" s="38"/>
    </row>
    <row r="708" ht="15.75" customHeight="1">
      <c r="H708" s="38"/>
      <c r="I708" s="38"/>
    </row>
    <row r="709" ht="15.75" customHeight="1">
      <c r="H709" s="38"/>
      <c r="I709" s="38"/>
    </row>
    <row r="710" ht="15.75" customHeight="1">
      <c r="H710" s="38"/>
      <c r="I710" s="38"/>
    </row>
    <row r="711" ht="15.75" customHeight="1">
      <c r="H711" s="38"/>
      <c r="I711" s="38"/>
    </row>
    <row r="712" ht="15.75" customHeight="1">
      <c r="H712" s="38"/>
      <c r="I712" s="38"/>
    </row>
    <row r="713" ht="15.75" customHeight="1">
      <c r="H713" s="38"/>
      <c r="I713" s="38"/>
    </row>
    <row r="714" ht="15.75" customHeight="1">
      <c r="H714" s="38"/>
      <c r="I714" s="38"/>
    </row>
    <row r="715" ht="15.75" customHeight="1">
      <c r="H715" s="38"/>
      <c r="I715" s="38"/>
    </row>
    <row r="716" ht="15.75" customHeight="1">
      <c r="H716" s="38"/>
      <c r="I716" s="38"/>
    </row>
    <row r="717" ht="15.75" customHeight="1">
      <c r="H717" s="38"/>
      <c r="I717" s="38"/>
    </row>
    <row r="718" ht="15.75" customHeight="1">
      <c r="H718" s="38"/>
      <c r="I718" s="38"/>
    </row>
    <row r="719" ht="15.75" customHeight="1">
      <c r="H719" s="38"/>
      <c r="I719" s="38"/>
    </row>
    <row r="720" ht="15.75" customHeight="1">
      <c r="H720" s="38"/>
      <c r="I720" s="38"/>
    </row>
    <row r="721" ht="15.75" customHeight="1">
      <c r="H721" s="38"/>
      <c r="I721" s="38"/>
    </row>
    <row r="722" ht="15.75" customHeight="1">
      <c r="H722" s="38"/>
      <c r="I722" s="38"/>
    </row>
    <row r="723" ht="15.75" customHeight="1">
      <c r="H723" s="38"/>
      <c r="I723" s="38"/>
    </row>
    <row r="724" ht="15.75" customHeight="1">
      <c r="H724" s="38"/>
      <c r="I724" s="38"/>
    </row>
    <row r="725" ht="15.75" customHeight="1">
      <c r="H725" s="38"/>
      <c r="I725" s="38"/>
    </row>
    <row r="726" ht="15.75" customHeight="1">
      <c r="H726" s="38"/>
      <c r="I726" s="38"/>
    </row>
    <row r="727" ht="15.75" customHeight="1">
      <c r="H727" s="38"/>
      <c r="I727" s="38"/>
    </row>
    <row r="728" ht="15.75" customHeight="1">
      <c r="H728" s="38"/>
      <c r="I728" s="38"/>
    </row>
    <row r="729" ht="15.75" customHeight="1">
      <c r="H729" s="38"/>
      <c r="I729" s="38"/>
    </row>
    <row r="730" ht="15.75" customHeight="1">
      <c r="H730" s="38"/>
      <c r="I730" s="38"/>
    </row>
    <row r="731" ht="15.75" customHeight="1">
      <c r="H731" s="38"/>
      <c r="I731" s="38"/>
    </row>
    <row r="732" ht="15.75" customHeight="1">
      <c r="H732" s="38"/>
      <c r="I732" s="38"/>
    </row>
    <row r="733" ht="15.75" customHeight="1">
      <c r="H733" s="38"/>
      <c r="I733" s="38"/>
    </row>
    <row r="734" ht="15.75" customHeight="1">
      <c r="H734" s="38"/>
      <c r="I734" s="38"/>
    </row>
    <row r="735" ht="15.75" customHeight="1">
      <c r="H735" s="38"/>
      <c r="I735" s="38"/>
    </row>
    <row r="736" ht="15.75" customHeight="1">
      <c r="H736" s="38"/>
      <c r="I736" s="38"/>
    </row>
    <row r="737" ht="15.75" customHeight="1">
      <c r="H737" s="38"/>
      <c r="I737" s="38"/>
    </row>
    <row r="738" ht="15.75" customHeight="1">
      <c r="H738" s="38"/>
      <c r="I738" s="38"/>
    </row>
    <row r="739" ht="15.75" customHeight="1">
      <c r="H739" s="38"/>
      <c r="I739" s="38"/>
    </row>
    <row r="740" ht="15.75" customHeight="1">
      <c r="H740" s="38"/>
      <c r="I740" s="38"/>
    </row>
    <row r="741" ht="15.75" customHeight="1">
      <c r="H741" s="38"/>
      <c r="I741" s="38"/>
    </row>
    <row r="742" ht="15.75" customHeight="1">
      <c r="H742" s="38"/>
      <c r="I742" s="38"/>
    </row>
    <row r="743" ht="15.75" customHeight="1">
      <c r="H743" s="38"/>
      <c r="I743" s="38"/>
    </row>
    <row r="744" ht="15.75" customHeight="1">
      <c r="H744" s="38"/>
      <c r="I744" s="38"/>
    </row>
    <row r="745" ht="15.75" customHeight="1">
      <c r="H745" s="38"/>
      <c r="I745" s="38"/>
    </row>
    <row r="746" ht="15.75" customHeight="1">
      <c r="H746" s="38"/>
      <c r="I746" s="38"/>
    </row>
    <row r="747" ht="15.75" customHeight="1">
      <c r="H747" s="38"/>
      <c r="I747" s="38"/>
    </row>
    <row r="748" ht="15.75" customHeight="1">
      <c r="H748" s="38"/>
      <c r="I748" s="38"/>
    </row>
    <row r="749" ht="15.75" customHeight="1">
      <c r="H749" s="38"/>
      <c r="I749" s="38"/>
    </row>
    <row r="750" ht="15.75" customHeight="1">
      <c r="H750" s="38"/>
      <c r="I750" s="38"/>
    </row>
    <row r="751" ht="15.75" customHeight="1">
      <c r="H751" s="38"/>
      <c r="I751" s="38"/>
    </row>
    <row r="752" ht="15.75" customHeight="1">
      <c r="H752" s="38"/>
      <c r="I752" s="38"/>
    </row>
    <row r="753" ht="15.75" customHeight="1">
      <c r="H753" s="38"/>
      <c r="I753" s="38"/>
    </row>
    <row r="754" ht="15.75" customHeight="1">
      <c r="H754" s="38"/>
      <c r="I754" s="38"/>
    </row>
    <row r="755" ht="15.75" customHeight="1">
      <c r="H755" s="38"/>
      <c r="I755" s="38"/>
    </row>
    <row r="756" ht="15.75" customHeight="1">
      <c r="H756" s="38"/>
      <c r="I756" s="38"/>
    </row>
    <row r="757" ht="15.75" customHeight="1">
      <c r="H757" s="38"/>
      <c r="I757" s="38"/>
    </row>
    <row r="758" ht="15.75" customHeight="1">
      <c r="H758" s="38"/>
      <c r="I758" s="38"/>
    </row>
    <row r="759" ht="15.75" customHeight="1">
      <c r="H759" s="38"/>
      <c r="I759" s="38"/>
    </row>
    <row r="760" ht="15.75" customHeight="1">
      <c r="H760" s="38"/>
      <c r="I760" s="38"/>
    </row>
    <row r="761" ht="15.75" customHeight="1">
      <c r="H761" s="38"/>
      <c r="I761" s="38"/>
    </row>
    <row r="762" ht="15.75" customHeight="1">
      <c r="H762" s="38"/>
      <c r="I762" s="38"/>
    </row>
    <row r="763" ht="15.75" customHeight="1">
      <c r="H763" s="38"/>
      <c r="I763" s="38"/>
    </row>
    <row r="764" ht="15.75" customHeight="1">
      <c r="H764" s="38"/>
      <c r="I764" s="38"/>
    </row>
    <row r="765" ht="15.75" customHeight="1">
      <c r="H765" s="38"/>
      <c r="I765" s="38"/>
    </row>
    <row r="766" ht="15.75" customHeight="1">
      <c r="H766" s="38"/>
      <c r="I766" s="38"/>
    </row>
    <row r="767" ht="15.75" customHeight="1">
      <c r="H767" s="38"/>
      <c r="I767" s="38"/>
    </row>
    <row r="768" ht="15.75" customHeight="1">
      <c r="H768" s="38"/>
      <c r="I768" s="38"/>
    </row>
    <row r="769" ht="15.75" customHeight="1">
      <c r="H769" s="38"/>
      <c r="I769" s="38"/>
    </row>
    <row r="770" ht="15.75" customHeight="1">
      <c r="H770" s="38"/>
      <c r="I770" s="38"/>
    </row>
    <row r="771" ht="15.75" customHeight="1">
      <c r="H771" s="38"/>
      <c r="I771" s="38"/>
    </row>
    <row r="772" ht="15.75" customHeight="1">
      <c r="H772" s="38"/>
      <c r="I772" s="38"/>
    </row>
    <row r="773" ht="15.75" customHeight="1">
      <c r="H773" s="38"/>
      <c r="I773" s="38"/>
    </row>
    <row r="774" ht="15.75" customHeight="1">
      <c r="H774" s="38"/>
      <c r="I774" s="38"/>
    </row>
    <row r="775" ht="15.75" customHeight="1">
      <c r="H775" s="38"/>
      <c r="I775" s="38"/>
    </row>
    <row r="776" ht="15.75" customHeight="1">
      <c r="H776" s="38"/>
      <c r="I776" s="38"/>
    </row>
    <row r="777" ht="15.75" customHeight="1">
      <c r="H777" s="38"/>
      <c r="I777" s="38"/>
    </row>
    <row r="778" ht="15.75" customHeight="1">
      <c r="H778" s="38"/>
      <c r="I778" s="38"/>
    </row>
    <row r="779" ht="15.75" customHeight="1">
      <c r="H779" s="38"/>
      <c r="I779" s="38"/>
    </row>
    <row r="780" ht="15.75" customHeight="1">
      <c r="H780" s="38"/>
      <c r="I780" s="38"/>
    </row>
    <row r="781" ht="15.75" customHeight="1">
      <c r="H781" s="38"/>
      <c r="I781" s="38"/>
    </row>
    <row r="782" ht="15.75" customHeight="1">
      <c r="H782" s="38"/>
      <c r="I782" s="38"/>
    </row>
    <row r="783" ht="15.75" customHeight="1">
      <c r="H783" s="38"/>
      <c r="I783" s="38"/>
    </row>
    <row r="784" ht="15.75" customHeight="1">
      <c r="H784" s="38"/>
      <c r="I784" s="38"/>
    </row>
    <row r="785" ht="15.75" customHeight="1">
      <c r="H785" s="38"/>
      <c r="I785" s="38"/>
    </row>
    <row r="786" ht="15.75" customHeight="1">
      <c r="H786" s="38"/>
      <c r="I786" s="38"/>
    </row>
    <row r="787" ht="15.75" customHeight="1">
      <c r="H787" s="38"/>
      <c r="I787" s="38"/>
    </row>
    <row r="788" ht="15.75" customHeight="1">
      <c r="H788" s="38"/>
      <c r="I788" s="38"/>
    </row>
    <row r="789" ht="15.75" customHeight="1">
      <c r="H789" s="38"/>
      <c r="I789" s="38"/>
    </row>
    <row r="790" ht="15.75" customHeight="1">
      <c r="H790" s="38"/>
      <c r="I790" s="38"/>
    </row>
    <row r="791" ht="15.75" customHeight="1">
      <c r="H791" s="38"/>
      <c r="I791" s="38"/>
    </row>
    <row r="792" ht="15.75" customHeight="1">
      <c r="H792" s="38"/>
      <c r="I792" s="38"/>
    </row>
    <row r="793" ht="15.75" customHeight="1">
      <c r="H793" s="38"/>
      <c r="I793" s="38"/>
    </row>
    <row r="794" ht="15.75" customHeight="1">
      <c r="H794" s="38"/>
      <c r="I794" s="38"/>
    </row>
    <row r="795" ht="15.75" customHeight="1">
      <c r="H795" s="38"/>
      <c r="I795" s="38"/>
    </row>
    <row r="796" ht="15.75" customHeight="1">
      <c r="H796" s="38"/>
      <c r="I796" s="38"/>
    </row>
    <row r="797" ht="15.75" customHeight="1">
      <c r="H797" s="38"/>
      <c r="I797" s="38"/>
    </row>
    <row r="798" ht="15.75" customHeight="1">
      <c r="H798" s="38"/>
      <c r="I798" s="38"/>
    </row>
    <row r="799" ht="15.75" customHeight="1">
      <c r="H799" s="38"/>
      <c r="I799" s="38"/>
    </row>
    <row r="800" ht="15.75" customHeight="1">
      <c r="H800" s="38"/>
      <c r="I800" s="38"/>
    </row>
    <row r="801" ht="15.75" customHeight="1">
      <c r="H801" s="38"/>
      <c r="I801" s="38"/>
    </row>
    <row r="802" ht="15.75" customHeight="1">
      <c r="H802" s="38"/>
      <c r="I802" s="38"/>
    </row>
    <row r="803" ht="15.75" customHeight="1">
      <c r="H803" s="38"/>
      <c r="I803" s="38"/>
    </row>
    <row r="804" ht="15.75" customHeight="1">
      <c r="H804" s="38"/>
      <c r="I804" s="38"/>
    </row>
    <row r="805" ht="15.75" customHeight="1">
      <c r="H805" s="38"/>
      <c r="I805" s="38"/>
    </row>
    <row r="806" ht="15.75" customHeight="1">
      <c r="H806" s="38"/>
      <c r="I806" s="38"/>
    </row>
    <row r="807" ht="15.75" customHeight="1">
      <c r="H807" s="38"/>
      <c r="I807" s="38"/>
    </row>
    <row r="808" ht="15.75" customHeight="1">
      <c r="H808" s="38"/>
      <c r="I808" s="38"/>
    </row>
    <row r="809" ht="15.75" customHeight="1">
      <c r="H809" s="38"/>
      <c r="I809" s="38"/>
    </row>
    <row r="810" ht="15.75" customHeight="1">
      <c r="H810" s="38"/>
      <c r="I810" s="38"/>
    </row>
    <row r="811" ht="15.75" customHeight="1">
      <c r="H811" s="38"/>
      <c r="I811" s="38"/>
    </row>
    <row r="812" ht="15.75" customHeight="1">
      <c r="H812" s="38"/>
      <c r="I812" s="38"/>
    </row>
    <row r="813" ht="15.75" customHeight="1">
      <c r="H813" s="38"/>
      <c r="I813" s="38"/>
    </row>
    <row r="814" ht="15.75" customHeight="1">
      <c r="H814" s="38"/>
      <c r="I814" s="38"/>
    </row>
    <row r="815" ht="15.75" customHeight="1">
      <c r="H815" s="38"/>
      <c r="I815" s="38"/>
    </row>
    <row r="816" ht="15.75" customHeight="1">
      <c r="H816" s="38"/>
      <c r="I816" s="38"/>
    </row>
    <row r="817" ht="15.75" customHeight="1">
      <c r="H817" s="38"/>
      <c r="I817" s="38"/>
    </row>
    <row r="818" ht="15.75" customHeight="1">
      <c r="H818" s="38"/>
      <c r="I818" s="38"/>
    </row>
    <row r="819" ht="15.75" customHeight="1">
      <c r="H819" s="38"/>
      <c r="I819" s="38"/>
    </row>
    <row r="820" ht="15.75" customHeight="1">
      <c r="H820" s="38"/>
      <c r="I820" s="38"/>
    </row>
    <row r="821" ht="15.75" customHeight="1">
      <c r="H821" s="38"/>
      <c r="I821" s="38"/>
    </row>
    <row r="822" ht="15.75" customHeight="1">
      <c r="H822" s="38"/>
      <c r="I822" s="38"/>
    </row>
    <row r="823" ht="15.75" customHeight="1">
      <c r="H823" s="38"/>
      <c r="I823" s="38"/>
    </row>
    <row r="824" ht="15.75" customHeight="1">
      <c r="H824" s="38"/>
      <c r="I824" s="38"/>
    </row>
    <row r="825" ht="15.75" customHeight="1">
      <c r="H825" s="38"/>
      <c r="I825" s="38"/>
    </row>
    <row r="826" ht="15.75" customHeight="1">
      <c r="H826" s="38"/>
      <c r="I826" s="38"/>
    </row>
    <row r="827" ht="15.75" customHeight="1">
      <c r="H827" s="38"/>
      <c r="I827" s="38"/>
    </row>
    <row r="828" ht="15.75" customHeight="1">
      <c r="H828" s="38"/>
      <c r="I828" s="38"/>
    </row>
    <row r="829" ht="15.75" customHeight="1">
      <c r="H829" s="38"/>
      <c r="I829" s="38"/>
    </row>
    <row r="830" ht="15.75" customHeight="1">
      <c r="H830" s="38"/>
      <c r="I830" s="38"/>
    </row>
    <row r="831" ht="15.75" customHeight="1">
      <c r="H831" s="38"/>
      <c r="I831" s="38"/>
    </row>
    <row r="832" ht="15.75" customHeight="1">
      <c r="H832" s="38"/>
      <c r="I832" s="38"/>
    </row>
    <row r="833" ht="15.75" customHeight="1">
      <c r="H833" s="38"/>
      <c r="I833" s="38"/>
    </row>
    <row r="834" ht="15.75" customHeight="1">
      <c r="H834" s="38"/>
      <c r="I834" s="38"/>
    </row>
    <row r="835" ht="15.75" customHeight="1">
      <c r="H835" s="38"/>
      <c r="I835" s="38"/>
    </row>
    <row r="836" ht="15.75" customHeight="1">
      <c r="H836" s="38"/>
      <c r="I836" s="38"/>
    </row>
    <row r="837" ht="15.75" customHeight="1">
      <c r="H837" s="38"/>
      <c r="I837" s="38"/>
    </row>
    <row r="838" ht="15.75" customHeight="1">
      <c r="H838" s="38"/>
      <c r="I838" s="38"/>
    </row>
    <row r="839" ht="15.75" customHeight="1">
      <c r="H839" s="38"/>
      <c r="I839" s="38"/>
    </row>
    <row r="840" ht="15.75" customHeight="1">
      <c r="H840" s="38"/>
      <c r="I840" s="38"/>
    </row>
    <row r="841" ht="15.75" customHeight="1">
      <c r="H841" s="38"/>
      <c r="I841" s="38"/>
    </row>
    <row r="842" ht="15.75" customHeight="1">
      <c r="H842" s="38"/>
      <c r="I842" s="38"/>
    </row>
    <row r="843" ht="15.75" customHeight="1">
      <c r="H843" s="38"/>
      <c r="I843" s="38"/>
    </row>
    <row r="844" ht="15.75" customHeight="1">
      <c r="H844" s="38"/>
      <c r="I844" s="38"/>
    </row>
    <row r="845" ht="15.75" customHeight="1">
      <c r="H845" s="38"/>
      <c r="I845" s="38"/>
    </row>
    <row r="846" ht="15.75" customHeight="1">
      <c r="H846" s="38"/>
      <c r="I846" s="38"/>
    </row>
    <row r="847" ht="15.75" customHeight="1">
      <c r="H847" s="38"/>
      <c r="I847" s="38"/>
    </row>
    <row r="848" ht="15.75" customHeight="1">
      <c r="H848" s="38"/>
      <c r="I848" s="38"/>
    </row>
    <row r="849" ht="15.75" customHeight="1">
      <c r="H849" s="38"/>
      <c r="I849" s="38"/>
    </row>
    <row r="850" ht="15.75" customHeight="1">
      <c r="H850" s="38"/>
      <c r="I850" s="38"/>
    </row>
    <row r="851" ht="15.75" customHeight="1">
      <c r="H851" s="38"/>
      <c r="I851" s="38"/>
    </row>
    <row r="852" ht="15.75" customHeight="1">
      <c r="H852" s="38"/>
      <c r="I852" s="38"/>
    </row>
    <row r="853" ht="15.75" customHeight="1">
      <c r="H853" s="38"/>
      <c r="I853" s="38"/>
    </row>
    <row r="854" ht="15.75" customHeight="1">
      <c r="H854" s="38"/>
      <c r="I854" s="38"/>
    </row>
    <row r="855" ht="15.75" customHeight="1">
      <c r="H855" s="38"/>
      <c r="I855" s="38"/>
    </row>
    <row r="856" ht="15.75" customHeight="1">
      <c r="H856" s="38"/>
      <c r="I856" s="38"/>
    </row>
    <row r="857" ht="15.75" customHeight="1">
      <c r="H857" s="38"/>
      <c r="I857" s="38"/>
    </row>
    <row r="858" ht="15.75" customHeight="1">
      <c r="H858" s="38"/>
      <c r="I858" s="38"/>
    </row>
    <row r="859" ht="15.75" customHeight="1">
      <c r="H859" s="38"/>
      <c r="I859" s="38"/>
    </row>
    <row r="860" ht="15.75" customHeight="1">
      <c r="H860" s="38"/>
      <c r="I860" s="38"/>
    </row>
    <row r="861" ht="15.75" customHeight="1">
      <c r="H861" s="38"/>
      <c r="I861" s="38"/>
    </row>
    <row r="862" ht="15.75" customHeight="1">
      <c r="H862" s="38"/>
      <c r="I862" s="38"/>
    </row>
    <row r="863" ht="15.75" customHeight="1">
      <c r="H863" s="38"/>
      <c r="I863" s="38"/>
    </row>
    <row r="864" ht="15.75" customHeight="1">
      <c r="H864" s="38"/>
      <c r="I864" s="38"/>
    </row>
    <row r="865" ht="15.75" customHeight="1">
      <c r="H865" s="38"/>
      <c r="I865" s="38"/>
    </row>
    <row r="866" ht="15.75" customHeight="1">
      <c r="H866" s="38"/>
      <c r="I866" s="38"/>
    </row>
    <row r="867" ht="15.75" customHeight="1">
      <c r="H867" s="38"/>
      <c r="I867" s="38"/>
    </row>
    <row r="868" ht="15.75" customHeight="1">
      <c r="H868" s="38"/>
      <c r="I868" s="38"/>
    </row>
    <row r="869" ht="15.75" customHeight="1">
      <c r="H869" s="38"/>
      <c r="I869" s="38"/>
    </row>
    <row r="870" ht="15.75" customHeight="1">
      <c r="H870" s="38"/>
      <c r="I870" s="38"/>
    </row>
    <row r="871" ht="15.75" customHeight="1">
      <c r="H871" s="38"/>
      <c r="I871" s="38"/>
    </row>
    <row r="872" ht="15.75" customHeight="1">
      <c r="H872" s="38"/>
      <c r="I872" s="38"/>
    </row>
    <row r="873" ht="15.75" customHeight="1">
      <c r="H873" s="38"/>
      <c r="I873" s="38"/>
    </row>
    <row r="874" ht="15.75" customHeight="1">
      <c r="H874" s="38"/>
      <c r="I874" s="38"/>
    </row>
    <row r="875" ht="15.75" customHeight="1">
      <c r="H875" s="38"/>
      <c r="I875" s="38"/>
    </row>
    <row r="876" ht="15.75" customHeight="1">
      <c r="H876" s="38"/>
      <c r="I876" s="38"/>
    </row>
    <row r="877" ht="15.75" customHeight="1">
      <c r="H877" s="38"/>
      <c r="I877" s="38"/>
    </row>
    <row r="878" ht="15.75" customHeight="1">
      <c r="H878" s="38"/>
      <c r="I878" s="38"/>
    </row>
    <row r="879" ht="15.75" customHeight="1">
      <c r="H879" s="38"/>
      <c r="I879" s="38"/>
    </row>
    <row r="880" ht="15.75" customHeight="1">
      <c r="H880" s="38"/>
      <c r="I880" s="38"/>
    </row>
    <row r="881" ht="15.75" customHeight="1">
      <c r="H881" s="38"/>
      <c r="I881" s="38"/>
    </row>
    <row r="882" ht="15.75" customHeight="1">
      <c r="H882" s="38"/>
      <c r="I882" s="38"/>
    </row>
    <row r="883" ht="15.75" customHeight="1">
      <c r="H883" s="38"/>
      <c r="I883" s="38"/>
    </row>
    <row r="884" ht="15.75" customHeight="1">
      <c r="H884" s="38"/>
      <c r="I884" s="38"/>
    </row>
    <row r="885" ht="15.75" customHeight="1">
      <c r="H885" s="38"/>
      <c r="I885" s="38"/>
    </row>
    <row r="886" ht="15.75" customHeight="1">
      <c r="H886" s="38"/>
      <c r="I886" s="38"/>
    </row>
    <row r="887" ht="15.75" customHeight="1">
      <c r="H887" s="38"/>
      <c r="I887" s="38"/>
    </row>
    <row r="888" ht="15.75" customHeight="1">
      <c r="H888" s="38"/>
      <c r="I888" s="38"/>
    </row>
    <row r="889" ht="15.75" customHeight="1">
      <c r="H889" s="38"/>
      <c r="I889" s="38"/>
    </row>
    <row r="890" ht="15.75" customHeight="1">
      <c r="H890" s="38"/>
      <c r="I890" s="38"/>
    </row>
    <row r="891" ht="15.75" customHeight="1">
      <c r="H891" s="38"/>
      <c r="I891" s="38"/>
    </row>
    <row r="892" ht="15.75" customHeight="1">
      <c r="H892" s="38"/>
      <c r="I892" s="38"/>
    </row>
    <row r="893" ht="15.75" customHeight="1">
      <c r="H893" s="38"/>
      <c r="I893" s="38"/>
    </row>
    <row r="894" ht="15.75" customHeight="1">
      <c r="H894" s="38"/>
      <c r="I894" s="38"/>
    </row>
    <row r="895" ht="15.75" customHeight="1">
      <c r="H895" s="38"/>
      <c r="I895" s="38"/>
    </row>
    <row r="896" ht="15.75" customHeight="1">
      <c r="H896" s="38"/>
      <c r="I896" s="38"/>
    </row>
    <row r="897" ht="15.75" customHeight="1">
      <c r="H897" s="38"/>
      <c r="I897" s="38"/>
    </row>
    <row r="898" ht="15.75" customHeight="1">
      <c r="H898" s="38"/>
      <c r="I898" s="38"/>
    </row>
    <row r="899" ht="15.75" customHeight="1">
      <c r="H899" s="38"/>
      <c r="I899" s="38"/>
    </row>
    <row r="900" ht="15.75" customHeight="1">
      <c r="H900" s="38"/>
      <c r="I900" s="38"/>
    </row>
    <row r="901" ht="15.75" customHeight="1">
      <c r="H901" s="38"/>
      <c r="I901" s="38"/>
    </row>
    <row r="902" ht="15.75" customHeight="1">
      <c r="H902" s="38"/>
      <c r="I902" s="38"/>
    </row>
    <row r="903" ht="15.75" customHeight="1">
      <c r="H903" s="38"/>
      <c r="I903" s="38"/>
    </row>
    <row r="904" ht="15.75" customHeight="1">
      <c r="H904" s="38"/>
      <c r="I904" s="38"/>
    </row>
    <row r="905" ht="15.75" customHeight="1">
      <c r="H905" s="38"/>
      <c r="I905" s="38"/>
    </row>
    <row r="906" ht="15.75" customHeight="1">
      <c r="H906" s="38"/>
      <c r="I906" s="38"/>
    </row>
    <row r="907" ht="15.75" customHeight="1">
      <c r="H907" s="38"/>
      <c r="I907" s="38"/>
    </row>
    <row r="908" ht="15.75" customHeight="1">
      <c r="H908" s="38"/>
      <c r="I908" s="38"/>
    </row>
    <row r="909" ht="15.75" customHeight="1">
      <c r="H909" s="38"/>
      <c r="I909" s="38"/>
    </row>
    <row r="910" ht="15.75" customHeight="1">
      <c r="H910" s="38"/>
      <c r="I910" s="38"/>
    </row>
    <row r="911" ht="15.75" customHeight="1">
      <c r="H911" s="38"/>
      <c r="I911" s="38"/>
    </row>
    <row r="912" ht="15.75" customHeight="1">
      <c r="H912" s="38"/>
      <c r="I912" s="38"/>
    </row>
    <row r="913" ht="15.75" customHeight="1">
      <c r="H913" s="38"/>
      <c r="I913" s="38"/>
    </row>
    <row r="914" ht="15.75" customHeight="1">
      <c r="H914" s="38"/>
      <c r="I914" s="38"/>
    </row>
    <row r="915" ht="15.75" customHeight="1">
      <c r="H915" s="38"/>
      <c r="I915" s="38"/>
    </row>
    <row r="916" ht="15.75" customHeight="1">
      <c r="H916" s="38"/>
      <c r="I916" s="38"/>
    </row>
    <row r="917" ht="15.75" customHeight="1">
      <c r="H917" s="38"/>
      <c r="I917" s="38"/>
    </row>
    <row r="918" ht="15.75" customHeight="1">
      <c r="H918" s="38"/>
      <c r="I918" s="38"/>
    </row>
    <row r="919" ht="15.75" customHeight="1">
      <c r="H919" s="38"/>
      <c r="I919" s="38"/>
    </row>
    <row r="920" ht="15.75" customHeight="1">
      <c r="H920" s="38"/>
      <c r="I920" s="38"/>
    </row>
    <row r="921" ht="15.75" customHeight="1">
      <c r="H921" s="38"/>
      <c r="I921" s="38"/>
    </row>
    <row r="922" ht="15.75" customHeight="1">
      <c r="H922" s="38"/>
      <c r="I922" s="38"/>
    </row>
    <row r="923" ht="15.75" customHeight="1">
      <c r="H923" s="38"/>
      <c r="I923" s="38"/>
    </row>
    <row r="924" ht="15.75" customHeight="1">
      <c r="H924" s="38"/>
      <c r="I924" s="38"/>
    </row>
    <row r="925" ht="15.75" customHeight="1">
      <c r="H925" s="38"/>
      <c r="I925" s="38"/>
    </row>
    <row r="926" ht="15.75" customHeight="1">
      <c r="H926" s="38"/>
      <c r="I926" s="38"/>
    </row>
    <row r="927" ht="15.75" customHeight="1">
      <c r="H927" s="38"/>
      <c r="I927" s="38"/>
    </row>
    <row r="928" ht="15.75" customHeight="1">
      <c r="H928" s="38"/>
      <c r="I928" s="38"/>
    </row>
    <row r="929" ht="15.75" customHeight="1">
      <c r="H929" s="38"/>
      <c r="I929" s="38"/>
    </row>
    <row r="930" ht="15.75" customHeight="1">
      <c r="H930" s="38"/>
      <c r="I930" s="38"/>
    </row>
    <row r="931" ht="15.75" customHeight="1">
      <c r="H931" s="38"/>
      <c r="I931" s="38"/>
    </row>
    <row r="932" ht="15.75" customHeight="1">
      <c r="H932" s="38"/>
      <c r="I932" s="38"/>
    </row>
    <row r="933" ht="15.75" customHeight="1">
      <c r="H933" s="38"/>
      <c r="I933" s="38"/>
    </row>
    <row r="934" ht="15.75" customHeight="1">
      <c r="H934" s="38"/>
      <c r="I934" s="38"/>
    </row>
    <row r="935" ht="15.75" customHeight="1">
      <c r="H935" s="38"/>
      <c r="I935" s="38"/>
    </row>
    <row r="936" ht="15.75" customHeight="1">
      <c r="H936" s="38"/>
      <c r="I936" s="38"/>
    </row>
    <row r="937" ht="15.75" customHeight="1">
      <c r="H937" s="38"/>
      <c r="I937" s="38"/>
    </row>
    <row r="938" ht="15.75" customHeight="1">
      <c r="H938" s="38"/>
      <c r="I938" s="38"/>
    </row>
    <row r="939" ht="15.75" customHeight="1">
      <c r="H939" s="38"/>
      <c r="I939" s="38"/>
    </row>
    <row r="940" ht="15.75" customHeight="1">
      <c r="H940" s="38"/>
      <c r="I940" s="38"/>
    </row>
    <row r="941" ht="15.75" customHeight="1">
      <c r="H941" s="38"/>
      <c r="I941" s="38"/>
    </row>
    <row r="942" ht="15.75" customHeight="1">
      <c r="H942" s="38"/>
      <c r="I942" s="38"/>
    </row>
    <row r="943" ht="15.75" customHeight="1">
      <c r="H943" s="38"/>
      <c r="I943" s="38"/>
    </row>
    <row r="944" ht="15.75" customHeight="1">
      <c r="H944" s="38"/>
      <c r="I944" s="38"/>
    </row>
    <row r="945" ht="15.75" customHeight="1">
      <c r="H945" s="38"/>
      <c r="I945" s="38"/>
    </row>
    <row r="946" ht="15.75" customHeight="1">
      <c r="H946" s="38"/>
      <c r="I946" s="38"/>
    </row>
    <row r="947" ht="15.75" customHeight="1">
      <c r="H947" s="38"/>
      <c r="I947" s="38"/>
    </row>
    <row r="948" ht="15.75" customHeight="1">
      <c r="H948" s="38"/>
      <c r="I948" s="38"/>
    </row>
    <row r="949" ht="15.75" customHeight="1">
      <c r="H949" s="38"/>
      <c r="I949" s="38"/>
    </row>
    <row r="950" ht="15.75" customHeight="1">
      <c r="H950" s="38"/>
      <c r="I950" s="38"/>
    </row>
    <row r="951" ht="15.75" customHeight="1">
      <c r="H951" s="38"/>
      <c r="I951" s="38"/>
    </row>
    <row r="952" ht="15.75" customHeight="1">
      <c r="H952" s="38"/>
      <c r="I952" s="38"/>
    </row>
    <row r="953" ht="15.75" customHeight="1">
      <c r="H953" s="38"/>
      <c r="I953" s="38"/>
    </row>
    <row r="954" ht="15.75" customHeight="1">
      <c r="H954" s="38"/>
      <c r="I954" s="38"/>
    </row>
    <row r="955" ht="15.75" customHeight="1">
      <c r="H955" s="38"/>
      <c r="I955" s="38"/>
    </row>
    <row r="956" ht="15.75" customHeight="1">
      <c r="H956" s="38"/>
      <c r="I956" s="38"/>
    </row>
    <row r="957" ht="15.75" customHeight="1">
      <c r="H957" s="38"/>
      <c r="I957" s="38"/>
    </row>
    <row r="958" ht="15.75" customHeight="1">
      <c r="H958" s="38"/>
      <c r="I958" s="38"/>
    </row>
    <row r="959" ht="15.75" customHeight="1">
      <c r="H959" s="38"/>
      <c r="I959" s="38"/>
    </row>
    <row r="960" ht="15.75" customHeight="1">
      <c r="H960" s="38"/>
      <c r="I960" s="38"/>
    </row>
    <row r="961" ht="15.75" customHeight="1">
      <c r="H961" s="38"/>
      <c r="I961" s="38"/>
    </row>
    <row r="962" ht="15.75" customHeight="1">
      <c r="H962" s="38"/>
      <c r="I962" s="38"/>
    </row>
    <row r="963" ht="15.75" customHeight="1">
      <c r="H963" s="38"/>
      <c r="I963" s="38"/>
    </row>
    <row r="964" ht="15.75" customHeight="1">
      <c r="H964" s="38"/>
      <c r="I964" s="38"/>
    </row>
    <row r="965" ht="15.75" customHeight="1">
      <c r="H965" s="38"/>
      <c r="I965" s="38"/>
    </row>
    <row r="966" ht="15.75" customHeight="1">
      <c r="H966" s="38"/>
      <c r="I966" s="38"/>
    </row>
    <row r="967" ht="15.75" customHeight="1">
      <c r="H967" s="38"/>
      <c r="I967" s="38"/>
    </row>
    <row r="968" ht="15.75" customHeight="1">
      <c r="H968" s="38"/>
      <c r="I968" s="38"/>
    </row>
    <row r="969" ht="15.75" customHeight="1">
      <c r="H969" s="38"/>
      <c r="I969" s="38"/>
    </row>
    <row r="970" ht="15.75" customHeight="1">
      <c r="H970" s="38"/>
      <c r="I970" s="38"/>
    </row>
    <row r="971" ht="15.75" customHeight="1">
      <c r="H971" s="38"/>
      <c r="I971" s="38"/>
    </row>
    <row r="972" ht="15.75" customHeight="1">
      <c r="H972" s="38"/>
      <c r="I972" s="38"/>
    </row>
    <row r="973" ht="15.75" customHeight="1">
      <c r="H973" s="38"/>
      <c r="I973" s="38"/>
    </row>
    <row r="974" ht="15.75" customHeight="1">
      <c r="H974" s="38"/>
      <c r="I974" s="38"/>
    </row>
    <row r="975" ht="15.75" customHeight="1">
      <c r="H975" s="38"/>
      <c r="I975" s="38"/>
    </row>
    <row r="976" ht="15.75" customHeight="1">
      <c r="H976" s="38"/>
      <c r="I976" s="38"/>
    </row>
    <row r="977" ht="15.75" customHeight="1">
      <c r="H977" s="38"/>
      <c r="I977" s="38"/>
    </row>
    <row r="978" ht="15.75" customHeight="1">
      <c r="H978" s="38"/>
      <c r="I978" s="38"/>
    </row>
    <row r="979" ht="15.75" customHeight="1">
      <c r="H979" s="38"/>
      <c r="I979" s="38"/>
    </row>
    <row r="980" ht="15.75" customHeight="1">
      <c r="H980" s="38"/>
      <c r="I980" s="38"/>
    </row>
    <row r="981" ht="15.75" customHeight="1">
      <c r="H981" s="38"/>
      <c r="I981" s="38"/>
    </row>
    <row r="982" ht="15.75" customHeight="1">
      <c r="H982" s="38"/>
      <c r="I982" s="38"/>
    </row>
    <row r="983" ht="15.75" customHeight="1">
      <c r="H983" s="38"/>
      <c r="I983" s="38"/>
    </row>
    <row r="984" ht="15.75" customHeight="1">
      <c r="H984" s="38"/>
      <c r="I984" s="38"/>
    </row>
    <row r="985" ht="15.75" customHeight="1">
      <c r="H985" s="38"/>
      <c r="I985" s="38"/>
    </row>
    <row r="986" ht="15.75" customHeight="1">
      <c r="H986" s="38"/>
      <c r="I986" s="38"/>
    </row>
    <row r="987" ht="15.75" customHeight="1">
      <c r="H987" s="38"/>
      <c r="I987" s="38"/>
    </row>
    <row r="988" ht="15.75" customHeight="1">
      <c r="H988" s="38"/>
      <c r="I988" s="38"/>
    </row>
    <row r="989" ht="15.75" customHeight="1">
      <c r="H989" s="38"/>
      <c r="I989" s="38"/>
    </row>
    <row r="990" ht="15.75" customHeight="1">
      <c r="H990" s="38"/>
      <c r="I990" s="38"/>
    </row>
    <row r="991" ht="15.75" customHeight="1">
      <c r="H991" s="38"/>
      <c r="I991" s="38"/>
    </row>
    <row r="992" ht="15.75" customHeight="1">
      <c r="H992" s="38"/>
      <c r="I992" s="38"/>
    </row>
    <row r="993" ht="15.75" customHeight="1">
      <c r="H993" s="38"/>
      <c r="I993" s="38"/>
    </row>
    <row r="994" ht="15.75" customHeight="1">
      <c r="H994" s="38"/>
      <c r="I994" s="38"/>
    </row>
    <row r="995" ht="15.75" customHeight="1">
      <c r="H995" s="38"/>
      <c r="I995" s="38"/>
    </row>
    <row r="996" ht="15.75" customHeight="1">
      <c r="H996" s="38"/>
      <c r="I996" s="38"/>
    </row>
    <row r="997" ht="15.75" customHeight="1">
      <c r="H997" s="38"/>
      <c r="I997" s="38"/>
    </row>
    <row r="998" ht="15.75" customHeight="1">
      <c r="H998" s="38"/>
      <c r="I998" s="38"/>
    </row>
    <row r="999" ht="15.75" customHeight="1">
      <c r="H999" s="38"/>
      <c r="I999" s="38"/>
    </row>
    <row r="1000" ht="15.75" customHeight="1">
      <c r="H1000" s="38"/>
      <c r="I1000" s="38"/>
    </row>
  </sheetData>
  <mergeCells count="7">
    <mergeCell ref="B3:C3"/>
    <mergeCell ref="D3:E3"/>
    <mergeCell ref="G10:H10"/>
    <mergeCell ref="I10:J10"/>
    <mergeCell ref="B25:C25"/>
    <mergeCell ref="D25:E25"/>
    <mergeCell ref="B31:D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4.14"/>
    <col customWidth="1" min="2" max="2" width="26.86"/>
    <col customWidth="1" min="3" max="3" width="8.14" outlineLevel="1"/>
    <col customWidth="1" min="4" max="14" width="7.29" outlineLevel="1"/>
    <col customWidth="1" min="15" max="15" width="10.0"/>
    <col customWidth="1" min="16" max="27" width="7.29" outlineLevel="1"/>
    <col customWidth="1" min="28" max="28" width="9.71"/>
    <col customWidth="1" min="29" max="29" width="1.43"/>
    <col customWidth="1" min="30" max="30" width="28.0"/>
    <col customWidth="1" min="31" max="31" width="1.43"/>
    <col customWidth="1" min="32" max="32" width="15.71"/>
    <col customWidth="1" min="33" max="33" width="8.86"/>
  </cols>
  <sheetData>
    <row r="1" ht="19.5" customHeight="1">
      <c r="AG1" s="27"/>
    </row>
    <row r="2" ht="36.0" customHeight="1">
      <c r="B2" s="39" t="s">
        <v>70</v>
      </c>
      <c r="C2" s="91"/>
      <c r="D2" s="91"/>
      <c r="E2" s="91"/>
      <c r="F2" s="91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D2" s="93" t="s">
        <v>71</v>
      </c>
      <c r="AE2" s="94"/>
      <c r="AF2" s="95" t="s">
        <v>1</v>
      </c>
      <c r="AG2" s="27"/>
    </row>
    <row r="3" ht="19.5" customHeight="1">
      <c r="B3" s="96"/>
      <c r="C3" s="97" t="s">
        <v>72</v>
      </c>
      <c r="D3" s="97" t="s">
        <v>73</v>
      </c>
      <c r="E3" s="97" t="s">
        <v>74</v>
      </c>
      <c r="F3" s="97" t="s">
        <v>75</v>
      </c>
      <c r="G3" s="98">
        <v>46143.0</v>
      </c>
      <c r="H3" s="97" t="s">
        <v>76</v>
      </c>
      <c r="I3" s="97" t="s">
        <v>77</v>
      </c>
      <c r="J3" s="97" t="s">
        <v>78</v>
      </c>
      <c r="K3" s="97" t="s">
        <v>79</v>
      </c>
      <c r="L3" s="97" t="s">
        <v>80</v>
      </c>
      <c r="M3" s="97" t="s">
        <v>81</v>
      </c>
      <c r="N3" s="97" t="s">
        <v>82</v>
      </c>
      <c r="O3" s="99">
        <v>2026.0</v>
      </c>
      <c r="P3" s="97" t="s">
        <v>83</v>
      </c>
      <c r="Q3" s="97" t="s">
        <v>84</v>
      </c>
      <c r="R3" s="97" t="s">
        <v>85</v>
      </c>
      <c r="S3" s="97" t="s">
        <v>86</v>
      </c>
      <c r="T3" s="98">
        <v>46508.0</v>
      </c>
      <c r="U3" s="97" t="s">
        <v>87</v>
      </c>
      <c r="V3" s="97" t="s">
        <v>88</v>
      </c>
      <c r="W3" s="97" t="s">
        <v>89</v>
      </c>
      <c r="X3" s="97" t="s">
        <v>90</v>
      </c>
      <c r="Y3" s="97" t="s">
        <v>91</v>
      </c>
      <c r="Z3" s="97" t="s">
        <v>92</v>
      </c>
      <c r="AA3" s="97" t="s">
        <v>93</v>
      </c>
      <c r="AB3" s="100">
        <v>2027.0</v>
      </c>
      <c r="AG3" s="27"/>
    </row>
    <row r="4" ht="19.5" customHeight="1">
      <c r="B4" s="48"/>
      <c r="C4" s="101">
        <v>31.0</v>
      </c>
      <c r="D4" s="101">
        <v>28.0</v>
      </c>
      <c r="E4" s="101">
        <v>31.0</v>
      </c>
      <c r="F4" s="101">
        <v>30.0</v>
      </c>
      <c r="G4" s="101">
        <v>31.0</v>
      </c>
      <c r="H4" s="101">
        <v>30.0</v>
      </c>
      <c r="I4" s="101">
        <v>31.0</v>
      </c>
      <c r="J4" s="101">
        <v>31.0</v>
      </c>
      <c r="K4" s="101">
        <v>30.0</v>
      </c>
      <c r="L4" s="101">
        <v>31.0</v>
      </c>
      <c r="M4" s="101">
        <v>30.0</v>
      </c>
      <c r="N4" s="101">
        <v>31.0</v>
      </c>
      <c r="O4" s="102">
        <f>SUM(C4:N4)</f>
        <v>365</v>
      </c>
      <c r="P4" s="101">
        <v>31.0</v>
      </c>
      <c r="Q4" s="101">
        <v>28.0</v>
      </c>
      <c r="R4" s="101">
        <v>31.0</v>
      </c>
      <c r="S4" s="101">
        <v>30.0</v>
      </c>
      <c r="T4" s="101">
        <v>31.0</v>
      </c>
      <c r="U4" s="101">
        <v>30.0</v>
      </c>
      <c r="V4" s="101">
        <v>31.0</v>
      </c>
      <c r="W4" s="101">
        <v>31.0</v>
      </c>
      <c r="X4" s="101">
        <v>30.0</v>
      </c>
      <c r="Y4" s="101">
        <v>31.0</v>
      </c>
      <c r="Z4" s="101">
        <v>30.0</v>
      </c>
      <c r="AA4" s="101">
        <v>31.0</v>
      </c>
      <c r="AB4" s="102">
        <f>SUM(P4:AA4)</f>
        <v>365</v>
      </c>
      <c r="AG4" s="27"/>
    </row>
    <row r="5" ht="40.5" customHeight="1">
      <c r="B5" s="34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103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103"/>
      <c r="AG5" s="27"/>
    </row>
    <row r="6" ht="36.0" customHeight="1">
      <c r="B6" s="39" t="s">
        <v>94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104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6"/>
      <c r="AF6" s="26" t="s">
        <v>9</v>
      </c>
      <c r="AG6" s="27" t="str">
        <f>IF(AF6="Нет", " ", "Показатель рассчитывается по формуле Количество пользователей * Стоимость подписки")</f>
        <v> </v>
      </c>
    </row>
    <row r="7" ht="19.5" customHeight="1">
      <c r="B7" s="96"/>
      <c r="C7" s="97" t="s">
        <v>72</v>
      </c>
      <c r="D7" s="97" t="s">
        <v>73</v>
      </c>
      <c r="E7" s="97" t="s">
        <v>74</v>
      </c>
      <c r="F7" s="97" t="s">
        <v>75</v>
      </c>
      <c r="G7" s="98">
        <v>46143.0</v>
      </c>
      <c r="H7" s="97" t="s">
        <v>76</v>
      </c>
      <c r="I7" s="97" t="s">
        <v>77</v>
      </c>
      <c r="J7" s="97" t="s">
        <v>78</v>
      </c>
      <c r="K7" s="97" t="s">
        <v>79</v>
      </c>
      <c r="L7" s="97" t="s">
        <v>80</v>
      </c>
      <c r="M7" s="97" t="s">
        <v>81</v>
      </c>
      <c r="N7" s="97" t="s">
        <v>82</v>
      </c>
      <c r="O7" s="99">
        <v>2026.0</v>
      </c>
      <c r="P7" s="97" t="s">
        <v>83</v>
      </c>
      <c r="Q7" s="97" t="s">
        <v>84</v>
      </c>
      <c r="R7" s="97" t="s">
        <v>85</v>
      </c>
      <c r="S7" s="97" t="s">
        <v>86</v>
      </c>
      <c r="T7" s="98">
        <v>46508.0</v>
      </c>
      <c r="U7" s="97" t="s">
        <v>87</v>
      </c>
      <c r="V7" s="97" t="s">
        <v>88</v>
      </c>
      <c r="W7" s="97" t="s">
        <v>89</v>
      </c>
      <c r="X7" s="97" t="s">
        <v>90</v>
      </c>
      <c r="Y7" s="97" t="s">
        <v>91</v>
      </c>
      <c r="Z7" s="97" t="s">
        <v>92</v>
      </c>
      <c r="AA7" s="97" t="s">
        <v>93</v>
      </c>
      <c r="AB7" s="100">
        <v>2027.0</v>
      </c>
      <c r="AG7" s="27"/>
    </row>
    <row r="8" ht="9.75" customHeight="1">
      <c r="B8" s="106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6"/>
      <c r="AG8" s="27"/>
    </row>
    <row r="9" ht="19.5" customHeight="1">
      <c r="B9" s="75" t="s">
        <v>2</v>
      </c>
      <c r="C9" s="108">
        <f t="shared" ref="C9:N9" si="1">SUM(C10:C14)</f>
        <v>0</v>
      </c>
      <c r="D9" s="109">
        <f t="shared" si="1"/>
        <v>68.33333333</v>
      </c>
      <c r="E9" s="109">
        <f t="shared" si="1"/>
        <v>137.8283333</v>
      </c>
      <c r="F9" s="109">
        <f t="shared" si="1"/>
        <v>208.5047483</v>
      </c>
      <c r="G9" s="109">
        <f t="shared" si="1"/>
        <v>280.3826624</v>
      </c>
      <c r="H9" s="109">
        <f t="shared" si="1"/>
        <v>353.482501</v>
      </c>
      <c r="I9" s="109">
        <f t="shared" si="1"/>
        <v>430.0553129</v>
      </c>
      <c r="J9" s="109">
        <f t="shared" si="1"/>
        <v>510.2660991</v>
      </c>
      <c r="K9" s="109">
        <f t="shared" si="1"/>
        <v>594.2876998</v>
      </c>
      <c r="L9" s="109">
        <f t="shared" si="1"/>
        <v>672.4865252</v>
      </c>
      <c r="M9" s="109">
        <f t="shared" si="1"/>
        <v>752.0147306</v>
      </c>
      <c r="N9" s="109">
        <f t="shared" si="1"/>
        <v>832.8949156</v>
      </c>
      <c r="O9" s="110">
        <f t="shared" ref="O9:O20" si="3">SUM(C9:N9)</f>
        <v>4840.536862</v>
      </c>
      <c r="P9" s="109">
        <f t="shared" ref="P9:AA9" si="2">SUM(P10:P14)</f>
        <v>915.1500636</v>
      </c>
      <c r="Q9" s="109">
        <f t="shared" si="2"/>
        <v>998.8035492</v>
      </c>
      <c r="R9" s="109">
        <f t="shared" si="2"/>
        <v>1083.879144</v>
      </c>
      <c r="S9" s="109">
        <f t="shared" si="2"/>
        <v>1170.401024</v>
      </c>
      <c r="T9" s="109">
        <f t="shared" si="2"/>
        <v>1258.393776</v>
      </c>
      <c r="U9" s="109">
        <f t="shared" si="2"/>
        <v>1347.882405</v>
      </c>
      <c r="V9" s="109">
        <f t="shared" si="2"/>
        <v>1441.622638</v>
      </c>
      <c r="W9" s="109">
        <f t="shared" si="2"/>
        <v>1539.81647</v>
      </c>
      <c r="X9" s="109">
        <f t="shared" si="2"/>
        <v>1642.675491</v>
      </c>
      <c r="Y9" s="109">
        <f t="shared" si="2"/>
        <v>1738.406286</v>
      </c>
      <c r="Z9" s="109">
        <f t="shared" si="2"/>
        <v>1835.764504</v>
      </c>
      <c r="AA9" s="109">
        <f t="shared" si="2"/>
        <v>1934.777812</v>
      </c>
      <c r="AB9" s="111">
        <f t="shared" ref="AB9:AB20" si="5">SUM(P9:AA9)</f>
        <v>16907.57316</v>
      </c>
      <c r="AG9" s="27"/>
    </row>
    <row r="10" ht="19.5" customHeight="1" outlineLevel="1">
      <c r="B10" s="112" t="s">
        <v>20</v>
      </c>
      <c r="C10" s="113">
        <f t="shared" ref="C10:C14" si="6">C26*C42/1000</f>
        <v>0</v>
      </c>
      <c r="D10" s="114">
        <v>0.0</v>
      </c>
      <c r="E10" s="114">
        <v>0.0</v>
      </c>
      <c r="F10" s="114">
        <v>0.0</v>
      </c>
      <c r="G10" s="114">
        <v>0.0</v>
      </c>
      <c r="H10" s="114">
        <v>0.0</v>
      </c>
      <c r="I10" s="114">
        <v>0.0</v>
      </c>
      <c r="J10" s="114">
        <v>0.0</v>
      </c>
      <c r="K10" s="114">
        <v>0.0</v>
      </c>
      <c r="L10" s="114">
        <v>0.0</v>
      </c>
      <c r="M10" s="114">
        <v>0.0</v>
      </c>
      <c r="N10" s="114">
        <v>0.0</v>
      </c>
      <c r="O10" s="115">
        <f t="shared" si="3"/>
        <v>0</v>
      </c>
      <c r="P10" s="114">
        <f t="shared" ref="P10:AA10" si="4">P26*P42/1000</f>
        <v>0</v>
      </c>
      <c r="Q10" s="114">
        <f t="shared" si="4"/>
        <v>0</v>
      </c>
      <c r="R10" s="114">
        <f t="shared" si="4"/>
        <v>0</v>
      </c>
      <c r="S10" s="114">
        <f t="shared" si="4"/>
        <v>0</v>
      </c>
      <c r="T10" s="114">
        <f t="shared" si="4"/>
        <v>0</v>
      </c>
      <c r="U10" s="114">
        <f t="shared" si="4"/>
        <v>0</v>
      </c>
      <c r="V10" s="114">
        <f t="shared" si="4"/>
        <v>0</v>
      </c>
      <c r="W10" s="114">
        <f t="shared" si="4"/>
        <v>0</v>
      </c>
      <c r="X10" s="114">
        <f t="shared" si="4"/>
        <v>0</v>
      </c>
      <c r="Y10" s="114">
        <f t="shared" si="4"/>
        <v>0</v>
      </c>
      <c r="Z10" s="114">
        <f t="shared" si="4"/>
        <v>0</v>
      </c>
      <c r="AA10" s="114">
        <f t="shared" si="4"/>
        <v>0</v>
      </c>
      <c r="AB10" s="116">
        <f t="shared" si="5"/>
        <v>0</v>
      </c>
      <c r="AG10" s="27"/>
    </row>
    <row r="11" ht="19.5" customHeight="1" outlineLevel="1">
      <c r="B11" s="117" t="s">
        <v>24</v>
      </c>
      <c r="C11" s="113">
        <f t="shared" si="6"/>
        <v>0</v>
      </c>
      <c r="D11" s="114">
        <f t="shared" ref="D11:N11" si="7">D27*D43/1000</f>
        <v>30</v>
      </c>
      <c r="E11" s="114">
        <f t="shared" si="7"/>
        <v>60.51</v>
      </c>
      <c r="F11" s="114">
        <f t="shared" si="7"/>
        <v>91.53867</v>
      </c>
      <c r="G11" s="114">
        <f t="shared" si="7"/>
        <v>123.0948274</v>
      </c>
      <c r="H11" s="114">
        <f t="shared" si="7"/>
        <v>155.1874395</v>
      </c>
      <c r="I11" s="114">
        <f t="shared" si="7"/>
        <v>188.8047715</v>
      </c>
      <c r="J11" s="114">
        <f t="shared" si="7"/>
        <v>224.019263</v>
      </c>
      <c r="K11" s="114">
        <f t="shared" si="7"/>
        <v>260.906795</v>
      </c>
      <c r="L11" s="114">
        <f t="shared" si="7"/>
        <v>295.2379867</v>
      </c>
      <c r="M11" s="114">
        <f t="shared" si="7"/>
        <v>330.1528086</v>
      </c>
      <c r="N11" s="114">
        <f t="shared" si="7"/>
        <v>365.6611824</v>
      </c>
      <c r="O11" s="115">
        <f t="shared" si="3"/>
        <v>2125.113744</v>
      </c>
      <c r="P11" s="114">
        <f t="shared" ref="P11:AA11" si="8">P27*P43/1000</f>
        <v>401.7731987</v>
      </c>
      <c r="Q11" s="114">
        <f t="shared" si="8"/>
        <v>438.4991192</v>
      </c>
      <c r="R11" s="114">
        <f t="shared" si="8"/>
        <v>475.8493803</v>
      </c>
      <c r="S11" s="114">
        <f t="shared" si="8"/>
        <v>513.8345959</v>
      </c>
      <c r="T11" s="114">
        <f t="shared" si="8"/>
        <v>552.4655602</v>
      </c>
      <c r="U11" s="114">
        <f t="shared" si="8"/>
        <v>591.7532508</v>
      </c>
      <c r="V11" s="114">
        <f t="shared" si="8"/>
        <v>632.9074996</v>
      </c>
      <c r="W11" s="114">
        <f t="shared" si="8"/>
        <v>676.0169868</v>
      </c>
      <c r="X11" s="114">
        <f t="shared" si="8"/>
        <v>721.1746058</v>
      </c>
      <c r="Y11" s="114">
        <f t="shared" si="8"/>
        <v>763.2027596</v>
      </c>
      <c r="Z11" s="114">
        <f t="shared" si="8"/>
        <v>805.945392</v>
      </c>
      <c r="AA11" s="114">
        <f t="shared" si="8"/>
        <v>849.4146492</v>
      </c>
      <c r="AB11" s="116">
        <f t="shared" si="5"/>
        <v>7422.836998</v>
      </c>
      <c r="AG11" s="27"/>
    </row>
    <row r="12" ht="19.5" customHeight="1" outlineLevel="1">
      <c r="B12" s="117" t="s">
        <v>28</v>
      </c>
      <c r="C12" s="113">
        <f t="shared" si="6"/>
        <v>0</v>
      </c>
      <c r="D12" s="114">
        <f t="shared" ref="D12:N12" si="9">D28*D44/1000</f>
        <v>21.25</v>
      </c>
      <c r="E12" s="114">
        <f t="shared" si="9"/>
        <v>42.86125</v>
      </c>
      <c r="F12" s="114">
        <f t="shared" si="9"/>
        <v>64.83989125</v>
      </c>
      <c r="G12" s="114">
        <f t="shared" si="9"/>
        <v>87.1921694</v>
      </c>
      <c r="H12" s="114">
        <f t="shared" si="9"/>
        <v>109.9244363</v>
      </c>
      <c r="I12" s="114">
        <f t="shared" si="9"/>
        <v>133.7367132</v>
      </c>
      <c r="J12" s="114">
        <f t="shared" si="9"/>
        <v>158.6803113</v>
      </c>
      <c r="K12" s="114">
        <f t="shared" si="9"/>
        <v>184.8089798</v>
      </c>
      <c r="L12" s="114">
        <f t="shared" si="9"/>
        <v>209.1269072</v>
      </c>
      <c r="M12" s="114">
        <f t="shared" si="9"/>
        <v>233.8582394</v>
      </c>
      <c r="N12" s="114">
        <f t="shared" si="9"/>
        <v>259.0100042</v>
      </c>
      <c r="O12" s="115">
        <f t="shared" si="3"/>
        <v>1505.288902</v>
      </c>
      <c r="P12" s="114">
        <f t="shared" ref="P12:AA12" si="10">P28*P44/1000</f>
        <v>284.5893491</v>
      </c>
      <c r="Q12" s="114">
        <f t="shared" si="10"/>
        <v>310.6035427</v>
      </c>
      <c r="R12" s="114">
        <f t="shared" si="10"/>
        <v>337.0599777</v>
      </c>
      <c r="S12" s="114">
        <f t="shared" si="10"/>
        <v>363.9661721</v>
      </c>
      <c r="T12" s="114">
        <f t="shared" si="10"/>
        <v>391.3297718</v>
      </c>
      <c r="U12" s="114">
        <f t="shared" si="10"/>
        <v>419.1585527</v>
      </c>
      <c r="V12" s="114">
        <f t="shared" si="10"/>
        <v>448.3094789</v>
      </c>
      <c r="W12" s="114">
        <f t="shared" si="10"/>
        <v>478.8453657</v>
      </c>
      <c r="X12" s="114">
        <f t="shared" si="10"/>
        <v>510.8320124</v>
      </c>
      <c r="Y12" s="114">
        <f t="shared" si="10"/>
        <v>540.6019547</v>
      </c>
      <c r="Z12" s="114">
        <f t="shared" si="10"/>
        <v>570.877986</v>
      </c>
      <c r="AA12" s="114">
        <f t="shared" si="10"/>
        <v>601.6687099</v>
      </c>
      <c r="AB12" s="116">
        <f t="shared" si="5"/>
        <v>5257.842874</v>
      </c>
      <c r="AG12" s="27"/>
    </row>
    <row r="13" ht="19.5" customHeight="1" outlineLevel="1">
      <c r="B13" s="117" t="s">
        <v>34</v>
      </c>
      <c r="C13" s="113">
        <f t="shared" si="6"/>
        <v>0</v>
      </c>
      <c r="D13" s="114">
        <f t="shared" ref="D13:N13" si="11">D29*D45/1000</f>
        <v>13.33333333</v>
      </c>
      <c r="E13" s="114">
        <f t="shared" si="11"/>
        <v>26.89333333</v>
      </c>
      <c r="F13" s="114">
        <f t="shared" si="11"/>
        <v>40.68385333</v>
      </c>
      <c r="G13" s="114">
        <f t="shared" si="11"/>
        <v>54.70881217</v>
      </c>
      <c r="H13" s="114">
        <f t="shared" si="11"/>
        <v>68.97219531</v>
      </c>
      <c r="I13" s="114">
        <f t="shared" si="11"/>
        <v>83.91323179</v>
      </c>
      <c r="J13" s="114">
        <f t="shared" si="11"/>
        <v>99.5641169</v>
      </c>
      <c r="K13" s="114">
        <f t="shared" si="11"/>
        <v>115.9585756</v>
      </c>
      <c r="L13" s="114">
        <f t="shared" si="11"/>
        <v>131.216883</v>
      </c>
      <c r="M13" s="114">
        <f t="shared" si="11"/>
        <v>146.7345816</v>
      </c>
      <c r="N13" s="114">
        <f t="shared" si="11"/>
        <v>162.5160811</v>
      </c>
      <c r="O13" s="115">
        <f t="shared" si="3"/>
        <v>944.4949974</v>
      </c>
      <c r="P13" s="114">
        <f t="shared" ref="P13:AA13" si="12">P29*P45/1000</f>
        <v>178.5658661</v>
      </c>
      <c r="Q13" s="114">
        <f t="shared" si="12"/>
        <v>194.8884974</v>
      </c>
      <c r="R13" s="114">
        <f t="shared" si="12"/>
        <v>211.4886135</v>
      </c>
      <c r="S13" s="114">
        <f t="shared" si="12"/>
        <v>228.3709315</v>
      </c>
      <c r="T13" s="114">
        <f t="shared" si="12"/>
        <v>245.540249</v>
      </c>
      <c r="U13" s="114">
        <f t="shared" si="12"/>
        <v>263.0014448</v>
      </c>
      <c r="V13" s="114">
        <f t="shared" si="12"/>
        <v>281.2922221</v>
      </c>
      <c r="W13" s="114">
        <f t="shared" si="12"/>
        <v>300.4519941</v>
      </c>
      <c r="X13" s="114">
        <f t="shared" si="12"/>
        <v>320.522047</v>
      </c>
      <c r="Y13" s="114">
        <f t="shared" si="12"/>
        <v>339.2012265</v>
      </c>
      <c r="Z13" s="114">
        <f t="shared" si="12"/>
        <v>358.197952</v>
      </c>
      <c r="AA13" s="114">
        <f t="shared" si="12"/>
        <v>377.5176219</v>
      </c>
      <c r="AB13" s="116">
        <f t="shared" si="5"/>
        <v>3299.038666</v>
      </c>
      <c r="AG13" s="27"/>
    </row>
    <row r="14" ht="19.5" customHeight="1" outlineLevel="1">
      <c r="B14" s="118" t="s">
        <v>38</v>
      </c>
      <c r="C14" s="113">
        <f t="shared" si="6"/>
        <v>0</v>
      </c>
      <c r="D14" s="114">
        <f t="shared" ref="D14:N14" si="13">D30*D46/1000</f>
        <v>3.75</v>
      </c>
      <c r="E14" s="114">
        <f t="shared" si="13"/>
        <v>7.56375</v>
      </c>
      <c r="F14" s="114">
        <f t="shared" si="13"/>
        <v>11.44233375</v>
      </c>
      <c r="G14" s="114">
        <f t="shared" si="13"/>
        <v>15.38685342</v>
      </c>
      <c r="H14" s="114">
        <f t="shared" si="13"/>
        <v>19.39842993</v>
      </c>
      <c r="I14" s="114">
        <f t="shared" si="13"/>
        <v>23.60059644</v>
      </c>
      <c r="J14" s="114">
        <f t="shared" si="13"/>
        <v>28.00240788</v>
      </c>
      <c r="K14" s="114">
        <f t="shared" si="13"/>
        <v>32.61334938</v>
      </c>
      <c r="L14" s="114">
        <f t="shared" si="13"/>
        <v>36.90474833</v>
      </c>
      <c r="M14" s="114">
        <f t="shared" si="13"/>
        <v>41.26910107</v>
      </c>
      <c r="N14" s="114">
        <f t="shared" si="13"/>
        <v>45.70764781</v>
      </c>
      <c r="O14" s="119">
        <f t="shared" si="3"/>
        <v>265.639218</v>
      </c>
      <c r="P14" s="114">
        <f t="shared" ref="P14:AA14" si="14">P30*P46/1000</f>
        <v>50.22164983</v>
      </c>
      <c r="Q14" s="114">
        <f t="shared" si="14"/>
        <v>54.8123899</v>
      </c>
      <c r="R14" s="114">
        <f t="shared" si="14"/>
        <v>59.48117254</v>
      </c>
      <c r="S14" s="114">
        <f t="shared" si="14"/>
        <v>64.22932449</v>
      </c>
      <c r="T14" s="114">
        <f t="shared" si="14"/>
        <v>69.05819502</v>
      </c>
      <c r="U14" s="114">
        <f t="shared" si="14"/>
        <v>73.96915635</v>
      </c>
      <c r="V14" s="114">
        <f t="shared" si="14"/>
        <v>79.11343746</v>
      </c>
      <c r="W14" s="114">
        <f t="shared" si="14"/>
        <v>84.50212335</v>
      </c>
      <c r="X14" s="114">
        <f t="shared" si="14"/>
        <v>90.14682572</v>
      </c>
      <c r="Y14" s="114">
        <f t="shared" si="14"/>
        <v>95.40034495</v>
      </c>
      <c r="Z14" s="114">
        <f t="shared" si="14"/>
        <v>100.743174</v>
      </c>
      <c r="AA14" s="114">
        <f t="shared" si="14"/>
        <v>106.1768312</v>
      </c>
      <c r="AB14" s="120">
        <f t="shared" si="5"/>
        <v>927.8546248</v>
      </c>
      <c r="AG14" s="27"/>
    </row>
    <row r="15" ht="19.5" customHeight="1">
      <c r="B15" s="75" t="s">
        <v>3</v>
      </c>
      <c r="C15" s="121">
        <f t="shared" ref="C15:N15" si="15">SUM(C16:C20)</f>
        <v>183.6666667</v>
      </c>
      <c r="D15" s="122">
        <f t="shared" si="15"/>
        <v>371.0066667</v>
      </c>
      <c r="E15" s="122">
        <f t="shared" si="15"/>
        <v>562.0934667</v>
      </c>
      <c r="F15" s="122">
        <f t="shared" si="15"/>
        <v>757.0020027</v>
      </c>
      <c r="G15" s="122">
        <f t="shared" si="15"/>
        <v>955.8087094</v>
      </c>
      <c r="H15" s="122">
        <f t="shared" si="15"/>
        <v>1164.555751</v>
      </c>
      <c r="I15" s="122">
        <f t="shared" si="15"/>
        <v>1383.740146</v>
      </c>
      <c r="J15" s="122">
        <f t="shared" si="15"/>
        <v>1613.883759</v>
      </c>
      <c r="K15" s="122">
        <f t="shared" si="15"/>
        <v>1829.078532</v>
      </c>
      <c r="L15" s="122">
        <f t="shared" si="15"/>
        <v>2048.577201</v>
      </c>
      <c r="M15" s="122">
        <f t="shared" si="15"/>
        <v>2272.465843</v>
      </c>
      <c r="N15" s="122">
        <f t="shared" si="15"/>
        <v>2500.832257</v>
      </c>
      <c r="O15" s="123">
        <f t="shared" si="3"/>
        <v>15642.711</v>
      </c>
      <c r="P15" s="122">
        <f t="shared" ref="P15:AA15" si="16">SUM(P16:P20)</f>
        <v>2550.099334</v>
      </c>
      <c r="Q15" s="122">
        <f t="shared" si="16"/>
        <v>2600.351751</v>
      </c>
      <c r="R15" s="122">
        <f t="shared" si="16"/>
        <v>2651.609218</v>
      </c>
      <c r="S15" s="122">
        <f t="shared" si="16"/>
        <v>2703.891833</v>
      </c>
      <c r="T15" s="122">
        <f t="shared" si="16"/>
        <v>2757.220101</v>
      </c>
      <c r="U15" s="122">
        <f t="shared" si="16"/>
        <v>2813.214782</v>
      </c>
      <c r="V15" s="122">
        <f t="shared" si="16"/>
        <v>2872.009197</v>
      </c>
      <c r="W15" s="122">
        <f t="shared" si="16"/>
        <v>2933.743333</v>
      </c>
      <c r="X15" s="122">
        <f t="shared" si="16"/>
        <v>2991.467565</v>
      </c>
      <c r="Y15" s="122">
        <f t="shared" si="16"/>
        <v>3050.346282</v>
      </c>
      <c r="Z15" s="122">
        <f t="shared" si="16"/>
        <v>3110.402573</v>
      </c>
      <c r="AA15" s="122">
        <f t="shared" si="16"/>
        <v>3171.65999</v>
      </c>
      <c r="AB15" s="124">
        <f t="shared" si="5"/>
        <v>34206.01596</v>
      </c>
      <c r="AG15" s="27"/>
    </row>
    <row r="16" ht="19.5" customHeight="1" outlineLevel="1">
      <c r="B16" s="48" t="s">
        <v>95</v>
      </c>
      <c r="C16" s="125">
        <f t="shared" ref="C16:C20" si="18">C32*C48/1000</f>
        <v>0</v>
      </c>
      <c r="D16" s="126">
        <v>0.0</v>
      </c>
      <c r="E16" s="126">
        <v>0.0</v>
      </c>
      <c r="F16" s="126">
        <v>0.0</v>
      </c>
      <c r="G16" s="126">
        <v>0.0</v>
      </c>
      <c r="H16" s="126">
        <v>0.0</v>
      </c>
      <c r="I16" s="126">
        <v>0.0</v>
      </c>
      <c r="J16" s="126">
        <v>0.0</v>
      </c>
      <c r="K16" s="126">
        <v>0.0</v>
      </c>
      <c r="L16" s="126">
        <v>0.0</v>
      </c>
      <c r="M16" s="126">
        <v>0.0</v>
      </c>
      <c r="N16" s="126">
        <v>0.0</v>
      </c>
      <c r="O16" s="127">
        <f t="shared" si="3"/>
        <v>0</v>
      </c>
      <c r="P16" s="126">
        <f t="shared" ref="P16:AA16" si="17">P32*P48/1000</f>
        <v>0</v>
      </c>
      <c r="Q16" s="126">
        <f t="shared" si="17"/>
        <v>0</v>
      </c>
      <c r="R16" s="126">
        <f t="shared" si="17"/>
        <v>0</v>
      </c>
      <c r="S16" s="126">
        <f t="shared" si="17"/>
        <v>0</v>
      </c>
      <c r="T16" s="126">
        <f t="shared" si="17"/>
        <v>0</v>
      </c>
      <c r="U16" s="126">
        <f t="shared" si="17"/>
        <v>0</v>
      </c>
      <c r="V16" s="126">
        <f t="shared" si="17"/>
        <v>0</v>
      </c>
      <c r="W16" s="126">
        <f t="shared" si="17"/>
        <v>0</v>
      </c>
      <c r="X16" s="126">
        <f t="shared" si="17"/>
        <v>0</v>
      </c>
      <c r="Y16" s="126">
        <f t="shared" si="17"/>
        <v>0</v>
      </c>
      <c r="Z16" s="126">
        <f t="shared" si="17"/>
        <v>0</v>
      </c>
      <c r="AA16" s="126">
        <f t="shared" si="17"/>
        <v>0</v>
      </c>
      <c r="AB16" s="128">
        <f t="shared" si="5"/>
        <v>0</v>
      </c>
      <c r="AG16" s="27"/>
    </row>
    <row r="17" ht="19.5" customHeight="1" outlineLevel="1">
      <c r="B17" s="54" t="s">
        <v>48</v>
      </c>
      <c r="C17" s="113">
        <f t="shared" si="18"/>
        <v>10</v>
      </c>
      <c r="D17" s="114">
        <f t="shared" ref="D17:N17" si="19">D33*D49/1000</f>
        <v>20.2</v>
      </c>
      <c r="E17" s="114">
        <f t="shared" si="19"/>
        <v>30.604</v>
      </c>
      <c r="F17" s="114">
        <f t="shared" si="19"/>
        <v>41.21608</v>
      </c>
      <c r="G17" s="114">
        <f t="shared" si="19"/>
        <v>52.0404016</v>
      </c>
      <c r="H17" s="114">
        <f t="shared" si="19"/>
        <v>63.40593928</v>
      </c>
      <c r="I17" s="114">
        <f t="shared" si="19"/>
        <v>75.33975384</v>
      </c>
      <c r="J17" s="114">
        <f t="shared" si="19"/>
        <v>87.87025914</v>
      </c>
      <c r="K17" s="114">
        <f t="shared" si="19"/>
        <v>99.58685295</v>
      </c>
      <c r="L17" s="114">
        <f t="shared" si="19"/>
        <v>111.5377786</v>
      </c>
      <c r="M17" s="114">
        <f t="shared" si="19"/>
        <v>123.7277228</v>
      </c>
      <c r="N17" s="114">
        <f t="shared" si="19"/>
        <v>136.1614659</v>
      </c>
      <c r="O17" s="115">
        <f t="shared" si="3"/>
        <v>851.6902542</v>
      </c>
      <c r="P17" s="126">
        <f t="shared" ref="P17:AA17" si="20">P33*P49/1000</f>
        <v>138.8438839</v>
      </c>
      <c r="Q17" s="126">
        <f t="shared" si="20"/>
        <v>141.5799502</v>
      </c>
      <c r="R17" s="126">
        <f t="shared" si="20"/>
        <v>144.3707378</v>
      </c>
      <c r="S17" s="126">
        <f t="shared" si="20"/>
        <v>147.2173412</v>
      </c>
      <c r="T17" s="126">
        <f t="shared" si="20"/>
        <v>150.1208766</v>
      </c>
      <c r="U17" s="126">
        <f t="shared" si="20"/>
        <v>153.1695889</v>
      </c>
      <c r="V17" s="126">
        <f t="shared" si="20"/>
        <v>156.3707367</v>
      </c>
      <c r="W17" s="126">
        <f t="shared" si="20"/>
        <v>159.7319419</v>
      </c>
      <c r="X17" s="126">
        <f t="shared" si="20"/>
        <v>162.8748221</v>
      </c>
      <c r="Y17" s="126">
        <f t="shared" si="20"/>
        <v>166.0805598</v>
      </c>
      <c r="Z17" s="126">
        <f t="shared" si="20"/>
        <v>169.3504123</v>
      </c>
      <c r="AA17" s="126">
        <f t="shared" si="20"/>
        <v>172.6856619</v>
      </c>
      <c r="AB17" s="116">
        <f t="shared" si="5"/>
        <v>1862.396513</v>
      </c>
      <c r="AG17" s="27"/>
    </row>
    <row r="18" ht="19.5" customHeight="1" outlineLevel="1">
      <c r="B18" s="54" t="s">
        <v>29</v>
      </c>
      <c r="C18" s="113">
        <f t="shared" si="18"/>
        <v>36.66666667</v>
      </c>
      <c r="D18" s="114">
        <f t="shared" ref="D18:N18" si="21">D34*D50/1000</f>
        <v>74.06666667</v>
      </c>
      <c r="E18" s="114">
        <f t="shared" si="21"/>
        <v>112.2146667</v>
      </c>
      <c r="F18" s="114">
        <f t="shared" si="21"/>
        <v>151.1256267</v>
      </c>
      <c r="G18" s="114">
        <f t="shared" si="21"/>
        <v>190.8148059</v>
      </c>
      <c r="H18" s="114">
        <f t="shared" si="21"/>
        <v>232.488444</v>
      </c>
      <c r="I18" s="114">
        <f t="shared" si="21"/>
        <v>276.2457641</v>
      </c>
      <c r="J18" s="114">
        <f t="shared" si="21"/>
        <v>322.1909502</v>
      </c>
      <c r="K18" s="114">
        <f t="shared" si="21"/>
        <v>365.1517941</v>
      </c>
      <c r="L18" s="114">
        <f t="shared" si="21"/>
        <v>408.971855</v>
      </c>
      <c r="M18" s="114">
        <f t="shared" si="21"/>
        <v>453.6683171</v>
      </c>
      <c r="N18" s="114">
        <f t="shared" si="21"/>
        <v>499.2587084</v>
      </c>
      <c r="O18" s="115">
        <f t="shared" si="3"/>
        <v>3122.864265</v>
      </c>
      <c r="P18" s="126">
        <f t="shared" ref="P18:AA18" si="22">P34*P50/1000</f>
        <v>509.0942408</v>
      </c>
      <c r="Q18" s="126">
        <f t="shared" si="22"/>
        <v>519.1264839</v>
      </c>
      <c r="R18" s="126">
        <f t="shared" si="22"/>
        <v>529.3593719</v>
      </c>
      <c r="S18" s="126">
        <f t="shared" si="22"/>
        <v>539.7969177</v>
      </c>
      <c r="T18" s="126">
        <f t="shared" si="22"/>
        <v>550.4432143</v>
      </c>
      <c r="U18" s="126">
        <f t="shared" si="22"/>
        <v>561.6218258</v>
      </c>
      <c r="V18" s="126">
        <f t="shared" si="22"/>
        <v>573.3593679</v>
      </c>
      <c r="W18" s="126">
        <f t="shared" si="22"/>
        <v>585.683787</v>
      </c>
      <c r="X18" s="126">
        <f t="shared" si="22"/>
        <v>597.2076809</v>
      </c>
      <c r="Y18" s="126">
        <f t="shared" si="22"/>
        <v>608.9620527</v>
      </c>
      <c r="Z18" s="126">
        <f t="shared" si="22"/>
        <v>620.9515119</v>
      </c>
      <c r="AA18" s="126">
        <f t="shared" si="22"/>
        <v>633.1807602</v>
      </c>
      <c r="AB18" s="116">
        <f t="shared" si="5"/>
        <v>6828.787215</v>
      </c>
      <c r="AG18" s="27"/>
    </row>
    <row r="19" ht="19.5" customHeight="1" outlineLevel="1">
      <c r="B19" s="54" t="s">
        <v>35</v>
      </c>
      <c r="C19" s="113">
        <f t="shared" si="18"/>
        <v>57</v>
      </c>
      <c r="D19" s="114">
        <f t="shared" ref="D19:N19" si="23">D35*D51/1000</f>
        <v>115.14</v>
      </c>
      <c r="E19" s="114">
        <f t="shared" si="23"/>
        <v>174.4428</v>
      </c>
      <c r="F19" s="114">
        <f t="shared" si="23"/>
        <v>234.931656</v>
      </c>
      <c r="G19" s="114">
        <f t="shared" si="23"/>
        <v>296.6302891</v>
      </c>
      <c r="H19" s="114">
        <f t="shared" si="23"/>
        <v>361.4138539</v>
      </c>
      <c r="I19" s="114">
        <f t="shared" si="23"/>
        <v>429.4365969</v>
      </c>
      <c r="J19" s="114">
        <f t="shared" si="23"/>
        <v>500.8604771</v>
      </c>
      <c r="K19" s="114">
        <f t="shared" si="23"/>
        <v>567.6450618</v>
      </c>
      <c r="L19" s="114">
        <f t="shared" si="23"/>
        <v>635.7653382</v>
      </c>
      <c r="M19" s="114">
        <f t="shared" si="23"/>
        <v>705.2480201</v>
      </c>
      <c r="N19" s="114">
        <f t="shared" si="23"/>
        <v>776.1203557</v>
      </c>
      <c r="O19" s="115">
        <f t="shared" si="3"/>
        <v>4854.634449</v>
      </c>
      <c r="P19" s="126">
        <f t="shared" ref="P19:AA19" si="24">P35*P51/1000</f>
        <v>791.410138</v>
      </c>
      <c r="Q19" s="126">
        <f t="shared" si="24"/>
        <v>807.0057159</v>
      </c>
      <c r="R19" s="126">
        <f t="shared" si="24"/>
        <v>822.9132054</v>
      </c>
      <c r="S19" s="126">
        <f t="shared" si="24"/>
        <v>839.1388447</v>
      </c>
      <c r="T19" s="126">
        <f t="shared" si="24"/>
        <v>855.6889968</v>
      </c>
      <c r="U19" s="126">
        <f t="shared" si="24"/>
        <v>873.0666565</v>
      </c>
      <c r="V19" s="126">
        <f t="shared" si="24"/>
        <v>891.3131991</v>
      </c>
      <c r="W19" s="126">
        <f t="shared" si="24"/>
        <v>910.4720689</v>
      </c>
      <c r="X19" s="126">
        <f t="shared" si="24"/>
        <v>928.3864858</v>
      </c>
      <c r="Y19" s="126">
        <f t="shared" si="24"/>
        <v>946.659191</v>
      </c>
      <c r="Z19" s="126">
        <f t="shared" si="24"/>
        <v>965.2973503</v>
      </c>
      <c r="AA19" s="126">
        <f t="shared" si="24"/>
        <v>984.3082727</v>
      </c>
      <c r="AB19" s="116">
        <f t="shared" si="5"/>
        <v>10615.66013</v>
      </c>
      <c r="AG19" s="27"/>
    </row>
    <row r="20" ht="19.5" customHeight="1" outlineLevel="1">
      <c r="B20" s="61" t="s">
        <v>39</v>
      </c>
      <c r="C20" s="129">
        <f t="shared" si="18"/>
        <v>80</v>
      </c>
      <c r="D20" s="130">
        <f t="shared" ref="D20:N20" si="25">D36*D52/1000</f>
        <v>161.6</v>
      </c>
      <c r="E20" s="130">
        <f t="shared" si="25"/>
        <v>244.832</v>
      </c>
      <c r="F20" s="130">
        <f t="shared" si="25"/>
        <v>329.72864</v>
      </c>
      <c r="G20" s="130">
        <f t="shared" si="25"/>
        <v>416.3232128</v>
      </c>
      <c r="H20" s="130">
        <f t="shared" si="25"/>
        <v>507.2475142</v>
      </c>
      <c r="I20" s="130">
        <f t="shared" si="25"/>
        <v>602.7180308</v>
      </c>
      <c r="J20" s="130">
        <f t="shared" si="25"/>
        <v>702.9620731</v>
      </c>
      <c r="K20" s="130">
        <f t="shared" si="25"/>
        <v>796.6948236</v>
      </c>
      <c r="L20" s="130">
        <f t="shared" si="25"/>
        <v>892.3022291</v>
      </c>
      <c r="M20" s="130">
        <f t="shared" si="25"/>
        <v>989.8217827</v>
      </c>
      <c r="N20" s="130">
        <f t="shared" si="25"/>
        <v>1089.291727</v>
      </c>
      <c r="O20" s="131">
        <f t="shared" si="3"/>
        <v>6813.522034</v>
      </c>
      <c r="P20" s="130">
        <f t="shared" ref="P20:AA20" si="26">P36*P52/1000</f>
        <v>1110.751071</v>
      </c>
      <c r="Q20" s="130">
        <f t="shared" si="26"/>
        <v>1132.639601</v>
      </c>
      <c r="R20" s="130">
        <f t="shared" si="26"/>
        <v>1154.965902</v>
      </c>
      <c r="S20" s="130">
        <f t="shared" si="26"/>
        <v>1177.738729</v>
      </c>
      <c r="T20" s="130">
        <f t="shared" si="26"/>
        <v>1200.967013</v>
      </c>
      <c r="U20" s="130">
        <f t="shared" si="26"/>
        <v>1225.356711</v>
      </c>
      <c r="V20" s="130">
        <f t="shared" si="26"/>
        <v>1250.965894</v>
      </c>
      <c r="W20" s="130">
        <f t="shared" si="26"/>
        <v>1277.855535</v>
      </c>
      <c r="X20" s="130">
        <f t="shared" si="26"/>
        <v>1302.998577</v>
      </c>
      <c r="Y20" s="130">
        <f t="shared" si="26"/>
        <v>1328.644479</v>
      </c>
      <c r="Z20" s="130">
        <f t="shared" si="26"/>
        <v>1354.803299</v>
      </c>
      <c r="AA20" s="130">
        <f t="shared" si="26"/>
        <v>1381.485295</v>
      </c>
      <c r="AB20" s="132">
        <f t="shared" si="5"/>
        <v>14899.17211</v>
      </c>
      <c r="AG20" s="27"/>
    </row>
    <row r="21" ht="19.5" customHeight="1">
      <c r="C21" s="133"/>
      <c r="AG21" s="27"/>
    </row>
    <row r="22" ht="19.5" customHeight="1">
      <c r="B22" s="134" t="s">
        <v>96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8"/>
      <c r="AC22" s="139"/>
      <c r="AD22" s="140" t="s">
        <v>97</v>
      </c>
      <c r="AF22" s="26" t="s">
        <v>9</v>
      </c>
      <c r="AG22" s="27" t="str">
        <f>IF(AF22="Нет", " ", "Начните с заполнения информации о количестве новых пользователей в первый месяц - новые пользователи начнут с бесплатных версий продуктов: первого месяца подписки на комьюнити и фритрека в обучении")</f>
        <v> </v>
      </c>
    </row>
    <row r="23" ht="19.5" customHeight="1">
      <c r="B23" s="96"/>
      <c r="C23" s="97" t="s">
        <v>72</v>
      </c>
      <c r="D23" s="97" t="s">
        <v>73</v>
      </c>
      <c r="E23" s="97" t="s">
        <v>74</v>
      </c>
      <c r="F23" s="97" t="s">
        <v>75</v>
      </c>
      <c r="G23" s="98">
        <v>46143.0</v>
      </c>
      <c r="H23" s="97" t="s">
        <v>76</v>
      </c>
      <c r="I23" s="97" t="s">
        <v>77</v>
      </c>
      <c r="J23" s="97" t="s">
        <v>78</v>
      </c>
      <c r="K23" s="97" t="s">
        <v>79</v>
      </c>
      <c r="L23" s="97" t="s">
        <v>80</v>
      </c>
      <c r="M23" s="97" t="s">
        <v>81</v>
      </c>
      <c r="N23" s="97" t="s">
        <v>82</v>
      </c>
      <c r="O23" s="99">
        <v>2026.0</v>
      </c>
      <c r="P23" s="97" t="s">
        <v>83</v>
      </c>
      <c r="Q23" s="97" t="s">
        <v>84</v>
      </c>
      <c r="R23" s="97" t="s">
        <v>85</v>
      </c>
      <c r="S23" s="97" t="s">
        <v>86</v>
      </c>
      <c r="T23" s="98">
        <v>46508.0</v>
      </c>
      <c r="U23" s="97" t="s">
        <v>87</v>
      </c>
      <c r="V23" s="97" t="s">
        <v>88</v>
      </c>
      <c r="W23" s="97" t="s">
        <v>89</v>
      </c>
      <c r="X23" s="97" t="s">
        <v>90</v>
      </c>
      <c r="Y23" s="97" t="s">
        <v>91</v>
      </c>
      <c r="Z23" s="97" t="s">
        <v>92</v>
      </c>
      <c r="AA23" s="97" t="s">
        <v>93</v>
      </c>
      <c r="AB23" s="100">
        <v>2027.0</v>
      </c>
      <c r="AF23" s="26" t="s">
        <v>9</v>
      </c>
      <c r="AG23" s="27" t="str">
        <f>IF(AF23="Нет", " ", "Посчитайте прогнозное количество пользователей по бесплатным продуктам с учётом коэффициента ежемесячного прироста и сезонного прироста в летние месяцы")</f>
        <v> </v>
      </c>
    </row>
    <row r="24" ht="9.75" customHeight="1">
      <c r="B24" s="106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6"/>
      <c r="AF24" s="26"/>
      <c r="AG24" s="27"/>
    </row>
    <row r="25" ht="19.5" customHeight="1">
      <c r="B25" s="75" t="s">
        <v>2</v>
      </c>
      <c r="C25" s="108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10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11"/>
      <c r="AF25" s="26" t="s">
        <v>9</v>
      </c>
      <c r="AG25" s="27" t="str">
        <f>IF(AF25="Нет", " ", "Посчитайте прогнозное количество пользователей по платным продуктам с учётом уровня проникновения продаж")</f>
        <v> </v>
      </c>
    </row>
    <row r="26" ht="19.5" customHeight="1" outlineLevel="1">
      <c r="B26" s="112" t="s">
        <v>20</v>
      </c>
      <c r="C26" s="113">
        <v>500.0</v>
      </c>
      <c r="D26" s="114">
        <f>C26*(1+'Аналитика'!$H$5)</f>
        <v>508.5</v>
      </c>
      <c r="E26" s="114">
        <f>D26*(1+'Аналитика'!$H$5)</f>
        <v>517.1445</v>
      </c>
      <c r="F26" s="114">
        <f>E26*(1+'Аналитика'!$H$5)</f>
        <v>525.9359565</v>
      </c>
      <c r="G26" s="114">
        <f>F26*(1+'Аналитика'!$H$5)</f>
        <v>534.8768678</v>
      </c>
      <c r="H26" s="114">
        <f>G26*(1+'Аналитика'!$H$5)*(1+'Аналитика'!$H$7)</f>
        <v>560.2888677</v>
      </c>
      <c r="I26" s="114">
        <f>H26*(1+'Аналитика'!$H$5)*(1+'Аналитика'!$H$7)</f>
        <v>586.9081919</v>
      </c>
      <c r="J26" s="114">
        <f>I26*(1+'Аналитика'!$H$5)*(1+'Аналитика'!$H$7)</f>
        <v>614.7922</v>
      </c>
      <c r="K26" s="114">
        <f>G26*(1+'Аналитика'!$H$5)^4</f>
        <v>572.1865273</v>
      </c>
      <c r="L26" s="114">
        <f>K26*(1+'Аналитика'!$H$5)</f>
        <v>581.9136983</v>
      </c>
      <c r="M26" s="114">
        <f>L26*(1+'Аналитика'!$H$5)</f>
        <v>591.8062312</v>
      </c>
      <c r="N26" s="114">
        <f>M26*(1+'Аналитика'!$H$5)</f>
        <v>601.8669371</v>
      </c>
      <c r="O26" s="115">
        <f t="shared" ref="O26:O30" si="27">N26</f>
        <v>601.8669371</v>
      </c>
      <c r="P26" s="114">
        <f>N26*(1+'Аналитика'!H5)</f>
        <v>612.098675</v>
      </c>
      <c r="Q26" s="114">
        <f>P26*(1+'Аналитика'!$H$5)</f>
        <v>622.5043525</v>
      </c>
      <c r="R26" s="114">
        <f>Q26*(1+'Аналитика'!$H$5)</f>
        <v>633.0869265</v>
      </c>
      <c r="S26" s="114">
        <f>R26*(1+'Аналитика'!$H$5)</f>
        <v>643.8494042</v>
      </c>
      <c r="T26" s="114">
        <f>S26*(1+'Аналитика'!$H$5)</f>
        <v>654.7948441</v>
      </c>
      <c r="U26" s="114">
        <f>T26*(1+'Аналитика'!$H$5)*(1+'Аналитика'!$H$7)</f>
        <v>685.9041472</v>
      </c>
      <c r="V26" s="114">
        <f>U26*(1+'Аналитика'!$H$5)*(1+'Аналитика'!$H$7)</f>
        <v>718.4914532</v>
      </c>
      <c r="W26" s="114">
        <f>V26*(1+'Аналитика'!$H$5)*(1+'Аналитика'!$H$7)</f>
        <v>752.6269821</v>
      </c>
      <c r="X26" s="114">
        <f>T26*(1+'Аналитика'!$H$5)^4</f>
        <v>700.4692305</v>
      </c>
      <c r="Y26" s="114">
        <f>X26*(1+'Аналитика'!$H$5)</f>
        <v>712.3772074</v>
      </c>
      <c r="Z26" s="114">
        <f>Y26*(1+'Аналитика'!$H$5)</f>
        <v>724.4876199</v>
      </c>
      <c r="AA26" s="114">
        <f>Z26*(1+'Аналитика'!$H$5)</f>
        <v>736.8039095</v>
      </c>
      <c r="AB26" s="116">
        <f t="shared" ref="AB26:AB30" si="28">AA26</f>
        <v>736.8039095</v>
      </c>
      <c r="AF26" s="26" t="s">
        <v>9</v>
      </c>
      <c r="AG26" s="27" t="str">
        <f>IF(AF26="Нет", " ", "Уровень проникновения продаж необходимо применять к количеству пользователей на бесплатных продуктах")</f>
        <v> </v>
      </c>
    </row>
    <row r="27" ht="19.5" customHeight="1" outlineLevel="1">
      <c r="B27" s="117" t="s">
        <v>24</v>
      </c>
      <c r="C27" s="113">
        <v>0.0</v>
      </c>
      <c r="D27" s="114">
        <f>C26*'Аналитика'!$H$11</f>
        <v>100</v>
      </c>
      <c r="E27" s="114">
        <f>D26*'Аналитика'!$H$11+D27</f>
        <v>201.7</v>
      </c>
      <c r="F27" s="114">
        <f>E26*'Аналитика'!$H$11+E27</f>
        <v>305.1289</v>
      </c>
      <c r="G27" s="114">
        <f>F26*'Аналитика'!$H$11+F27</f>
        <v>410.3160913</v>
      </c>
      <c r="H27" s="114">
        <f>G26*'Аналитика'!$H$11+G27</f>
        <v>517.2914649</v>
      </c>
      <c r="I27" s="114">
        <f>H26*'Аналитика'!$H$11+H27</f>
        <v>629.3492384</v>
      </c>
      <c r="J27" s="114">
        <f>I26*'Аналитика'!$H$11+I27</f>
        <v>746.7308768</v>
      </c>
      <c r="K27" s="114">
        <f>J26*'Аналитика'!$H$11+J27</f>
        <v>869.6893168</v>
      </c>
      <c r="L27" s="114">
        <f>K26*'Аналитика'!$H$11+K27</f>
        <v>984.1266222</v>
      </c>
      <c r="M27" s="114">
        <f>L26*'Аналитика'!$H$11+L27</f>
        <v>1100.509362</v>
      </c>
      <c r="N27" s="114">
        <f>M26*'Аналитика'!$H$11+M27</f>
        <v>1218.870608</v>
      </c>
      <c r="O27" s="141">
        <f t="shared" si="27"/>
        <v>1218.870608</v>
      </c>
      <c r="P27" s="114">
        <f>N26*'Аналитика'!$H$11+'Расчёты'!N27</f>
        <v>1339.243996</v>
      </c>
      <c r="Q27" s="114">
        <f>P26*'Аналитика'!$H$11+'Расчёты'!P27</f>
        <v>1461.663731</v>
      </c>
      <c r="R27" s="114">
        <f>Q26*'Аналитика'!$H$11+'Расчёты'!Q27</f>
        <v>1586.164601</v>
      </c>
      <c r="S27" s="114">
        <f>R26*'Аналитика'!$H$11+'Расчёты'!R27</f>
        <v>1712.781986</v>
      </c>
      <c r="T27" s="114">
        <f>S26*'Аналитика'!$H$11+'Расчёты'!S27</f>
        <v>1841.551867</v>
      </c>
      <c r="U27" s="114">
        <f>T26*'Аналитика'!$H$11+'Расчёты'!T27</f>
        <v>1972.510836</v>
      </c>
      <c r="V27" s="114">
        <f>U26*'Аналитика'!$H$11+'Расчёты'!U27</f>
        <v>2109.691665</v>
      </c>
      <c r="W27" s="114">
        <f>V26*'Аналитика'!$H$11+'Расчёты'!V27</f>
        <v>2253.389956</v>
      </c>
      <c r="X27" s="114">
        <f>W26*'Аналитика'!$H$11+'Расчёты'!W27</f>
        <v>2403.915353</v>
      </c>
      <c r="Y27" s="114">
        <f>X26*'Аналитика'!$H$11+'Расчёты'!X27</f>
        <v>2544.009199</v>
      </c>
      <c r="Z27" s="114">
        <f>Y26*'Аналитика'!$H$11+'Расчёты'!Y27</f>
        <v>2686.48464</v>
      </c>
      <c r="AA27" s="114">
        <f>Z26*'Аналитика'!$H$11+'Расчёты'!Z27</f>
        <v>2831.382164</v>
      </c>
      <c r="AB27" s="116">
        <f t="shared" si="28"/>
        <v>2831.382164</v>
      </c>
      <c r="AF27" s="26" t="s">
        <v>9</v>
      </c>
      <c r="AG27" s="27" t="str">
        <f>IF(AF27="Нет", " ", "При расчёте участников сообщества учтите лаг в 1 месяц бесплатного пользования (пример: пользователи в феврале=пользоватали на пакете первого месяца в январе * уровень проникновения продаж)")</f>
        <v> </v>
      </c>
    </row>
    <row r="28" ht="19.5" customHeight="1" outlineLevel="1">
      <c r="B28" s="117" t="s">
        <v>28</v>
      </c>
      <c r="C28" s="113">
        <v>0.0</v>
      </c>
      <c r="D28" s="114">
        <f>C26*'Аналитика'!$H$12</f>
        <v>75</v>
      </c>
      <c r="E28" s="114">
        <f>D26*'Аналитика'!$H$12+'Расчёты'!D28</f>
        <v>151.275</v>
      </c>
      <c r="F28" s="114">
        <f>E26*'Аналитика'!$H$12+'Расчёты'!E28</f>
        <v>228.846675</v>
      </c>
      <c r="G28" s="114">
        <f>F26*'Аналитика'!$H$12+'Расчёты'!F28</f>
        <v>307.7370685</v>
      </c>
      <c r="H28" s="114">
        <f>G26*'Аналитика'!$H$12+'Расчёты'!G28</f>
        <v>387.9685986</v>
      </c>
      <c r="I28" s="114">
        <f>H26*'Аналитика'!$H$12+'Расчёты'!H28</f>
        <v>472.0119288</v>
      </c>
      <c r="J28" s="114">
        <f>I26*'Аналитика'!$H$12+'Расчёты'!I28</f>
        <v>560.0481576</v>
      </c>
      <c r="K28" s="114">
        <f>J26*'Аналитика'!$H$12+'Расчёты'!J28</f>
        <v>652.2669876</v>
      </c>
      <c r="L28" s="114">
        <f>K26*'Аналитика'!$H$12+'Расчёты'!K28</f>
        <v>738.0949667</v>
      </c>
      <c r="M28" s="114">
        <f>L26*'Аналитика'!$H$12+'Расчёты'!L28</f>
        <v>825.3820214</v>
      </c>
      <c r="N28" s="114">
        <f>M26*'Аналитика'!$H$12+'Расчёты'!M28</f>
        <v>914.1529561</v>
      </c>
      <c r="O28" s="115">
        <f t="shared" si="27"/>
        <v>914.1529561</v>
      </c>
      <c r="P28" s="114">
        <f>N26*'Аналитика'!$H$12+'Расчёты'!N28</f>
        <v>1004.432997</v>
      </c>
      <c r="Q28" s="114">
        <f>P26*'Аналитика'!$H$12+'Расчёты'!P28</f>
        <v>1096.247798</v>
      </c>
      <c r="R28" s="114">
        <f>Q26*'Аналитика'!$H$12+'Расчёты'!Q28</f>
        <v>1189.623451</v>
      </c>
      <c r="S28" s="114">
        <f>R26*'Аналитика'!$H$12+'Расчёты'!R28</f>
        <v>1284.58649</v>
      </c>
      <c r="T28" s="114">
        <f>S26*'Аналитика'!$H$12+'Расчёты'!S28</f>
        <v>1381.1639</v>
      </c>
      <c r="U28" s="114">
        <f>T26*'Аналитика'!$H$12+'Расчёты'!T28</f>
        <v>1479.383127</v>
      </c>
      <c r="V28" s="114">
        <f>U26*'Аналитика'!$H$12+'Расчёты'!U28</f>
        <v>1582.268749</v>
      </c>
      <c r="W28" s="114">
        <f>V26*'Аналитика'!$H$12+'Расчёты'!V28</f>
        <v>1690.042467</v>
      </c>
      <c r="X28" s="114">
        <f>W26*'Аналитика'!$H$12+'Расчёты'!W28</f>
        <v>1802.936514</v>
      </c>
      <c r="Y28" s="114">
        <f>X26*'Аналитика'!$H$12+'Расчёты'!X28</f>
        <v>1908.006899</v>
      </c>
      <c r="Z28" s="114">
        <f>Y26*'Аналитика'!$H$12+'Расчёты'!Y28</f>
        <v>2014.86348</v>
      </c>
      <c r="AA28" s="114">
        <f>Z26*'Аналитика'!$H$12+'Расчёты'!Z28</f>
        <v>2123.536623</v>
      </c>
      <c r="AB28" s="116">
        <f t="shared" si="28"/>
        <v>2123.536623</v>
      </c>
      <c r="AF28" s="26" t="s">
        <v>9</v>
      </c>
      <c r="AG28" s="27" t="str">
        <f>IF(AF28="Нет", " ", "Поскольку мы сделали допущение, что клиенты лояльны 100% - к клиентам текущего месяца необходимо прибавлять клиентов предыдущего месяца")</f>
        <v> </v>
      </c>
    </row>
    <row r="29" ht="19.5" customHeight="1" outlineLevel="1">
      <c r="B29" s="117" t="s">
        <v>34</v>
      </c>
      <c r="C29" s="113">
        <v>0.0</v>
      </c>
      <c r="D29" s="114">
        <f>C26*'Аналитика'!H13</f>
        <v>50</v>
      </c>
      <c r="E29" s="114">
        <f>D26*'Аналитика'!$H$13+'Расчёты'!D29</f>
        <v>100.85</v>
      </c>
      <c r="F29" s="114">
        <f>E26*'Аналитика'!$H$13+'Расчёты'!E29</f>
        <v>152.56445</v>
      </c>
      <c r="G29" s="114">
        <f>F26*'Аналитика'!$H$13+'Расчёты'!F29</f>
        <v>205.1580457</v>
      </c>
      <c r="H29" s="114">
        <f>G26*'Аналитика'!$H$13+'Расчёты'!G29</f>
        <v>258.6457324</v>
      </c>
      <c r="I29" s="114">
        <f>H26*'Аналитика'!$H$13+'Расчёты'!H29</f>
        <v>314.6746192</v>
      </c>
      <c r="J29" s="114">
        <f>I26*'Аналитика'!$H$13+'Расчёты'!I29</f>
        <v>373.3654384</v>
      </c>
      <c r="K29" s="114">
        <f>J26*'Аналитика'!$H$13+'Расчёты'!J29</f>
        <v>434.8446584</v>
      </c>
      <c r="L29" s="114">
        <f>K26*'Аналитика'!$H$13+'Расчёты'!K29</f>
        <v>492.0633111</v>
      </c>
      <c r="M29" s="114">
        <f>L26*'Аналитика'!$H$13+'Расчёты'!L29</f>
        <v>550.254681</v>
      </c>
      <c r="N29" s="114">
        <f>M26*'Аналитика'!$H$13+'Расчёты'!M29</f>
        <v>609.4353041</v>
      </c>
      <c r="O29" s="115">
        <f t="shared" si="27"/>
        <v>609.4353041</v>
      </c>
      <c r="P29" s="114">
        <f>N26*'Аналитика'!$H$13+'Расчёты'!N29</f>
        <v>669.6219978</v>
      </c>
      <c r="Q29" s="114">
        <f>P26*'Аналитика'!$H$13+'Расчёты'!P29</f>
        <v>730.8318653</v>
      </c>
      <c r="R29" s="114">
        <f>Q26*'Аналитика'!$H$13+'Расчёты'!Q29</f>
        <v>793.0823005</v>
      </c>
      <c r="S29" s="114">
        <f>R26*'Аналитика'!$H$13+'Расчёты'!R29</f>
        <v>856.3909932</v>
      </c>
      <c r="T29" s="114">
        <f>S26*'Аналитика'!$H$13+'Расчёты'!S29</f>
        <v>920.7759336</v>
      </c>
      <c r="U29" s="114">
        <f>T26*'Аналитика'!$H$13+'Расчёты'!T29</f>
        <v>986.255418</v>
      </c>
      <c r="V29" s="114">
        <f>U26*'Аналитика'!$H$13+'Расчёты'!U29</f>
        <v>1054.845833</v>
      </c>
      <c r="W29" s="114">
        <f>V26*'Аналитика'!$H$13+'Расчёты'!V29</f>
        <v>1126.694978</v>
      </c>
      <c r="X29" s="114">
        <f>W26*'Аналитика'!$H$13+'Расчёты'!W29</f>
        <v>1201.957676</v>
      </c>
      <c r="Y29" s="114">
        <f>X26*'Аналитика'!$H$13+'Расчёты'!X29</f>
        <v>1272.004599</v>
      </c>
      <c r="Z29" s="114">
        <f>Y26*'Аналитика'!$H$13+'Расчёты'!Y29</f>
        <v>1343.24232</v>
      </c>
      <c r="AA29" s="114">
        <f>Z26*'Аналитика'!$H$13+'Расчёты'!Z29</f>
        <v>1415.691082</v>
      </c>
      <c r="AB29" s="116">
        <f t="shared" si="28"/>
        <v>1415.691082</v>
      </c>
      <c r="AF29" s="26" t="s">
        <v>9</v>
      </c>
      <c r="AG29" s="27" t="str">
        <f>IF(AF29="Нет", " ", "Не забывайте, что образовательный курс длится 12 мес., а значит с января 2027 нужно будет вычитать выпускников, окончивших обучение (например, в январе 2027 нужно вычесть студентов января 2026)")</f>
        <v> </v>
      </c>
    </row>
    <row r="30" ht="19.5" customHeight="1" outlineLevel="1">
      <c r="B30" s="118" t="s">
        <v>38</v>
      </c>
      <c r="C30" s="142">
        <v>0.0</v>
      </c>
      <c r="D30" s="143">
        <f>C26*'Аналитика'!H14</f>
        <v>15</v>
      </c>
      <c r="E30" s="143">
        <f>D26*'Аналитика'!$H$14+'Расчёты'!D30</f>
        <v>30.255</v>
      </c>
      <c r="F30" s="143">
        <f>E26*'Аналитика'!$H$14+'Расчёты'!E30</f>
        <v>45.769335</v>
      </c>
      <c r="G30" s="143">
        <f>F26*'Аналитика'!$H$14+'Расчёты'!F30</f>
        <v>61.5474137</v>
      </c>
      <c r="H30" s="143">
        <f>G26*'Аналитика'!$H$14+'Расчёты'!G30</f>
        <v>77.59371973</v>
      </c>
      <c r="I30" s="143">
        <f>H26*'Аналитика'!$H$14+'Расчёты'!H30</f>
        <v>94.40238576</v>
      </c>
      <c r="J30" s="143">
        <f>I26*'Аналитика'!$H$14+'Расчёты'!I30</f>
        <v>112.0096315</v>
      </c>
      <c r="K30" s="143">
        <f>J26*'Аналитика'!$H$14+'Расчёты'!J30</f>
        <v>130.4533975</v>
      </c>
      <c r="L30" s="143">
        <f>K26*'Аналитика'!$H$14+'Расчёты'!K30</f>
        <v>147.6189933</v>
      </c>
      <c r="M30" s="143">
        <f>L26*'Аналитика'!$H$14+'Расчёты'!L30</f>
        <v>165.0764043</v>
      </c>
      <c r="N30" s="143">
        <f>M26*'Аналитика'!$H$14+'Расчёты'!M30</f>
        <v>182.8305912</v>
      </c>
      <c r="O30" s="119">
        <f t="shared" si="27"/>
        <v>182.8305912</v>
      </c>
      <c r="P30" s="143">
        <f>N26*'Аналитика'!$H$14+'Расчёты'!N30</f>
        <v>200.8865993</v>
      </c>
      <c r="Q30" s="143">
        <f>P26*'Аналитика'!$H$14+'Расчёты'!P30</f>
        <v>219.2495596</v>
      </c>
      <c r="R30" s="143">
        <f>Q26*'Аналитика'!$H$14+'Расчёты'!Q30</f>
        <v>237.9246902</v>
      </c>
      <c r="S30" s="143">
        <f>R26*'Аналитика'!$H$14+'Расчёты'!R30</f>
        <v>256.917298</v>
      </c>
      <c r="T30" s="143">
        <f>S26*'Аналитика'!$H$14+'Расчёты'!S30</f>
        <v>276.2327801</v>
      </c>
      <c r="U30" s="143">
        <f>T26*'Аналитика'!$H$14+'Расчёты'!T30</f>
        <v>295.8766254</v>
      </c>
      <c r="V30" s="143">
        <f>U26*'Аналитика'!$H$14+'Расчёты'!U30</f>
        <v>316.4537498</v>
      </c>
      <c r="W30" s="143">
        <f>V26*'Аналитика'!$H$14+'Расчёты'!V30</f>
        <v>338.0084934</v>
      </c>
      <c r="X30" s="143">
        <f>W26*'Аналитика'!$H$14+'Расчёты'!W30</f>
        <v>360.5873029</v>
      </c>
      <c r="Y30" s="143">
        <f>X26*'Аналитика'!$H$14+'Расчёты'!X30</f>
        <v>381.6013798</v>
      </c>
      <c r="Z30" s="143">
        <f>Y26*'Аналитика'!$H$14+'Расчёты'!Y30</f>
        <v>402.972696</v>
      </c>
      <c r="AA30" s="143">
        <f>Z26*'Аналитика'!$H$14+'Расчёты'!Z30</f>
        <v>424.7073246</v>
      </c>
      <c r="AB30" s="120">
        <f t="shared" si="28"/>
        <v>424.7073246</v>
      </c>
      <c r="AG30" s="27"/>
    </row>
    <row r="31" ht="19.5" customHeight="1">
      <c r="B31" s="75" t="s">
        <v>3</v>
      </c>
      <c r="C31" s="121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3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4"/>
      <c r="AG31" s="27"/>
    </row>
    <row r="32" ht="19.5" customHeight="1" outlineLevel="1">
      <c r="B32" s="48" t="s">
        <v>95</v>
      </c>
      <c r="C32" s="125">
        <v>40.0</v>
      </c>
      <c r="D32" s="126">
        <f>C32*(1+'Аналитика'!$I$5)</f>
        <v>40.8</v>
      </c>
      <c r="E32" s="126">
        <f>D32*(1+'Аналитика'!$I$5)</f>
        <v>41.616</v>
      </c>
      <c r="F32" s="126">
        <f>E32*(1+'Аналитика'!$I$5)</f>
        <v>42.44832</v>
      </c>
      <c r="G32" s="126">
        <f>F32*(1+'Аналитика'!$I$5)</f>
        <v>43.2972864</v>
      </c>
      <c r="H32" s="126">
        <f>G32*(1+'Аналитика'!$I$5+'Аналитика'!$I$7)</f>
        <v>45.46215072</v>
      </c>
      <c r="I32" s="126">
        <f>H32*(1+'Аналитика'!$I$5+'Аналитика'!$I$7)</f>
        <v>47.73525826</v>
      </c>
      <c r="J32" s="126">
        <f>I32*(1+'Аналитика'!$I$5+'Аналитика'!$I$7)</f>
        <v>50.12202117</v>
      </c>
      <c r="K32" s="126">
        <f>G32*(1+'Аналитика'!$I$5)^4</f>
        <v>46.86637524</v>
      </c>
      <c r="L32" s="126">
        <f>K32*(1+'Аналитика'!$I$5)</f>
        <v>47.80370274</v>
      </c>
      <c r="M32" s="126">
        <f>L32*(1+'Аналитика'!$I$5)</f>
        <v>48.7597768</v>
      </c>
      <c r="N32" s="126">
        <f>M32*(1+'Аналитика'!$I$5)</f>
        <v>49.73497234</v>
      </c>
      <c r="O32" s="127">
        <f t="shared" ref="O32:O36" si="29">N32</f>
        <v>49.73497234</v>
      </c>
      <c r="P32" s="126">
        <f>N32*(1+'Аналитика'!$I$5)</f>
        <v>50.72967178</v>
      </c>
      <c r="Q32" s="126">
        <f>P32*(1+'Аналитика'!$I$5)</f>
        <v>51.74426522</v>
      </c>
      <c r="R32" s="126">
        <f>Q32*(1+'Аналитика'!$I$5)</f>
        <v>52.77915052</v>
      </c>
      <c r="S32" s="126">
        <f>R32*(1+'Аналитика'!$I$5)</f>
        <v>53.83473353</v>
      </c>
      <c r="T32" s="126">
        <f>S32*(1+'Аналитика'!$I$5)</f>
        <v>54.9114282</v>
      </c>
      <c r="U32" s="126">
        <f>T32*(1+'Аналитика'!$I$5+'Аналитика'!$I$7)</f>
        <v>57.65699961</v>
      </c>
      <c r="V32" s="126">
        <f>U32*(1+'Аналитика'!$I$5+'Аналитика'!$I$7)</f>
        <v>60.53984959</v>
      </c>
      <c r="W32" s="126">
        <f>V32*(1+'Аналитика'!$I$5+'Аналитика'!$I$7)</f>
        <v>63.56684207</v>
      </c>
      <c r="X32" s="126">
        <f>T32*(1+'Аналитика'!I5)^4</f>
        <v>59.43789584</v>
      </c>
      <c r="Y32" s="126">
        <f>X32*(1+'Аналитика'!$I$5)</f>
        <v>60.62665376</v>
      </c>
      <c r="Z32" s="126">
        <f>Y32*(1+'Аналитика'!$I$5)</f>
        <v>61.83918683</v>
      </c>
      <c r="AA32" s="126">
        <f>Z32*(1+'Аналитика'!$I$5)</f>
        <v>63.07597057</v>
      </c>
      <c r="AB32" s="128">
        <f t="shared" ref="AB32:AB36" si="30">AA32</f>
        <v>63.07597057</v>
      </c>
      <c r="AG32" s="27"/>
    </row>
    <row r="33" ht="19.5" customHeight="1" outlineLevel="1">
      <c r="B33" s="54" t="s">
        <v>48</v>
      </c>
      <c r="C33" s="113">
        <f>C32*'Аналитика'!$J$11</f>
        <v>1.2</v>
      </c>
      <c r="D33" s="114">
        <f>C33+D32*'Аналитика'!$J$11</f>
        <v>2.424</v>
      </c>
      <c r="E33" s="114">
        <f>D33+E32*'Аналитика'!$J$11</f>
        <v>3.67248</v>
      </c>
      <c r="F33" s="114">
        <f>E33+F32*'Аналитика'!$J$11</f>
        <v>4.9459296</v>
      </c>
      <c r="G33" s="114">
        <f>F33+G32*'Аналитика'!$J$11</f>
        <v>6.244848192</v>
      </c>
      <c r="H33" s="114">
        <f>G33+H32*'Аналитика'!$J$11</f>
        <v>7.608712714</v>
      </c>
      <c r="I33" s="114">
        <f>H33+I32*'Аналитика'!$J$11</f>
        <v>9.040770461</v>
      </c>
      <c r="J33" s="114">
        <f>I33+J32*'Аналитика'!$J$11</f>
        <v>10.5444311</v>
      </c>
      <c r="K33" s="114">
        <f>J33+K32*'Аналитика'!$J$11</f>
        <v>11.95042235</v>
      </c>
      <c r="L33" s="114">
        <f>K33+L32*'Аналитика'!$J$11</f>
        <v>13.38453344</v>
      </c>
      <c r="M33" s="114">
        <f>L33+M32*'Аналитика'!$J$11</f>
        <v>14.84732674</v>
      </c>
      <c r="N33" s="114">
        <f>M33+N32*'Аналитика'!$J$11</f>
        <v>16.33937591</v>
      </c>
      <c r="O33" s="115">
        <f t="shared" si="29"/>
        <v>16.33937591</v>
      </c>
      <c r="P33" s="114">
        <f>N33+P32*'Аналитика'!$J$11-C33</f>
        <v>16.66126606</v>
      </c>
      <c r="Q33" s="114">
        <f>P33+Q32*'Аналитика'!$J$11-('Расчёты'!D33-'Расчёты'!C33)</f>
        <v>16.98959402</v>
      </c>
      <c r="R33" s="114">
        <f>Q33+R32*'Аналитика'!$J$11-('Расчёты'!E33-'Расчёты'!D33)</f>
        <v>17.32448854</v>
      </c>
      <c r="S33" s="114">
        <f>R33+S32*'Аналитика'!$J$11-('Расчёты'!F33-'Расчёты'!E33)</f>
        <v>17.66608094</v>
      </c>
      <c r="T33" s="114">
        <f>S33+T32*'Аналитика'!$J$11-('Расчёты'!G33-'Расчёты'!F33)</f>
        <v>18.0145052</v>
      </c>
      <c r="U33" s="114">
        <f>T33+U32*'Аналитика'!$J$11-('Расчёты'!H33-'Расчёты'!G33)</f>
        <v>18.38035066</v>
      </c>
      <c r="V33" s="114">
        <f>U33+V32*'Аналитика'!$J$11-('Расчёты'!I33-'Расчёты'!H33)</f>
        <v>18.7644884</v>
      </c>
      <c r="W33" s="114">
        <f>V33+W32*'Аналитика'!$J$11-('Расчёты'!J33-'Расчёты'!I33)</f>
        <v>19.16783303</v>
      </c>
      <c r="X33" s="114">
        <f>W33+X32*'Аналитика'!$J$11-('Расчёты'!K33-'Расчёты'!J33)</f>
        <v>19.54497865</v>
      </c>
      <c r="Y33" s="114">
        <f>X33+Y32*'Аналитика'!$J$11-('Расчёты'!L33-'Расчёты'!K33)</f>
        <v>19.92966718</v>
      </c>
      <c r="Z33" s="114">
        <f>Y33+Z32*'Аналитика'!$J$11-('Расчёты'!M33-'Расчёты'!L33)</f>
        <v>20.32204948</v>
      </c>
      <c r="AA33" s="114">
        <f>Z33+AA32*'Аналитика'!$J$11-('Расчёты'!N33-'Расчёты'!M33)</f>
        <v>20.72227943</v>
      </c>
      <c r="AB33" s="116">
        <f t="shared" si="30"/>
        <v>20.72227943</v>
      </c>
      <c r="AG33" s="27"/>
    </row>
    <row r="34" ht="19.5" customHeight="1" outlineLevel="1">
      <c r="B34" s="54" t="s">
        <v>29</v>
      </c>
      <c r="C34" s="113">
        <f>C32*'Аналитика'!J12</f>
        <v>4</v>
      </c>
      <c r="D34" s="114">
        <f>C34+D32*'Аналитика'!$J$12</f>
        <v>8.08</v>
      </c>
      <c r="E34" s="114">
        <f>D34+E32*'Аналитика'!$J$12</f>
        <v>12.2416</v>
      </c>
      <c r="F34" s="114">
        <f>E34+F32*'Аналитика'!$J$12</f>
        <v>16.486432</v>
      </c>
      <c r="G34" s="114">
        <f>F34+G32*'Аналитика'!$J$12</f>
        <v>20.81616064</v>
      </c>
      <c r="H34" s="114">
        <f>G34+H32*'Аналитика'!$J$12</f>
        <v>25.36237571</v>
      </c>
      <c r="I34" s="114">
        <f>H34+I32*'Аналитика'!$J$12</f>
        <v>30.13590154</v>
      </c>
      <c r="J34" s="114">
        <f>I34+J32*'Аналитика'!$J$12</f>
        <v>35.14810365</v>
      </c>
      <c r="K34" s="114">
        <f>J34+K32*'Аналитика'!$J$12</f>
        <v>39.83474118</v>
      </c>
      <c r="L34" s="114">
        <f>K34+L32*'Аналитика'!$J$12</f>
        <v>44.61511145</v>
      </c>
      <c r="M34" s="114">
        <f>L34+M32*'Аналитика'!$J$12</f>
        <v>49.49108913</v>
      </c>
      <c r="N34" s="114">
        <f>M34+N32*'Аналитика'!$J$12</f>
        <v>54.46458637</v>
      </c>
      <c r="O34" s="115">
        <f t="shared" si="29"/>
        <v>54.46458637</v>
      </c>
      <c r="P34" s="114">
        <f>N34+P32*'Аналитика'!$J$12-C34</f>
        <v>55.53755354</v>
      </c>
      <c r="Q34" s="114">
        <f>P34+Q32*'Аналитика'!$J$12-('Расчёты'!D34-'Расчёты'!C34)</f>
        <v>56.63198007</v>
      </c>
      <c r="R34" s="114">
        <f>Q34+R32*'Аналитика'!$J$12-('Расчёты'!E34-'Расчёты'!D34)</f>
        <v>57.74829512</v>
      </c>
      <c r="S34" s="114">
        <f>R34+S32*'Аналитика'!$J$12-('Расчёты'!F34-'Расчёты'!E34)</f>
        <v>58.88693647</v>
      </c>
      <c r="T34" s="114">
        <f>S34+T32*'Аналитика'!$J$12-('Расчёты'!G34-'Расчёты'!F34)</f>
        <v>60.04835065</v>
      </c>
      <c r="U34" s="114">
        <f>T34+U32*'Аналитика'!$J$12-('Расчёты'!H34-'Расчёты'!G34)</f>
        <v>61.26783554</v>
      </c>
      <c r="V34" s="114">
        <f>U34+V32*'Аналитика'!$J$12-('Расчёты'!I34-'Расчёты'!H34)</f>
        <v>62.54829468</v>
      </c>
      <c r="W34" s="114">
        <f>V34+W32*'Аналитика'!$J$12-('Расчёты'!J34-'Расчёты'!I34)</f>
        <v>63.89277677</v>
      </c>
      <c r="X34" s="114">
        <f>W34+X32*'Аналитика'!$J$12-('Расчёты'!K34-'Расчёты'!J34)</f>
        <v>65.14992883</v>
      </c>
      <c r="Y34" s="114">
        <f>X34+Y32*'Аналитика'!$J$12-('Расчёты'!L34-'Расчёты'!K34)</f>
        <v>66.43222393</v>
      </c>
      <c r="Z34" s="114">
        <f>Y34+Z32*'Аналитика'!$J$12-('Расчёты'!M34-'Расчёты'!L34)</f>
        <v>67.74016493</v>
      </c>
      <c r="AA34" s="114">
        <f>Z34+AA32*'Аналитика'!$J$12-('Расчёты'!N34-'Расчёты'!M34)</f>
        <v>69.07426475</v>
      </c>
      <c r="AB34" s="116">
        <f t="shared" si="30"/>
        <v>69.07426475</v>
      </c>
      <c r="AG34" s="27"/>
    </row>
    <row r="35" ht="19.5" customHeight="1" outlineLevel="1">
      <c r="B35" s="54" t="s">
        <v>35</v>
      </c>
      <c r="C35" s="113">
        <f>C32*'Аналитика'!J13</f>
        <v>6</v>
      </c>
      <c r="D35" s="114">
        <f>C35+D32*'Аналитика'!$J$13</f>
        <v>12.12</v>
      </c>
      <c r="E35" s="114">
        <f>D35+E32*'Аналитика'!$J$13</f>
        <v>18.3624</v>
      </c>
      <c r="F35" s="114">
        <f>E35+F32*'Аналитика'!$J$13</f>
        <v>24.729648</v>
      </c>
      <c r="G35" s="114">
        <f>F35+G32*'Аналитика'!$J$13</f>
        <v>31.22424096</v>
      </c>
      <c r="H35" s="114">
        <f>G35+H32*'Аналитика'!$J$13</f>
        <v>38.04356357</v>
      </c>
      <c r="I35" s="114">
        <f>H35+I32*'Аналитика'!$J$13</f>
        <v>45.20385231</v>
      </c>
      <c r="J35" s="114">
        <f>I35+J32*'Аналитика'!$J$13</f>
        <v>52.72215548</v>
      </c>
      <c r="K35" s="114">
        <f>J35+K32*'Аналитика'!$J$13</f>
        <v>59.75211177</v>
      </c>
      <c r="L35" s="114">
        <f>K35+L32*'Аналитика'!$J$13</f>
        <v>66.92266718</v>
      </c>
      <c r="M35" s="114">
        <f>L35+M32*'Аналитика'!$J$13</f>
        <v>74.2366337</v>
      </c>
      <c r="N35" s="114">
        <f>M35+N32*'Аналитика'!$J$13</f>
        <v>81.69687955</v>
      </c>
      <c r="O35" s="115">
        <f t="shared" si="29"/>
        <v>81.69687955</v>
      </c>
      <c r="P35" s="114">
        <f>N35+P32*'Аналитика'!$J$13-'Расчёты'!C35</f>
        <v>83.30633032</v>
      </c>
      <c r="Q35" s="114">
        <f>P35+Q32*'Аналитика'!$J$13-('Расчёты'!D35-'Расчёты'!C35)</f>
        <v>84.9479701</v>
      </c>
      <c r="R35" s="114">
        <f>Q35+R32*'Аналитика'!$J$13-('Расчёты'!E35-'Расчёты'!D35)</f>
        <v>86.62244268</v>
      </c>
      <c r="S35" s="114">
        <f>R35+S32*'Аналитика'!$J$13-('Расчёты'!F35-'Расчёты'!E35)</f>
        <v>88.33040471</v>
      </c>
      <c r="T35" s="114">
        <f>S35+T32*'Аналитика'!$J$13-('Расчёты'!G35-'Расчёты'!F35)</f>
        <v>90.07252598</v>
      </c>
      <c r="U35" s="114">
        <f>T35+U32*'Аналитика'!$J$13-('Расчёты'!H35-'Расчёты'!G35)</f>
        <v>91.90175331</v>
      </c>
      <c r="V35" s="114">
        <f>U35+V32*'Аналитика'!$J$13-('Расчёты'!I35-'Расчёты'!H35)</f>
        <v>93.82244201</v>
      </c>
      <c r="W35" s="114">
        <f>V35+W32*'Аналитика'!$J$13-('Расчёты'!J35-'Расчёты'!I35)</f>
        <v>95.83916515</v>
      </c>
      <c r="X35" s="114">
        <f>W35+X32*'Аналитика'!$J$13-('Расчёты'!K35-'Расчёты'!J35)</f>
        <v>97.72489324</v>
      </c>
      <c r="Y35" s="114">
        <f>X35+Y32*'Аналитика'!$J$13-('Расчёты'!L35-'Расчёты'!K35)</f>
        <v>99.64833589</v>
      </c>
      <c r="Z35" s="114">
        <f>Y35+Z32*'Аналитика'!$J$13-('Расчёты'!M35-'Расчёты'!L35)</f>
        <v>101.6102474</v>
      </c>
      <c r="AA35" s="114">
        <f>Z35+AA32*'Аналитика'!$J$13-('Расчёты'!N35-'Расчёты'!M35)</f>
        <v>103.6113971</v>
      </c>
      <c r="AB35" s="116">
        <f t="shared" si="30"/>
        <v>103.6113971</v>
      </c>
      <c r="AG35" s="27"/>
    </row>
    <row r="36" ht="19.5" customHeight="1" outlineLevel="1">
      <c r="B36" s="61" t="s">
        <v>39</v>
      </c>
      <c r="C36" s="129">
        <f>C32*'Аналитика'!J14</f>
        <v>8</v>
      </c>
      <c r="D36" s="130">
        <f>C36+D32*'Аналитика'!$J$14</f>
        <v>16.16</v>
      </c>
      <c r="E36" s="130">
        <f>D36+E32*'Аналитика'!$J$14</f>
        <v>24.4832</v>
      </c>
      <c r="F36" s="130">
        <f>E36+F32*'Аналитика'!$J$14</f>
        <v>32.972864</v>
      </c>
      <c r="G36" s="130">
        <f>F36+G32*'Аналитика'!$J$14</f>
        <v>41.63232128</v>
      </c>
      <c r="H36" s="130">
        <f>G36+H32*'Аналитика'!$J$14</f>
        <v>50.72475142</v>
      </c>
      <c r="I36" s="130">
        <f>H36+I32*'Аналитика'!$J$14</f>
        <v>60.27180308</v>
      </c>
      <c r="J36" s="130">
        <f>I36+J32*'Аналитика'!$J$14</f>
        <v>70.29620731</v>
      </c>
      <c r="K36" s="130">
        <f>J36+K32*'Аналитика'!$J$14</f>
        <v>79.66948236</v>
      </c>
      <c r="L36" s="130">
        <f>K36+L32*'Аналитика'!$J$14</f>
        <v>89.23022291</v>
      </c>
      <c r="M36" s="130">
        <f>L36+M32*'Аналитика'!$J$14</f>
        <v>98.98217827</v>
      </c>
      <c r="N36" s="130">
        <f>M36+N32*'Аналитика'!$J$14</f>
        <v>108.9291727</v>
      </c>
      <c r="O36" s="131">
        <f t="shared" si="29"/>
        <v>108.9291727</v>
      </c>
      <c r="P36" s="130">
        <f>N36+P32*'Аналитика'!$J$14-C36</f>
        <v>111.0751071</v>
      </c>
      <c r="Q36" s="130">
        <f>P36+Q32*'Аналитика'!$J$14-('Расчёты'!D36-'Расчёты'!C36)</f>
        <v>113.2639601</v>
      </c>
      <c r="R36" s="130">
        <f>Q36+R32*'Аналитика'!$J$14-('Расчёты'!E36-'Расчёты'!D36)</f>
        <v>115.4965902</v>
      </c>
      <c r="S36" s="130">
        <f>R36+S32*'Аналитика'!$J$14-('Расчёты'!F36-'Расчёты'!E36)</f>
        <v>117.7738729</v>
      </c>
      <c r="T36" s="130">
        <f>S36+T32*'Аналитика'!$J$14-('Расчёты'!G36-'Расчёты'!F36)</f>
        <v>120.0967013</v>
      </c>
      <c r="U36" s="130">
        <f>T36+U32*'Аналитика'!$J$14-('Расчёты'!H36-'Расчёты'!G36)</f>
        <v>122.5356711</v>
      </c>
      <c r="V36" s="130">
        <f>U36+V32*'Аналитика'!$J$14-('Расчёты'!I36-'Расчёты'!H36)</f>
        <v>125.0965894</v>
      </c>
      <c r="W36" s="130">
        <f>V36+W32*'Аналитика'!$J$14-('Расчёты'!J36-'Расчёты'!I36)</f>
        <v>127.7855535</v>
      </c>
      <c r="X36" s="130">
        <f>W36+X32*'Аналитика'!$J$14-('Расчёты'!K36-'Расчёты'!J36)</f>
        <v>130.2998577</v>
      </c>
      <c r="Y36" s="130">
        <f>X36+Y32*'Аналитика'!$J$14-('Расчёты'!L36-'Расчёты'!K36)</f>
        <v>132.8644479</v>
      </c>
      <c r="Z36" s="130">
        <f>Y36+Z32*'Аналитика'!$J$14-('Расчёты'!M36-'Расчёты'!L36)</f>
        <v>135.4803299</v>
      </c>
      <c r="AA36" s="130">
        <f>Z36+AA32*'Аналитика'!$J$14-('Расчёты'!N36-'Расчёты'!M36)</f>
        <v>138.1485295</v>
      </c>
      <c r="AB36" s="132">
        <f t="shared" si="30"/>
        <v>138.1485295</v>
      </c>
      <c r="AG36" s="27"/>
    </row>
    <row r="37" ht="19.5" customHeight="1">
      <c r="O37" s="144"/>
      <c r="AB37" s="144"/>
      <c r="AG37" s="27"/>
    </row>
    <row r="38" ht="19.5" customHeight="1">
      <c r="B38" s="134" t="s">
        <v>98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45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8"/>
      <c r="AF38" s="26" t="s">
        <v>9</v>
      </c>
      <c r="AG38" s="27" t="str">
        <f>IF(AF38="Нет", " ", "Для каждого вида оплаты нужно рассчитать месячную стоимость (например, стоимость пакета на 3 месяца нужно разделить на 3, а оплату курса 2 траншами - на 12)")</f>
        <v> </v>
      </c>
    </row>
    <row r="39" ht="19.5" customHeight="1">
      <c r="B39" s="96"/>
      <c r="C39" s="97" t="s">
        <v>72</v>
      </c>
      <c r="D39" s="97" t="s">
        <v>73</v>
      </c>
      <c r="E39" s="97" t="s">
        <v>74</v>
      </c>
      <c r="F39" s="97" t="s">
        <v>75</v>
      </c>
      <c r="G39" s="98">
        <v>46143.0</v>
      </c>
      <c r="H39" s="97" t="s">
        <v>76</v>
      </c>
      <c r="I39" s="97" t="s">
        <v>77</v>
      </c>
      <c r="J39" s="97" t="s">
        <v>78</v>
      </c>
      <c r="K39" s="97" t="s">
        <v>79</v>
      </c>
      <c r="L39" s="97" t="s">
        <v>80</v>
      </c>
      <c r="M39" s="97" t="s">
        <v>81</v>
      </c>
      <c r="N39" s="97" t="s">
        <v>82</v>
      </c>
      <c r="O39" s="99">
        <v>2026.0</v>
      </c>
      <c r="P39" s="97" t="s">
        <v>83</v>
      </c>
      <c r="Q39" s="97" t="s">
        <v>84</v>
      </c>
      <c r="R39" s="97" t="s">
        <v>85</v>
      </c>
      <c r="S39" s="97" t="s">
        <v>86</v>
      </c>
      <c r="T39" s="98">
        <v>46508.0</v>
      </c>
      <c r="U39" s="97" t="s">
        <v>87</v>
      </c>
      <c r="V39" s="97" t="s">
        <v>88</v>
      </c>
      <c r="W39" s="97" t="s">
        <v>89</v>
      </c>
      <c r="X39" s="97" t="s">
        <v>90</v>
      </c>
      <c r="Y39" s="97" t="s">
        <v>91</v>
      </c>
      <c r="Z39" s="97" t="s">
        <v>92</v>
      </c>
      <c r="AA39" s="97" t="s">
        <v>93</v>
      </c>
      <c r="AB39" s="100">
        <v>2027.0</v>
      </c>
      <c r="AG39" s="27"/>
    </row>
    <row r="40" ht="9.75" customHeight="1"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6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6"/>
      <c r="AG40" s="27"/>
    </row>
    <row r="41" ht="19.5" customHeight="1">
      <c r="B41" s="75" t="s">
        <v>2</v>
      </c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10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11"/>
      <c r="AG41" s="27"/>
    </row>
    <row r="42" ht="19.5" customHeight="1" outlineLevel="1">
      <c r="B42" s="112" t="s">
        <v>20</v>
      </c>
      <c r="C42" s="113">
        <v>0.0</v>
      </c>
      <c r="D42" s="114">
        <v>0.0</v>
      </c>
      <c r="E42" s="114">
        <v>0.0</v>
      </c>
      <c r="F42" s="114">
        <v>0.0</v>
      </c>
      <c r="G42" s="114">
        <v>0.0</v>
      </c>
      <c r="H42" s="114">
        <v>0.0</v>
      </c>
      <c r="I42" s="114">
        <v>0.0</v>
      </c>
      <c r="J42" s="114">
        <v>0.0</v>
      </c>
      <c r="K42" s="114">
        <v>0.0</v>
      </c>
      <c r="L42" s="114">
        <v>0.0</v>
      </c>
      <c r="M42" s="114">
        <v>0.0</v>
      </c>
      <c r="N42" s="114">
        <v>0.0</v>
      </c>
      <c r="O42" s="141">
        <v>0.0</v>
      </c>
      <c r="P42" s="114">
        <v>0.0</v>
      </c>
      <c r="Q42" s="114">
        <v>0.0</v>
      </c>
      <c r="R42" s="114">
        <v>0.0</v>
      </c>
      <c r="S42" s="114">
        <v>0.0</v>
      </c>
      <c r="T42" s="114">
        <v>0.0</v>
      </c>
      <c r="U42" s="114">
        <v>0.0</v>
      </c>
      <c r="V42" s="114">
        <v>0.0</v>
      </c>
      <c r="W42" s="114">
        <v>0.0</v>
      </c>
      <c r="X42" s="114">
        <v>0.0</v>
      </c>
      <c r="Y42" s="114">
        <v>0.0</v>
      </c>
      <c r="Z42" s="114">
        <v>0.0</v>
      </c>
      <c r="AA42" s="114">
        <v>0.0</v>
      </c>
      <c r="AB42" s="116">
        <f>AA42</f>
        <v>0</v>
      </c>
      <c r="AG42" s="27"/>
    </row>
    <row r="43" ht="19.5" customHeight="1" outlineLevel="1">
      <c r="B43" s="117" t="s">
        <v>24</v>
      </c>
      <c r="C43" s="113">
        <f>'Аналитика'!C5</f>
        <v>300</v>
      </c>
      <c r="D43" s="114">
        <v>300.0</v>
      </c>
      <c r="E43" s="114">
        <v>300.0</v>
      </c>
      <c r="F43" s="114">
        <v>300.0</v>
      </c>
      <c r="G43" s="114">
        <v>300.0</v>
      </c>
      <c r="H43" s="114">
        <v>300.0</v>
      </c>
      <c r="I43" s="114">
        <v>300.0</v>
      </c>
      <c r="J43" s="114">
        <v>300.0</v>
      </c>
      <c r="K43" s="114">
        <v>300.0</v>
      </c>
      <c r="L43" s="114">
        <v>300.0</v>
      </c>
      <c r="M43" s="114">
        <v>300.0</v>
      </c>
      <c r="N43" s="114">
        <v>300.0</v>
      </c>
      <c r="O43" s="115">
        <v>300.0</v>
      </c>
      <c r="P43" s="114">
        <v>300.0</v>
      </c>
      <c r="Q43" s="114">
        <v>300.0</v>
      </c>
      <c r="R43" s="114">
        <v>300.0</v>
      </c>
      <c r="S43" s="114">
        <v>300.0</v>
      </c>
      <c r="T43" s="114">
        <v>300.0</v>
      </c>
      <c r="U43" s="114">
        <v>300.0</v>
      </c>
      <c r="V43" s="114">
        <v>300.0</v>
      </c>
      <c r="W43" s="114">
        <v>300.0</v>
      </c>
      <c r="X43" s="114">
        <v>300.0</v>
      </c>
      <c r="Y43" s="114">
        <v>300.0</v>
      </c>
      <c r="Z43" s="114">
        <v>300.0</v>
      </c>
      <c r="AA43" s="114">
        <v>300.0</v>
      </c>
      <c r="AB43" s="116">
        <v>300.0</v>
      </c>
      <c r="AG43" s="27"/>
    </row>
    <row r="44" ht="19.5" customHeight="1" outlineLevel="1">
      <c r="B44" s="117" t="s">
        <v>28</v>
      </c>
      <c r="C44" s="113">
        <f>'Аналитика'!$C$6/3</f>
        <v>283.3333333</v>
      </c>
      <c r="D44" s="114">
        <v>283.3333333333333</v>
      </c>
      <c r="E44" s="114">
        <v>283.3333333333333</v>
      </c>
      <c r="F44" s="114">
        <v>283.3333333333333</v>
      </c>
      <c r="G44" s="114">
        <v>283.3333333333333</v>
      </c>
      <c r="H44" s="114">
        <v>283.3333333333333</v>
      </c>
      <c r="I44" s="114">
        <v>283.3333333333333</v>
      </c>
      <c r="J44" s="114">
        <v>283.3333333333333</v>
      </c>
      <c r="K44" s="114">
        <v>283.3333333333333</v>
      </c>
      <c r="L44" s="114">
        <v>283.3333333333333</v>
      </c>
      <c r="M44" s="114">
        <v>283.3333333333333</v>
      </c>
      <c r="N44" s="114">
        <v>283.3333333333333</v>
      </c>
      <c r="O44" s="141">
        <v>283.3333333333333</v>
      </c>
      <c r="P44" s="114">
        <v>283.3333333333333</v>
      </c>
      <c r="Q44" s="114">
        <v>283.3333333333333</v>
      </c>
      <c r="R44" s="114">
        <v>283.3333333333333</v>
      </c>
      <c r="S44" s="114">
        <v>283.3333333333333</v>
      </c>
      <c r="T44" s="114">
        <v>283.3333333333333</v>
      </c>
      <c r="U44" s="114">
        <v>283.3333333333333</v>
      </c>
      <c r="V44" s="114">
        <v>283.3333333333333</v>
      </c>
      <c r="W44" s="114">
        <v>283.3333333333333</v>
      </c>
      <c r="X44" s="114">
        <v>283.3333333333333</v>
      </c>
      <c r="Y44" s="114">
        <v>283.3333333333333</v>
      </c>
      <c r="Z44" s="114">
        <v>283.3333333333333</v>
      </c>
      <c r="AA44" s="114">
        <v>283.3333333333333</v>
      </c>
      <c r="AB44" s="116">
        <v>283.0</v>
      </c>
      <c r="AG44" s="27"/>
    </row>
    <row r="45" ht="19.5" customHeight="1" outlineLevel="1">
      <c r="B45" s="117" t="s">
        <v>34</v>
      </c>
      <c r="C45" s="113">
        <f>'Аналитика'!$C$7/6</f>
        <v>266.6666667</v>
      </c>
      <c r="D45" s="114">
        <v>266.6666666666667</v>
      </c>
      <c r="E45" s="114">
        <v>266.6666666666667</v>
      </c>
      <c r="F45" s="114">
        <v>266.6666666666667</v>
      </c>
      <c r="G45" s="114">
        <v>266.6666666666667</v>
      </c>
      <c r="H45" s="114">
        <v>266.6666666666667</v>
      </c>
      <c r="I45" s="114">
        <v>266.6666666666667</v>
      </c>
      <c r="J45" s="114">
        <v>266.6666666666667</v>
      </c>
      <c r="K45" s="114">
        <v>266.6666666666667</v>
      </c>
      <c r="L45" s="114">
        <v>266.6666666666667</v>
      </c>
      <c r="M45" s="114">
        <v>266.6666666666667</v>
      </c>
      <c r="N45" s="114">
        <v>266.6666666666667</v>
      </c>
      <c r="O45" s="115">
        <v>266.6666666666667</v>
      </c>
      <c r="P45" s="114">
        <v>266.6666666666667</v>
      </c>
      <c r="Q45" s="114">
        <v>266.6666666666667</v>
      </c>
      <c r="R45" s="114">
        <v>266.6666666666667</v>
      </c>
      <c r="S45" s="114">
        <v>266.6666666666667</v>
      </c>
      <c r="T45" s="114">
        <v>266.6666666666667</v>
      </c>
      <c r="U45" s="114">
        <v>266.6666666666667</v>
      </c>
      <c r="V45" s="114">
        <v>266.6666666666667</v>
      </c>
      <c r="W45" s="114">
        <v>266.6666666666667</v>
      </c>
      <c r="X45" s="114">
        <v>266.6666666666667</v>
      </c>
      <c r="Y45" s="114">
        <v>266.6666666666667</v>
      </c>
      <c r="Z45" s="114">
        <v>266.6666666666667</v>
      </c>
      <c r="AA45" s="114">
        <v>266.6666666666667</v>
      </c>
      <c r="AB45" s="116">
        <v>266.6666666666667</v>
      </c>
      <c r="AG45" s="27"/>
    </row>
    <row r="46" ht="19.5" customHeight="1" outlineLevel="1">
      <c r="B46" s="118" t="s">
        <v>38</v>
      </c>
      <c r="C46" s="142">
        <f>'Аналитика'!$C$8/12</f>
        <v>250</v>
      </c>
      <c r="D46" s="143">
        <v>250.0</v>
      </c>
      <c r="E46" s="143">
        <v>250.0</v>
      </c>
      <c r="F46" s="143">
        <v>250.0</v>
      </c>
      <c r="G46" s="143">
        <v>250.0</v>
      </c>
      <c r="H46" s="143">
        <v>250.0</v>
      </c>
      <c r="I46" s="143">
        <v>250.0</v>
      </c>
      <c r="J46" s="143">
        <v>250.0</v>
      </c>
      <c r="K46" s="143">
        <v>250.0</v>
      </c>
      <c r="L46" s="143">
        <v>250.0</v>
      </c>
      <c r="M46" s="143">
        <v>250.0</v>
      </c>
      <c r="N46" s="143">
        <v>250.0</v>
      </c>
      <c r="O46" s="119">
        <v>250.0</v>
      </c>
      <c r="P46" s="143">
        <v>250.0</v>
      </c>
      <c r="Q46" s="143">
        <v>250.0</v>
      </c>
      <c r="R46" s="143">
        <v>250.0</v>
      </c>
      <c r="S46" s="143">
        <v>250.0</v>
      </c>
      <c r="T46" s="143">
        <v>250.0</v>
      </c>
      <c r="U46" s="143">
        <v>250.0</v>
      </c>
      <c r="V46" s="143">
        <v>250.0</v>
      </c>
      <c r="W46" s="143">
        <v>250.0</v>
      </c>
      <c r="X46" s="143">
        <v>250.0</v>
      </c>
      <c r="Y46" s="143">
        <v>250.0</v>
      </c>
      <c r="Z46" s="143">
        <v>250.0</v>
      </c>
      <c r="AA46" s="143">
        <v>250.0</v>
      </c>
      <c r="AB46" s="120">
        <v>250.0</v>
      </c>
      <c r="AG46" s="27"/>
    </row>
    <row r="47" ht="19.5" customHeight="1">
      <c r="B47" s="75" t="s">
        <v>3</v>
      </c>
      <c r="C47" s="121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3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4"/>
      <c r="AG47" s="27"/>
    </row>
    <row r="48" ht="19.5" customHeight="1" outlineLevel="1">
      <c r="B48" s="48" t="s">
        <v>95</v>
      </c>
      <c r="C48" s="125">
        <v>0.0</v>
      </c>
      <c r="D48" s="126">
        <v>0.0</v>
      </c>
      <c r="E48" s="126">
        <v>0.0</v>
      </c>
      <c r="F48" s="126">
        <v>0.0</v>
      </c>
      <c r="G48" s="126">
        <v>0.0</v>
      </c>
      <c r="H48" s="126">
        <v>0.0</v>
      </c>
      <c r="I48" s="126">
        <v>0.0</v>
      </c>
      <c r="J48" s="126">
        <v>0.0</v>
      </c>
      <c r="K48" s="126">
        <v>0.0</v>
      </c>
      <c r="L48" s="126">
        <v>0.0</v>
      </c>
      <c r="M48" s="126">
        <v>0.0</v>
      </c>
      <c r="N48" s="126">
        <v>0.0</v>
      </c>
      <c r="O48" s="127">
        <v>0.0</v>
      </c>
      <c r="P48" s="126">
        <v>0.0</v>
      </c>
      <c r="Q48" s="126">
        <v>0.0</v>
      </c>
      <c r="R48" s="126">
        <v>0.0</v>
      </c>
      <c r="S48" s="126">
        <v>0.0</v>
      </c>
      <c r="T48" s="126">
        <v>0.0</v>
      </c>
      <c r="U48" s="126">
        <v>0.0</v>
      </c>
      <c r="V48" s="126">
        <v>0.0</v>
      </c>
      <c r="W48" s="126">
        <v>0.0</v>
      </c>
      <c r="X48" s="126">
        <v>0.0</v>
      </c>
      <c r="Y48" s="126">
        <v>0.0</v>
      </c>
      <c r="Z48" s="126">
        <v>0.0</v>
      </c>
      <c r="AA48" s="126">
        <v>0.0</v>
      </c>
      <c r="AB48" s="128">
        <v>0.0</v>
      </c>
      <c r="AG48" s="27"/>
    </row>
    <row r="49" ht="19.5" customHeight="1" outlineLevel="1">
      <c r="B49" s="54" t="s">
        <v>48</v>
      </c>
      <c r="C49" s="113">
        <f>'Аналитика'!$E$5/12</f>
        <v>8333.333333</v>
      </c>
      <c r="D49" s="114">
        <v>8333.333333333334</v>
      </c>
      <c r="E49" s="114">
        <v>8333.333333333334</v>
      </c>
      <c r="F49" s="114">
        <v>8333.333333333334</v>
      </c>
      <c r="G49" s="114">
        <v>8333.333333333334</v>
      </c>
      <c r="H49" s="114">
        <v>8333.333333333334</v>
      </c>
      <c r="I49" s="114">
        <v>8333.333333333334</v>
      </c>
      <c r="J49" s="114">
        <v>8333.333333333334</v>
      </c>
      <c r="K49" s="114">
        <v>8333.333333333334</v>
      </c>
      <c r="L49" s="114">
        <v>8333.333333333334</v>
      </c>
      <c r="M49" s="114">
        <v>8333.333333333334</v>
      </c>
      <c r="N49" s="114">
        <v>8333.333333333334</v>
      </c>
      <c r="O49" s="115">
        <f>N49</f>
        <v>8333.333333</v>
      </c>
      <c r="P49" s="114">
        <v>8333.333333333334</v>
      </c>
      <c r="Q49" s="114">
        <v>8333.333333333334</v>
      </c>
      <c r="R49" s="114">
        <v>8333.333333333334</v>
      </c>
      <c r="S49" s="114">
        <v>8333.333333333334</v>
      </c>
      <c r="T49" s="114">
        <v>8333.333333333334</v>
      </c>
      <c r="U49" s="114">
        <v>8333.333333333334</v>
      </c>
      <c r="V49" s="114">
        <v>8333.333333333334</v>
      </c>
      <c r="W49" s="114">
        <v>8333.333333333334</v>
      </c>
      <c r="X49" s="114">
        <v>8333.333333333334</v>
      </c>
      <c r="Y49" s="114">
        <v>8333.333333333334</v>
      </c>
      <c r="Z49" s="114">
        <v>8333.333333333334</v>
      </c>
      <c r="AA49" s="114">
        <v>8333.333333333334</v>
      </c>
      <c r="AB49" s="116">
        <f>AA49</f>
        <v>8333.333333</v>
      </c>
      <c r="AG49" s="27"/>
    </row>
    <row r="50" ht="19.5" customHeight="1" outlineLevel="1">
      <c r="B50" s="54" t="s">
        <v>29</v>
      </c>
      <c r="C50" s="113">
        <f>'Аналитика'!$E$6/12</f>
        <v>9166.666667</v>
      </c>
      <c r="D50" s="114">
        <v>9166.666666666666</v>
      </c>
      <c r="E50" s="114">
        <v>9166.666666666666</v>
      </c>
      <c r="F50" s="114">
        <v>9166.666666666666</v>
      </c>
      <c r="G50" s="114">
        <v>9166.666666666666</v>
      </c>
      <c r="H50" s="114">
        <v>9166.666666666666</v>
      </c>
      <c r="I50" s="114">
        <v>9166.666666666666</v>
      </c>
      <c r="J50" s="114">
        <v>9166.666666666666</v>
      </c>
      <c r="K50" s="114">
        <v>9166.666666666666</v>
      </c>
      <c r="L50" s="114">
        <v>9166.666666666666</v>
      </c>
      <c r="M50" s="114">
        <v>9166.666666666666</v>
      </c>
      <c r="N50" s="114">
        <v>9166.666666666666</v>
      </c>
      <c r="O50" s="115">
        <v>9166.666666666666</v>
      </c>
      <c r="P50" s="114">
        <v>9166.666666666666</v>
      </c>
      <c r="Q50" s="114">
        <v>9166.666666666666</v>
      </c>
      <c r="R50" s="114">
        <v>9166.666666666666</v>
      </c>
      <c r="S50" s="114">
        <v>9166.666666666666</v>
      </c>
      <c r="T50" s="114">
        <v>9166.666666666666</v>
      </c>
      <c r="U50" s="114">
        <v>9166.666666666666</v>
      </c>
      <c r="V50" s="114">
        <v>9166.666666666666</v>
      </c>
      <c r="W50" s="114">
        <v>9166.666666666666</v>
      </c>
      <c r="X50" s="114">
        <v>9166.666666666666</v>
      </c>
      <c r="Y50" s="114">
        <v>9166.666666666666</v>
      </c>
      <c r="Z50" s="114">
        <v>9166.666666666666</v>
      </c>
      <c r="AA50" s="114">
        <v>9166.666666666666</v>
      </c>
      <c r="AB50" s="116">
        <v>9166.666666666666</v>
      </c>
      <c r="AG50" s="27"/>
    </row>
    <row r="51" ht="19.5" customHeight="1" outlineLevel="1">
      <c r="B51" s="54" t="s">
        <v>35</v>
      </c>
      <c r="C51" s="113">
        <f>'Аналитика'!$E$7/12</f>
        <v>9500</v>
      </c>
      <c r="D51" s="114">
        <v>9500.0</v>
      </c>
      <c r="E51" s="114">
        <v>9500.0</v>
      </c>
      <c r="F51" s="114">
        <v>9500.0</v>
      </c>
      <c r="G51" s="114">
        <v>9500.0</v>
      </c>
      <c r="H51" s="114">
        <v>9500.0</v>
      </c>
      <c r="I51" s="114">
        <v>9500.0</v>
      </c>
      <c r="J51" s="114">
        <v>9500.0</v>
      </c>
      <c r="K51" s="114">
        <v>9500.0</v>
      </c>
      <c r="L51" s="114">
        <v>9500.0</v>
      </c>
      <c r="M51" s="114">
        <v>9500.0</v>
      </c>
      <c r="N51" s="114">
        <v>9500.0</v>
      </c>
      <c r="O51" s="115">
        <f t="shared" ref="O51:O52" si="31">N51</f>
        <v>9500</v>
      </c>
      <c r="P51" s="114">
        <v>9500.0</v>
      </c>
      <c r="Q51" s="114">
        <v>9500.0</v>
      </c>
      <c r="R51" s="114">
        <v>9500.0</v>
      </c>
      <c r="S51" s="114">
        <v>9500.0</v>
      </c>
      <c r="T51" s="114">
        <v>9500.0</v>
      </c>
      <c r="U51" s="114">
        <v>9500.0</v>
      </c>
      <c r="V51" s="114">
        <v>9500.0</v>
      </c>
      <c r="W51" s="114">
        <v>9500.0</v>
      </c>
      <c r="X51" s="114">
        <v>9500.0</v>
      </c>
      <c r="Y51" s="114">
        <v>9500.0</v>
      </c>
      <c r="Z51" s="114">
        <v>9500.0</v>
      </c>
      <c r="AA51" s="114">
        <v>9500.0</v>
      </c>
      <c r="AB51" s="116">
        <f t="shared" ref="AB51:AB52" si="32">AA51</f>
        <v>9500</v>
      </c>
      <c r="AG51" s="27"/>
    </row>
    <row r="52" ht="19.5" customHeight="1" outlineLevel="1">
      <c r="B52" s="61" t="s">
        <v>39</v>
      </c>
      <c r="C52" s="129">
        <f>'Аналитика'!$E$8/12</f>
        <v>10000</v>
      </c>
      <c r="D52" s="130">
        <v>10000.0</v>
      </c>
      <c r="E52" s="130">
        <v>10000.0</v>
      </c>
      <c r="F52" s="130">
        <v>10000.0</v>
      </c>
      <c r="G52" s="130">
        <v>10000.0</v>
      </c>
      <c r="H52" s="130">
        <v>10000.0</v>
      </c>
      <c r="I52" s="130">
        <v>10000.0</v>
      </c>
      <c r="J52" s="130">
        <v>10000.0</v>
      </c>
      <c r="K52" s="130">
        <v>10000.0</v>
      </c>
      <c r="L52" s="130">
        <v>10000.0</v>
      </c>
      <c r="M52" s="130">
        <v>10000.0</v>
      </c>
      <c r="N52" s="130">
        <v>10000.0</v>
      </c>
      <c r="O52" s="131">
        <f t="shared" si="31"/>
        <v>10000</v>
      </c>
      <c r="P52" s="130">
        <v>10000.0</v>
      </c>
      <c r="Q52" s="130">
        <v>10000.0</v>
      </c>
      <c r="R52" s="130">
        <v>10000.0</v>
      </c>
      <c r="S52" s="130">
        <v>10000.0</v>
      </c>
      <c r="T52" s="130">
        <v>10000.0</v>
      </c>
      <c r="U52" s="130">
        <v>10000.0</v>
      </c>
      <c r="V52" s="130">
        <v>10000.0</v>
      </c>
      <c r="W52" s="130">
        <v>10000.0</v>
      </c>
      <c r="X52" s="130">
        <v>10000.0</v>
      </c>
      <c r="Y52" s="130">
        <v>10000.0</v>
      </c>
      <c r="Z52" s="130">
        <v>10000.0</v>
      </c>
      <c r="AA52" s="130">
        <v>10000.0</v>
      </c>
      <c r="AB52" s="132">
        <f t="shared" si="32"/>
        <v>10000</v>
      </c>
      <c r="AG52" s="27"/>
    </row>
    <row r="53" ht="40.5" customHeight="1">
      <c r="AG53" s="27"/>
    </row>
    <row r="54" ht="36.0" customHeight="1">
      <c r="B54" s="39" t="s">
        <v>99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146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6"/>
      <c r="AD54" s="147" t="s">
        <v>100</v>
      </c>
      <c r="AF54" s="26" t="s">
        <v>9</v>
      </c>
      <c r="AG54" s="27" t="str">
        <f>IF(AF54="Нет", " ", "Чтобы распределить стоимость разработки на 2 года, нужно её поделить на 24 месяца")</f>
        <v> </v>
      </c>
    </row>
    <row r="55" ht="19.5" customHeight="1">
      <c r="B55" s="96"/>
      <c r="C55" s="97" t="s">
        <v>72</v>
      </c>
      <c r="D55" s="97" t="s">
        <v>73</v>
      </c>
      <c r="E55" s="97" t="s">
        <v>74</v>
      </c>
      <c r="F55" s="97" t="s">
        <v>75</v>
      </c>
      <c r="G55" s="98">
        <v>46143.0</v>
      </c>
      <c r="H55" s="97" t="s">
        <v>76</v>
      </c>
      <c r="I55" s="97" t="s">
        <v>77</v>
      </c>
      <c r="J55" s="97" t="s">
        <v>78</v>
      </c>
      <c r="K55" s="97" t="s">
        <v>79</v>
      </c>
      <c r="L55" s="97" t="s">
        <v>80</v>
      </c>
      <c r="M55" s="97" t="s">
        <v>81</v>
      </c>
      <c r="N55" s="97" t="s">
        <v>82</v>
      </c>
      <c r="O55" s="99">
        <v>2026.0</v>
      </c>
      <c r="P55" s="97" t="s">
        <v>83</v>
      </c>
      <c r="Q55" s="97" t="s">
        <v>84</v>
      </c>
      <c r="R55" s="97" t="s">
        <v>85</v>
      </c>
      <c r="S55" s="97" t="s">
        <v>86</v>
      </c>
      <c r="T55" s="98">
        <v>46508.0</v>
      </c>
      <c r="U55" s="97" t="s">
        <v>87</v>
      </c>
      <c r="V55" s="97" t="s">
        <v>88</v>
      </c>
      <c r="W55" s="97" t="s">
        <v>89</v>
      </c>
      <c r="X55" s="97" t="s">
        <v>90</v>
      </c>
      <c r="Y55" s="97" t="s">
        <v>91</v>
      </c>
      <c r="Z55" s="97" t="s">
        <v>92</v>
      </c>
      <c r="AA55" s="97" t="s">
        <v>93</v>
      </c>
      <c r="AB55" s="100">
        <v>2027.0</v>
      </c>
      <c r="AG55" s="27"/>
    </row>
    <row r="56" ht="9.75" customHeight="1">
      <c r="B56" s="106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6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6"/>
      <c r="AG56" s="27"/>
    </row>
    <row r="57" ht="19.5" customHeight="1">
      <c r="B57" s="75" t="s">
        <v>2</v>
      </c>
      <c r="C57" s="108">
        <f>'Аналитика'!$C$12/24</f>
        <v>333.3333333</v>
      </c>
      <c r="D57" s="109">
        <v>333.3333333333333</v>
      </c>
      <c r="E57" s="109">
        <v>333.3333333333333</v>
      </c>
      <c r="F57" s="109">
        <v>333.3333333333333</v>
      </c>
      <c r="G57" s="109">
        <v>333.3333333333333</v>
      </c>
      <c r="H57" s="109">
        <v>333.3333333333333</v>
      </c>
      <c r="I57" s="109">
        <v>333.3333333333333</v>
      </c>
      <c r="J57" s="109">
        <v>333.3333333333333</v>
      </c>
      <c r="K57" s="109">
        <v>333.3333333333333</v>
      </c>
      <c r="L57" s="109">
        <v>333.3333333333333</v>
      </c>
      <c r="M57" s="109">
        <v>333.3333333333333</v>
      </c>
      <c r="N57" s="109">
        <v>333.3333333333333</v>
      </c>
      <c r="O57" s="110">
        <f t="shared" ref="O57:O58" si="33">SUM(C57:N57)</f>
        <v>4000</v>
      </c>
      <c r="P57" s="109">
        <f>'Аналитика'!$C$12/24</f>
        <v>333.3333333</v>
      </c>
      <c r="Q57" s="109">
        <v>333.3333333333333</v>
      </c>
      <c r="R57" s="109">
        <v>333.3333333333333</v>
      </c>
      <c r="S57" s="109">
        <v>333.3333333333333</v>
      </c>
      <c r="T57" s="109">
        <v>333.3333333333333</v>
      </c>
      <c r="U57" s="109">
        <v>333.3333333333333</v>
      </c>
      <c r="V57" s="109">
        <v>333.3333333333333</v>
      </c>
      <c r="W57" s="109">
        <v>333.3333333333333</v>
      </c>
      <c r="X57" s="109">
        <v>333.3333333333333</v>
      </c>
      <c r="Y57" s="109">
        <v>333.3333333333333</v>
      </c>
      <c r="Z57" s="109">
        <v>333.3333333333333</v>
      </c>
      <c r="AA57" s="109">
        <v>333.3333333333333</v>
      </c>
      <c r="AB57" s="111">
        <f t="shared" ref="AB57:AB58" si="34">SUM(P57:AA57)</f>
        <v>4000</v>
      </c>
      <c r="AG57" s="27"/>
    </row>
    <row r="58" ht="19.5" customHeight="1">
      <c r="B58" s="75" t="s">
        <v>3</v>
      </c>
      <c r="C58" s="148">
        <f>'Аналитика'!$C$13/24</f>
        <v>250</v>
      </c>
      <c r="D58" s="149">
        <v>250.0</v>
      </c>
      <c r="E58" s="149">
        <v>250.0</v>
      </c>
      <c r="F58" s="149">
        <v>250.0</v>
      </c>
      <c r="G58" s="149">
        <v>250.0</v>
      </c>
      <c r="H58" s="149">
        <v>250.0</v>
      </c>
      <c r="I58" s="149">
        <v>250.0</v>
      </c>
      <c r="J58" s="149">
        <v>250.0</v>
      </c>
      <c r="K58" s="149">
        <v>250.0</v>
      </c>
      <c r="L58" s="149">
        <v>250.0</v>
      </c>
      <c r="M58" s="149">
        <v>250.0</v>
      </c>
      <c r="N58" s="149">
        <v>250.0</v>
      </c>
      <c r="O58" s="150">
        <f t="shared" si="33"/>
        <v>3000</v>
      </c>
      <c r="P58" s="149">
        <f>'Аналитика'!$C$13/24</f>
        <v>250</v>
      </c>
      <c r="Q58" s="149">
        <f>'Аналитика'!$C$13/24</f>
        <v>250</v>
      </c>
      <c r="R58" s="149">
        <f>'Аналитика'!$C$13/24</f>
        <v>250</v>
      </c>
      <c r="S58" s="149">
        <f>'Аналитика'!$C$13/24</f>
        <v>250</v>
      </c>
      <c r="T58" s="149">
        <f>'Аналитика'!$C$13/24</f>
        <v>250</v>
      </c>
      <c r="U58" s="149">
        <f>'Аналитика'!$C$13/24</f>
        <v>250</v>
      </c>
      <c r="V58" s="149">
        <f>'Аналитика'!$C$13/24</f>
        <v>250</v>
      </c>
      <c r="W58" s="149">
        <f>'Аналитика'!$C$13/24</f>
        <v>250</v>
      </c>
      <c r="X58" s="149">
        <f>'Аналитика'!$C$13/24</f>
        <v>250</v>
      </c>
      <c r="Y58" s="149">
        <f>'Аналитика'!$C$13/24</f>
        <v>250</v>
      </c>
      <c r="Z58" s="149">
        <f>'Аналитика'!$C$13/24</f>
        <v>250</v>
      </c>
      <c r="AA58" s="149">
        <f>'Аналитика'!$C$13/24</f>
        <v>250</v>
      </c>
      <c r="AB58" s="151">
        <f t="shared" si="34"/>
        <v>3000</v>
      </c>
      <c r="AG58" s="27"/>
    </row>
    <row r="59" ht="40.5" customHeight="1">
      <c r="AG59" s="27"/>
    </row>
    <row r="60" ht="36.0" customHeight="1">
      <c r="B60" s="39" t="s">
        <v>101</v>
      </c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104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6"/>
      <c r="AD60" s="147" t="s">
        <v>102</v>
      </c>
      <c r="AF60" s="26" t="s">
        <v>9</v>
      </c>
      <c r="AG60" s="27" t="str">
        <f>IF(AF60="Нет", " ", "Показатель рассчитывается по формуле (Оклад + ДМС + Страховые взносы) * Количество штатных единиц. Отпускные в расчёте не учитываются, так как оклады заложены без учёта отпусков.")</f>
        <v> </v>
      </c>
    </row>
    <row r="61" ht="19.5" customHeight="1">
      <c r="B61" s="96"/>
      <c r="C61" s="97" t="s">
        <v>72</v>
      </c>
      <c r="D61" s="97" t="s">
        <v>73</v>
      </c>
      <c r="E61" s="97" t="s">
        <v>74</v>
      </c>
      <c r="F61" s="97" t="s">
        <v>75</v>
      </c>
      <c r="G61" s="98">
        <v>46143.0</v>
      </c>
      <c r="H61" s="97" t="s">
        <v>76</v>
      </c>
      <c r="I61" s="97" t="s">
        <v>77</v>
      </c>
      <c r="J61" s="97" t="s">
        <v>78</v>
      </c>
      <c r="K61" s="97" t="s">
        <v>79</v>
      </c>
      <c r="L61" s="97" t="s">
        <v>80</v>
      </c>
      <c r="M61" s="97" t="s">
        <v>81</v>
      </c>
      <c r="N61" s="97" t="s">
        <v>82</v>
      </c>
      <c r="O61" s="99">
        <v>2026.0</v>
      </c>
      <c r="P61" s="97" t="s">
        <v>83</v>
      </c>
      <c r="Q61" s="97" t="s">
        <v>84</v>
      </c>
      <c r="R61" s="97" t="s">
        <v>85</v>
      </c>
      <c r="S61" s="97" t="s">
        <v>86</v>
      </c>
      <c r="T61" s="98">
        <v>46508.0</v>
      </c>
      <c r="U61" s="97" t="s">
        <v>87</v>
      </c>
      <c r="V61" s="97" t="s">
        <v>88</v>
      </c>
      <c r="W61" s="97" t="s">
        <v>89</v>
      </c>
      <c r="X61" s="97" t="s">
        <v>90</v>
      </c>
      <c r="Y61" s="97" t="s">
        <v>91</v>
      </c>
      <c r="Z61" s="97" t="s">
        <v>92</v>
      </c>
      <c r="AA61" s="97" t="s">
        <v>93</v>
      </c>
      <c r="AB61" s="100">
        <v>2027.0</v>
      </c>
      <c r="AG61" s="27"/>
    </row>
    <row r="62" ht="9.75" customHeight="1">
      <c r="B62" s="106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6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6"/>
      <c r="AG62" s="27"/>
    </row>
    <row r="63" ht="19.5" customHeight="1">
      <c r="B63" s="75" t="s">
        <v>2</v>
      </c>
      <c r="C63" s="108">
        <f t="shared" ref="C63:N63" si="35">SUM(C64:C68)</f>
        <v>504</v>
      </c>
      <c r="D63" s="109">
        <f t="shared" si="35"/>
        <v>504</v>
      </c>
      <c r="E63" s="109">
        <f t="shared" si="35"/>
        <v>504</v>
      </c>
      <c r="F63" s="109">
        <f t="shared" si="35"/>
        <v>504</v>
      </c>
      <c r="G63" s="109">
        <f t="shared" si="35"/>
        <v>504</v>
      </c>
      <c r="H63" s="109">
        <f t="shared" si="35"/>
        <v>504</v>
      </c>
      <c r="I63" s="109">
        <f t="shared" si="35"/>
        <v>504</v>
      </c>
      <c r="J63" s="109">
        <f t="shared" si="35"/>
        <v>504</v>
      </c>
      <c r="K63" s="109">
        <f t="shared" si="35"/>
        <v>504</v>
      </c>
      <c r="L63" s="109">
        <f t="shared" si="35"/>
        <v>504</v>
      </c>
      <c r="M63" s="109">
        <f t="shared" si="35"/>
        <v>504</v>
      </c>
      <c r="N63" s="109">
        <f t="shared" si="35"/>
        <v>504</v>
      </c>
      <c r="O63" s="110">
        <f t="shared" ref="O63:O74" si="38">SUM(C63:N63)</f>
        <v>6048</v>
      </c>
      <c r="P63" s="109">
        <f t="shared" ref="P63:AA63" si="36">SUM(P64:P68)</f>
        <v>543.52</v>
      </c>
      <c r="Q63" s="109">
        <f t="shared" si="36"/>
        <v>543.52</v>
      </c>
      <c r="R63" s="109">
        <f t="shared" si="36"/>
        <v>543.52</v>
      </c>
      <c r="S63" s="109">
        <f t="shared" si="36"/>
        <v>543.52</v>
      </c>
      <c r="T63" s="109">
        <f t="shared" si="36"/>
        <v>543.52</v>
      </c>
      <c r="U63" s="109">
        <f t="shared" si="36"/>
        <v>543.52</v>
      </c>
      <c r="V63" s="109">
        <f t="shared" si="36"/>
        <v>543.52</v>
      </c>
      <c r="W63" s="109">
        <f t="shared" si="36"/>
        <v>543.52</v>
      </c>
      <c r="X63" s="109">
        <f t="shared" si="36"/>
        <v>543.52</v>
      </c>
      <c r="Y63" s="109">
        <f t="shared" si="36"/>
        <v>543.52</v>
      </c>
      <c r="Z63" s="109">
        <f t="shared" si="36"/>
        <v>543.52</v>
      </c>
      <c r="AA63" s="109">
        <f t="shared" si="36"/>
        <v>543.52</v>
      </c>
      <c r="AB63" s="111">
        <f t="shared" ref="AB63:AB74" si="40">SUM(P63:AA63)</f>
        <v>6522.24</v>
      </c>
      <c r="AG63" s="27"/>
    </row>
    <row r="64" ht="19.5" customHeight="1" outlineLevel="1">
      <c r="B64" s="112" t="s">
        <v>64</v>
      </c>
      <c r="C64" s="113">
        <f t="shared" ref="C64:N64" si="37">(C80+C112+C144)*C96</f>
        <v>132</v>
      </c>
      <c r="D64" s="114">
        <f t="shared" si="37"/>
        <v>132</v>
      </c>
      <c r="E64" s="114">
        <f t="shared" si="37"/>
        <v>132</v>
      </c>
      <c r="F64" s="114">
        <f t="shared" si="37"/>
        <v>132</v>
      </c>
      <c r="G64" s="114">
        <f t="shared" si="37"/>
        <v>132</v>
      </c>
      <c r="H64" s="114">
        <f t="shared" si="37"/>
        <v>132</v>
      </c>
      <c r="I64" s="114">
        <f t="shared" si="37"/>
        <v>132</v>
      </c>
      <c r="J64" s="114">
        <f t="shared" si="37"/>
        <v>132</v>
      </c>
      <c r="K64" s="114">
        <f t="shared" si="37"/>
        <v>132</v>
      </c>
      <c r="L64" s="114">
        <f t="shared" si="37"/>
        <v>132</v>
      </c>
      <c r="M64" s="114">
        <f t="shared" si="37"/>
        <v>132</v>
      </c>
      <c r="N64" s="114">
        <f t="shared" si="37"/>
        <v>132</v>
      </c>
      <c r="O64" s="115">
        <f t="shared" si="38"/>
        <v>1584</v>
      </c>
      <c r="P64" s="114">
        <f t="shared" ref="P64:AA64" si="39">(P80+P112+P144)*P96</f>
        <v>142.4</v>
      </c>
      <c r="Q64" s="114">
        <f t="shared" si="39"/>
        <v>142.4</v>
      </c>
      <c r="R64" s="114">
        <f t="shared" si="39"/>
        <v>142.4</v>
      </c>
      <c r="S64" s="114">
        <f t="shared" si="39"/>
        <v>142.4</v>
      </c>
      <c r="T64" s="114">
        <f t="shared" si="39"/>
        <v>142.4</v>
      </c>
      <c r="U64" s="114">
        <f t="shared" si="39"/>
        <v>142.4</v>
      </c>
      <c r="V64" s="114">
        <f t="shared" si="39"/>
        <v>142.4</v>
      </c>
      <c r="W64" s="114">
        <f t="shared" si="39"/>
        <v>142.4</v>
      </c>
      <c r="X64" s="114">
        <f t="shared" si="39"/>
        <v>142.4</v>
      </c>
      <c r="Y64" s="114">
        <f t="shared" si="39"/>
        <v>142.4</v>
      </c>
      <c r="Z64" s="114">
        <f t="shared" si="39"/>
        <v>142.4</v>
      </c>
      <c r="AA64" s="114">
        <f t="shared" si="39"/>
        <v>142.4</v>
      </c>
      <c r="AB64" s="116">
        <f t="shared" si="40"/>
        <v>1708.8</v>
      </c>
      <c r="AG64" s="27"/>
    </row>
    <row r="65" ht="19.5" customHeight="1" outlineLevel="1">
      <c r="B65" s="117" t="s">
        <v>65</v>
      </c>
      <c r="C65" s="113">
        <f t="shared" ref="C65:N65" si="41">(C81+C113+C145)*C97</f>
        <v>80</v>
      </c>
      <c r="D65" s="114">
        <f t="shared" si="41"/>
        <v>80</v>
      </c>
      <c r="E65" s="114">
        <f t="shared" si="41"/>
        <v>80</v>
      </c>
      <c r="F65" s="114">
        <f t="shared" si="41"/>
        <v>80</v>
      </c>
      <c r="G65" s="114">
        <f t="shared" si="41"/>
        <v>80</v>
      </c>
      <c r="H65" s="114">
        <f t="shared" si="41"/>
        <v>80</v>
      </c>
      <c r="I65" s="114">
        <f t="shared" si="41"/>
        <v>80</v>
      </c>
      <c r="J65" s="114">
        <f t="shared" si="41"/>
        <v>80</v>
      </c>
      <c r="K65" s="114">
        <f t="shared" si="41"/>
        <v>80</v>
      </c>
      <c r="L65" s="114">
        <f t="shared" si="41"/>
        <v>80</v>
      </c>
      <c r="M65" s="114">
        <f t="shared" si="41"/>
        <v>80</v>
      </c>
      <c r="N65" s="114">
        <f t="shared" si="41"/>
        <v>80</v>
      </c>
      <c r="O65" s="115">
        <f t="shared" si="38"/>
        <v>960</v>
      </c>
      <c r="P65" s="114">
        <f t="shared" ref="P65:AA65" si="42">(P81+P113+P145)*P97</f>
        <v>86.24</v>
      </c>
      <c r="Q65" s="114">
        <f t="shared" si="42"/>
        <v>86.24</v>
      </c>
      <c r="R65" s="114">
        <f t="shared" si="42"/>
        <v>86.24</v>
      </c>
      <c r="S65" s="114">
        <f t="shared" si="42"/>
        <v>86.24</v>
      </c>
      <c r="T65" s="114">
        <f t="shared" si="42"/>
        <v>86.24</v>
      </c>
      <c r="U65" s="114">
        <f t="shared" si="42"/>
        <v>86.24</v>
      </c>
      <c r="V65" s="114">
        <f t="shared" si="42"/>
        <v>86.24</v>
      </c>
      <c r="W65" s="114">
        <f t="shared" si="42"/>
        <v>86.24</v>
      </c>
      <c r="X65" s="114">
        <f t="shared" si="42"/>
        <v>86.24</v>
      </c>
      <c r="Y65" s="114">
        <f t="shared" si="42"/>
        <v>86.24</v>
      </c>
      <c r="Z65" s="114">
        <f t="shared" si="42"/>
        <v>86.24</v>
      </c>
      <c r="AA65" s="114">
        <f t="shared" si="42"/>
        <v>86.24</v>
      </c>
      <c r="AB65" s="116">
        <f t="shared" si="40"/>
        <v>1034.88</v>
      </c>
      <c r="AG65" s="27"/>
    </row>
    <row r="66" ht="19.5" customHeight="1" outlineLevel="1">
      <c r="B66" s="117" t="s">
        <v>67</v>
      </c>
      <c r="C66" s="113">
        <f t="shared" ref="C66:N66" si="43">(C82+C114+C146)*C98</f>
        <v>80</v>
      </c>
      <c r="D66" s="114">
        <f t="shared" si="43"/>
        <v>80</v>
      </c>
      <c r="E66" s="114">
        <f t="shared" si="43"/>
        <v>80</v>
      </c>
      <c r="F66" s="114">
        <f t="shared" si="43"/>
        <v>80</v>
      </c>
      <c r="G66" s="114">
        <f t="shared" si="43"/>
        <v>80</v>
      </c>
      <c r="H66" s="114">
        <f t="shared" si="43"/>
        <v>80</v>
      </c>
      <c r="I66" s="114">
        <f t="shared" si="43"/>
        <v>80</v>
      </c>
      <c r="J66" s="114">
        <f t="shared" si="43"/>
        <v>80</v>
      </c>
      <c r="K66" s="114">
        <f t="shared" si="43"/>
        <v>80</v>
      </c>
      <c r="L66" s="114">
        <f t="shared" si="43"/>
        <v>80</v>
      </c>
      <c r="M66" s="114">
        <f t="shared" si="43"/>
        <v>80</v>
      </c>
      <c r="N66" s="114">
        <f t="shared" si="43"/>
        <v>80</v>
      </c>
      <c r="O66" s="115">
        <f t="shared" si="38"/>
        <v>960</v>
      </c>
      <c r="P66" s="114">
        <f t="shared" ref="P66:AA66" si="44">(P82+P114+P146)*P98</f>
        <v>86.24</v>
      </c>
      <c r="Q66" s="114">
        <f t="shared" si="44"/>
        <v>86.24</v>
      </c>
      <c r="R66" s="114">
        <f t="shared" si="44"/>
        <v>86.24</v>
      </c>
      <c r="S66" s="114">
        <f t="shared" si="44"/>
        <v>86.24</v>
      </c>
      <c r="T66" s="114">
        <f t="shared" si="44"/>
        <v>86.24</v>
      </c>
      <c r="U66" s="114">
        <f t="shared" si="44"/>
        <v>86.24</v>
      </c>
      <c r="V66" s="114">
        <f t="shared" si="44"/>
        <v>86.24</v>
      </c>
      <c r="W66" s="114">
        <f t="shared" si="44"/>
        <v>86.24</v>
      </c>
      <c r="X66" s="114">
        <f t="shared" si="44"/>
        <v>86.24</v>
      </c>
      <c r="Y66" s="114">
        <f t="shared" si="44"/>
        <v>86.24</v>
      </c>
      <c r="Z66" s="114">
        <f t="shared" si="44"/>
        <v>86.24</v>
      </c>
      <c r="AA66" s="114">
        <f t="shared" si="44"/>
        <v>86.24</v>
      </c>
      <c r="AB66" s="116">
        <f t="shared" si="40"/>
        <v>1034.88</v>
      </c>
      <c r="AG66" s="27"/>
    </row>
    <row r="67" ht="19.5" customHeight="1" outlineLevel="1">
      <c r="B67" s="117" t="s">
        <v>68</v>
      </c>
      <c r="C67" s="113">
        <f t="shared" ref="C67:N67" si="45">(C83+C115+C147)*C99</f>
        <v>106</v>
      </c>
      <c r="D67" s="114">
        <f t="shared" si="45"/>
        <v>106</v>
      </c>
      <c r="E67" s="114">
        <f t="shared" si="45"/>
        <v>106</v>
      </c>
      <c r="F67" s="114">
        <f t="shared" si="45"/>
        <v>106</v>
      </c>
      <c r="G67" s="114">
        <f t="shared" si="45"/>
        <v>106</v>
      </c>
      <c r="H67" s="114">
        <f t="shared" si="45"/>
        <v>106</v>
      </c>
      <c r="I67" s="114">
        <f t="shared" si="45"/>
        <v>106</v>
      </c>
      <c r="J67" s="114">
        <f t="shared" si="45"/>
        <v>106</v>
      </c>
      <c r="K67" s="114">
        <f t="shared" si="45"/>
        <v>106</v>
      </c>
      <c r="L67" s="114">
        <f t="shared" si="45"/>
        <v>106</v>
      </c>
      <c r="M67" s="114">
        <f t="shared" si="45"/>
        <v>106</v>
      </c>
      <c r="N67" s="114">
        <f t="shared" si="45"/>
        <v>106</v>
      </c>
      <c r="O67" s="115">
        <f t="shared" si="38"/>
        <v>1272</v>
      </c>
      <c r="P67" s="114">
        <f t="shared" ref="P67:AA67" si="46">(P83+P115+P147)*P99</f>
        <v>114.32</v>
      </c>
      <c r="Q67" s="114">
        <f t="shared" si="46"/>
        <v>114.32</v>
      </c>
      <c r="R67" s="114">
        <f t="shared" si="46"/>
        <v>114.32</v>
      </c>
      <c r="S67" s="114">
        <f t="shared" si="46"/>
        <v>114.32</v>
      </c>
      <c r="T67" s="114">
        <f t="shared" si="46"/>
        <v>114.32</v>
      </c>
      <c r="U67" s="114">
        <f t="shared" si="46"/>
        <v>114.32</v>
      </c>
      <c r="V67" s="114">
        <f t="shared" si="46"/>
        <v>114.32</v>
      </c>
      <c r="W67" s="114">
        <f t="shared" si="46"/>
        <v>114.32</v>
      </c>
      <c r="X67" s="114">
        <f t="shared" si="46"/>
        <v>114.32</v>
      </c>
      <c r="Y67" s="114">
        <f t="shared" si="46"/>
        <v>114.32</v>
      </c>
      <c r="Z67" s="114">
        <f t="shared" si="46"/>
        <v>114.32</v>
      </c>
      <c r="AA67" s="114">
        <f t="shared" si="46"/>
        <v>114.32</v>
      </c>
      <c r="AB67" s="116">
        <f t="shared" si="40"/>
        <v>1371.84</v>
      </c>
      <c r="AG67" s="27"/>
    </row>
    <row r="68" ht="19.5" customHeight="1" outlineLevel="1">
      <c r="B68" s="118" t="s">
        <v>58</v>
      </c>
      <c r="C68" s="113">
        <f t="shared" ref="C68:N68" si="47">(C84+C116+C148)*C100</f>
        <v>106</v>
      </c>
      <c r="D68" s="114">
        <f t="shared" si="47"/>
        <v>106</v>
      </c>
      <c r="E68" s="114">
        <f t="shared" si="47"/>
        <v>106</v>
      </c>
      <c r="F68" s="114">
        <f t="shared" si="47"/>
        <v>106</v>
      </c>
      <c r="G68" s="114">
        <f t="shared" si="47"/>
        <v>106</v>
      </c>
      <c r="H68" s="114">
        <f t="shared" si="47"/>
        <v>106</v>
      </c>
      <c r="I68" s="114">
        <f t="shared" si="47"/>
        <v>106</v>
      </c>
      <c r="J68" s="114">
        <f t="shared" si="47"/>
        <v>106</v>
      </c>
      <c r="K68" s="114">
        <f t="shared" si="47"/>
        <v>106</v>
      </c>
      <c r="L68" s="114">
        <f t="shared" si="47"/>
        <v>106</v>
      </c>
      <c r="M68" s="114">
        <f t="shared" si="47"/>
        <v>106</v>
      </c>
      <c r="N68" s="114">
        <f t="shared" si="47"/>
        <v>106</v>
      </c>
      <c r="O68" s="119">
        <f t="shared" si="38"/>
        <v>1272</v>
      </c>
      <c r="P68" s="114">
        <f t="shared" ref="P68:AA68" si="48">(P84+P116+P148)*P100</f>
        <v>114.32</v>
      </c>
      <c r="Q68" s="114">
        <f t="shared" si="48"/>
        <v>114.32</v>
      </c>
      <c r="R68" s="114">
        <f t="shared" si="48"/>
        <v>114.32</v>
      </c>
      <c r="S68" s="114">
        <f t="shared" si="48"/>
        <v>114.32</v>
      </c>
      <c r="T68" s="114">
        <f t="shared" si="48"/>
        <v>114.32</v>
      </c>
      <c r="U68" s="114">
        <f t="shared" si="48"/>
        <v>114.32</v>
      </c>
      <c r="V68" s="114">
        <f t="shared" si="48"/>
        <v>114.32</v>
      </c>
      <c r="W68" s="114">
        <f t="shared" si="48"/>
        <v>114.32</v>
      </c>
      <c r="X68" s="114">
        <f t="shared" si="48"/>
        <v>114.32</v>
      </c>
      <c r="Y68" s="114">
        <f t="shared" si="48"/>
        <v>114.32</v>
      </c>
      <c r="Z68" s="114">
        <f t="shared" si="48"/>
        <v>114.32</v>
      </c>
      <c r="AA68" s="114">
        <f t="shared" si="48"/>
        <v>114.32</v>
      </c>
      <c r="AB68" s="120">
        <f t="shared" si="40"/>
        <v>1371.84</v>
      </c>
      <c r="AG68" s="27"/>
    </row>
    <row r="69" ht="19.5" customHeight="1">
      <c r="B69" s="75" t="s">
        <v>3</v>
      </c>
      <c r="C69" s="121">
        <f t="shared" ref="C69:N69" si="49">SUM(C70:C73)</f>
        <v>463</v>
      </c>
      <c r="D69" s="122">
        <f t="shared" si="49"/>
        <v>595</v>
      </c>
      <c r="E69" s="122">
        <f t="shared" si="49"/>
        <v>595</v>
      </c>
      <c r="F69" s="122">
        <f t="shared" si="49"/>
        <v>727</v>
      </c>
      <c r="G69" s="122">
        <f t="shared" si="49"/>
        <v>859</v>
      </c>
      <c r="H69" s="122">
        <f t="shared" si="49"/>
        <v>991</v>
      </c>
      <c r="I69" s="122">
        <f t="shared" si="49"/>
        <v>991</v>
      </c>
      <c r="J69" s="122">
        <f t="shared" si="49"/>
        <v>1123</v>
      </c>
      <c r="K69" s="122">
        <f t="shared" si="49"/>
        <v>1255</v>
      </c>
      <c r="L69" s="122">
        <f t="shared" si="49"/>
        <v>1387</v>
      </c>
      <c r="M69" s="122">
        <f t="shared" si="49"/>
        <v>1387</v>
      </c>
      <c r="N69" s="122">
        <f t="shared" si="49"/>
        <v>1519</v>
      </c>
      <c r="O69" s="123">
        <f t="shared" si="38"/>
        <v>11892</v>
      </c>
      <c r="P69" s="122">
        <f t="shared" ref="P69:AA69" si="50">SUM(P70:P73)</f>
        <v>1638.6</v>
      </c>
      <c r="Q69" s="122">
        <f t="shared" si="50"/>
        <v>1781</v>
      </c>
      <c r="R69" s="122">
        <f t="shared" si="50"/>
        <v>1781</v>
      </c>
      <c r="S69" s="122">
        <f t="shared" si="50"/>
        <v>1781</v>
      </c>
      <c r="T69" s="122">
        <f t="shared" si="50"/>
        <v>1781</v>
      </c>
      <c r="U69" s="122">
        <f t="shared" si="50"/>
        <v>1781</v>
      </c>
      <c r="V69" s="122">
        <f t="shared" si="50"/>
        <v>1923.4</v>
      </c>
      <c r="W69" s="122">
        <f t="shared" si="50"/>
        <v>1923.4</v>
      </c>
      <c r="X69" s="122">
        <f t="shared" si="50"/>
        <v>1923.4</v>
      </c>
      <c r="Y69" s="122">
        <f t="shared" si="50"/>
        <v>1923.4</v>
      </c>
      <c r="Z69" s="122">
        <f t="shared" si="50"/>
        <v>1923.4</v>
      </c>
      <c r="AA69" s="122">
        <f t="shared" si="50"/>
        <v>2065.8</v>
      </c>
      <c r="AB69" s="124">
        <f t="shared" si="40"/>
        <v>22226.4</v>
      </c>
      <c r="AG69" s="27"/>
    </row>
    <row r="70" ht="19.5" customHeight="1" outlineLevel="1">
      <c r="B70" s="48" t="s">
        <v>64</v>
      </c>
      <c r="C70" s="125">
        <f t="shared" ref="C70:C74" si="53">(C86+C118+C150)*C102</f>
        <v>132</v>
      </c>
      <c r="D70" s="126">
        <f t="shared" ref="D70:N70" si="51">(D86+D112+D150)*D102</f>
        <v>132</v>
      </c>
      <c r="E70" s="126">
        <f t="shared" si="51"/>
        <v>132</v>
      </c>
      <c r="F70" s="126">
        <f t="shared" si="51"/>
        <v>132</v>
      </c>
      <c r="G70" s="126">
        <f t="shared" si="51"/>
        <v>132</v>
      </c>
      <c r="H70" s="126">
        <f t="shared" si="51"/>
        <v>132</v>
      </c>
      <c r="I70" s="126">
        <f t="shared" si="51"/>
        <v>132</v>
      </c>
      <c r="J70" s="126">
        <f t="shared" si="51"/>
        <v>132</v>
      </c>
      <c r="K70" s="126">
        <f t="shared" si="51"/>
        <v>132</v>
      </c>
      <c r="L70" s="126">
        <f t="shared" si="51"/>
        <v>132</v>
      </c>
      <c r="M70" s="126">
        <f t="shared" si="51"/>
        <v>132</v>
      </c>
      <c r="N70" s="126">
        <f t="shared" si="51"/>
        <v>132</v>
      </c>
      <c r="O70" s="127">
        <f t="shared" si="38"/>
        <v>1584</v>
      </c>
      <c r="P70" s="126">
        <f t="shared" ref="P70:AA70" si="52">(P86+P118+P150)*P102</f>
        <v>142.4</v>
      </c>
      <c r="Q70" s="126">
        <f t="shared" si="52"/>
        <v>142.4</v>
      </c>
      <c r="R70" s="126">
        <f t="shared" si="52"/>
        <v>142.4</v>
      </c>
      <c r="S70" s="126">
        <f t="shared" si="52"/>
        <v>142.4</v>
      </c>
      <c r="T70" s="126">
        <f t="shared" si="52"/>
        <v>142.4</v>
      </c>
      <c r="U70" s="126">
        <f t="shared" si="52"/>
        <v>142.4</v>
      </c>
      <c r="V70" s="126">
        <f t="shared" si="52"/>
        <v>142.4</v>
      </c>
      <c r="W70" s="126">
        <f t="shared" si="52"/>
        <v>142.4</v>
      </c>
      <c r="X70" s="126">
        <f t="shared" si="52"/>
        <v>142.4</v>
      </c>
      <c r="Y70" s="126">
        <f t="shared" si="52"/>
        <v>142.4</v>
      </c>
      <c r="Z70" s="126">
        <f t="shared" si="52"/>
        <v>142.4</v>
      </c>
      <c r="AA70" s="126">
        <f t="shared" si="52"/>
        <v>142.4</v>
      </c>
      <c r="AB70" s="128">
        <f t="shared" si="40"/>
        <v>1708.8</v>
      </c>
      <c r="AG70" s="27"/>
    </row>
    <row r="71" ht="19.5" customHeight="1" outlineLevel="1">
      <c r="B71" s="54" t="s">
        <v>66</v>
      </c>
      <c r="C71" s="125">
        <f t="shared" si="53"/>
        <v>132</v>
      </c>
      <c r="D71" s="126">
        <f t="shared" ref="D71:N71" si="54">(D87+D119+D151)*D103</f>
        <v>264</v>
      </c>
      <c r="E71" s="126">
        <f t="shared" si="54"/>
        <v>264</v>
      </c>
      <c r="F71" s="126">
        <f t="shared" si="54"/>
        <v>396</v>
      </c>
      <c r="G71" s="126">
        <f t="shared" si="54"/>
        <v>528</v>
      </c>
      <c r="H71" s="126">
        <f t="shared" si="54"/>
        <v>660</v>
      </c>
      <c r="I71" s="126">
        <f t="shared" si="54"/>
        <v>660</v>
      </c>
      <c r="J71" s="126">
        <f t="shared" si="54"/>
        <v>792</v>
      </c>
      <c r="K71" s="126">
        <f t="shared" si="54"/>
        <v>924</v>
      </c>
      <c r="L71" s="126">
        <f t="shared" si="54"/>
        <v>1056</v>
      </c>
      <c r="M71" s="126">
        <f t="shared" si="54"/>
        <v>1056</v>
      </c>
      <c r="N71" s="126">
        <f t="shared" si="54"/>
        <v>1188</v>
      </c>
      <c r="O71" s="115">
        <f t="shared" si="38"/>
        <v>7920</v>
      </c>
      <c r="P71" s="126">
        <f t="shared" ref="P71:AA71" si="55">(P87+P119+P151)*P103</f>
        <v>1281.6</v>
      </c>
      <c r="Q71" s="126">
        <f t="shared" si="55"/>
        <v>1424</v>
      </c>
      <c r="R71" s="126">
        <f t="shared" si="55"/>
        <v>1424</v>
      </c>
      <c r="S71" s="126">
        <f t="shared" si="55"/>
        <v>1424</v>
      </c>
      <c r="T71" s="126">
        <f t="shared" si="55"/>
        <v>1424</v>
      </c>
      <c r="U71" s="126">
        <f t="shared" si="55"/>
        <v>1424</v>
      </c>
      <c r="V71" s="126">
        <f t="shared" si="55"/>
        <v>1566.4</v>
      </c>
      <c r="W71" s="126">
        <f t="shared" si="55"/>
        <v>1566.4</v>
      </c>
      <c r="X71" s="126">
        <f t="shared" si="55"/>
        <v>1566.4</v>
      </c>
      <c r="Y71" s="126">
        <f t="shared" si="55"/>
        <v>1566.4</v>
      </c>
      <c r="Z71" s="126">
        <f t="shared" si="55"/>
        <v>1566.4</v>
      </c>
      <c r="AA71" s="126">
        <f t="shared" si="55"/>
        <v>1708.8</v>
      </c>
      <c r="AB71" s="116">
        <f t="shared" si="40"/>
        <v>17942.4</v>
      </c>
      <c r="AG71" s="27"/>
    </row>
    <row r="72" ht="19.5" customHeight="1" outlineLevel="1">
      <c r="B72" s="54" t="s">
        <v>67</v>
      </c>
      <c r="C72" s="125">
        <f t="shared" si="53"/>
        <v>93</v>
      </c>
      <c r="D72" s="126">
        <f t="shared" ref="D72:N72" si="56">(D88+D120+D152)*D104</f>
        <v>93</v>
      </c>
      <c r="E72" s="126">
        <f t="shared" si="56"/>
        <v>93</v>
      </c>
      <c r="F72" s="126">
        <f t="shared" si="56"/>
        <v>93</v>
      </c>
      <c r="G72" s="126">
        <f t="shared" si="56"/>
        <v>93</v>
      </c>
      <c r="H72" s="126">
        <f t="shared" si="56"/>
        <v>93</v>
      </c>
      <c r="I72" s="126">
        <f t="shared" si="56"/>
        <v>93</v>
      </c>
      <c r="J72" s="126">
        <f t="shared" si="56"/>
        <v>93</v>
      </c>
      <c r="K72" s="126">
        <f t="shared" si="56"/>
        <v>93</v>
      </c>
      <c r="L72" s="126">
        <f t="shared" si="56"/>
        <v>93</v>
      </c>
      <c r="M72" s="126">
        <f t="shared" si="56"/>
        <v>93</v>
      </c>
      <c r="N72" s="126">
        <f t="shared" si="56"/>
        <v>93</v>
      </c>
      <c r="O72" s="115">
        <f t="shared" si="38"/>
        <v>1116</v>
      </c>
      <c r="P72" s="126">
        <f t="shared" ref="P72:AA72" si="57">(P88+P120+P152)*P104</f>
        <v>100.28</v>
      </c>
      <c r="Q72" s="126">
        <f t="shared" si="57"/>
        <v>100.28</v>
      </c>
      <c r="R72" s="126">
        <f t="shared" si="57"/>
        <v>100.28</v>
      </c>
      <c r="S72" s="126">
        <f t="shared" si="57"/>
        <v>100.28</v>
      </c>
      <c r="T72" s="126">
        <f t="shared" si="57"/>
        <v>100.28</v>
      </c>
      <c r="U72" s="126">
        <f t="shared" si="57"/>
        <v>100.28</v>
      </c>
      <c r="V72" s="126">
        <f t="shared" si="57"/>
        <v>100.28</v>
      </c>
      <c r="W72" s="126">
        <f t="shared" si="57"/>
        <v>100.28</v>
      </c>
      <c r="X72" s="126">
        <f t="shared" si="57"/>
        <v>100.28</v>
      </c>
      <c r="Y72" s="126">
        <f t="shared" si="57"/>
        <v>100.28</v>
      </c>
      <c r="Z72" s="126">
        <f t="shared" si="57"/>
        <v>100.28</v>
      </c>
      <c r="AA72" s="126">
        <f t="shared" si="57"/>
        <v>100.28</v>
      </c>
      <c r="AB72" s="116">
        <f t="shared" si="40"/>
        <v>1203.36</v>
      </c>
      <c r="AG72" s="27"/>
    </row>
    <row r="73" ht="19.5" customHeight="1" outlineLevel="1">
      <c r="B73" s="54" t="s">
        <v>58</v>
      </c>
      <c r="C73" s="125">
        <f t="shared" si="53"/>
        <v>106</v>
      </c>
      <c r="D73" s="126">
        <f t="shared" ref="D73:N73" si="58">(D89+D121+D153)*D105</f>
        <v>106</v>
      </c>
      <c r="E73" s="126">
        <f t="shared" si="58"/>
        <v>106</v>
      </c>
      <c r="F73" s="126">
        <f t="shared" si="58"/>
        <v>106</v>
      </c>
      <c r="G73" s="126">
        <f t="shared" si="58"/>
        <v>106</v>
      </c>
      <c r="H73" s="126">
        <f t="shared" si="58"/>
        <v>106</v>
      </c>
      <c r="I73" s="126">
        <f t="shared" si="58"/>
        <v>106</v>
      </c>
      <c r="J73" s="126">
        <f t="shared" si="58"/>
        <v>106</v>
      </c>
      <c r="K73" s="126">
        <f t="shared" si="58"/>
        <v>106</v>
      </c>
      <c r="L73" s="126">
        <f t="shared" si="58"/>
        <v>106</v>
      </c>
      <c r="M73" s="126">
        <f t="shared" si="58"/>
        <v>106</v>
      </c>
      <c r="N73" s="126">
        <f t="shared" si="58"/>
        <v>106</v>
      </c>
      <c r="O73" s="115">
        <f t="shared" si="38"/>
        <v>1272</v>
      </c>
      <c r="P73" s="126">
        <f t="shared" ref="P73:AA73" si="59">(P89+P121+P153)*P105</f>
        <v>114.32</v>
      </c>
      <c r="Q73" s="126">
        <f t="shared" si="59"/>
        <v>114.32</v>
      </c>
      <c r="R73" s="126">
        <f t="shared" si="59"/>
        <v>114.32</v>
      </c>
      <c r="S73" s="126">
        <f t="shared" si="59"/>
        <v>114.32</v>
      </c>
      <c r="T73" s="126">
        <f t="shared" si="59"/>
        <v>114.32</v>
      </c>
      <c r="U73" s="126">
        <f t="shared" si="59"/>
        <v>114.32</v>
      </c>
      <c r="V73" s="126">
        <f t="shared" si="59"/>
        <v>114.32</v>
      </c>
      <c r="W73" s="126">
        <f t="shared" si="59"/>
        <v>114.32</v>
      </c>
      <c r="X73" s="126">
        <f t="shared" si="59"/>
        <v>114.32</v>
      </c>
      <c r="Y73" s="126">
        <f t="shared" si="59"/>
        <v>114.32</v>
      </c>
      <c r="Z73" s="126">
        <f t="shared" si="59"/>
        <v>114.32</v>
      </c>
      <c r="AA73" s="126">
        <f t="shared" si="59"/>
        <v>114.32</v>
      </c>
      <c r="AB73" s="116">
        <f t="shared" si="40"/>
        <v>1371.84</v>
      </c>
      <c r="AG73" s="27"/>
    </row>
    <row r="74" ht="19.5" customHeight="1">
      <c r="B74" s="75" t="s">
        <v>103</v>
      </c>
      <c r="C74" s="148">
        <f t="shared" si="53"/>
        <v>54</v>
      </c>
      <c r="D74" s="149">
        <v>54.0</v>
      </c>
      <c r="E74" s="149">
        <v>54.0</v>
      </c>
      <c r="F74" s="149">
        <v>54.0</v>
      </c>
      <c r="G74" s="149">
        <v>54.0</v>
      </c>
      <c r="H74" s="149">
        <v>54.0</v>
      </c>
      <c r="I74" s="149">
        <v>54.0</v>
      </c>
      <c r="J74" s="149">
        <v>54.0</v>
      </c>
      <c r="K74" s="149">
        <v>54.0</v>
      </c>
      <c r="L74" s="149">
        <v>54.0</v>
      </c>
      <c r="M74" s="149">
        <v>54.0</v>
      </c>
      <c r="N74" s="149">
        <v>54.0</v>
      </c>
      <c r="O74" s="150">
        <f t="shared" si="38"/>
        <v>648</v>
      </c>
      <c r="P74" s="149">
        <f t="shared" ref="P74:AA74" si="60">(P90+P122+P154)*P106</f>
        <v>58.16</v>
      </c>
      <c r="Q74" s="149">
        <f t="shared" si="60"/>
        <v>58.16</v>
      </c>
      <c r="R74" s="149">
        <f t="shared" si="60"/>
        <v>58.16</v>
      </c>
      <c r="S74" s="149">
        <f t="shared" si="60"/>
        <v>58.16</v>
      </c>
      <c r="T74" s="149">
        <f t="shared" si="60"/>
        <v>58.16</v>
      </c>
      <c r="U74" s="149">
        <f t="shared" si="60"/>
        <v>58.16</v>
      </c>
      <c r="V74" s="149">
        <f t="shared" si="60"/>
        <v>58.16</v>
      </c>
      <c r="W74" s="149">
        <f t="shared" si="60"/>
        <v>58.16</v>
      </c>
      <c r="X74" s="149">
        <f t="shared" si="60"/>
        <v>58.16</v>
      </c>
      <c r="Y74" s="149">
        <f t="shared" si="60"/>
        <v>58.16</v>
      </c>
      <c r="Z74" s="149">
        <f t="shared" si="60"/>
        <v>58.16</v>
      </c>
      <c r="AA74" s="149">
        <f t="shared" si="60"/>
        <v>58.16</v>
      </c>
      <c r="AB74" s="151">
        <f t="shared" si="40"/>
        <v>697.92</v>
      </c>
      <c r="AG74" s="27"/>
    </row>
    <row r="75" ht="19.5" customHeight="1">
      <c r="AG75" s="27"/>
    </row>
    <row r="76" ht="19.5" customHeight="1">
      <c r="B76" s="134" t="s">
        <v>104</v>
      </c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6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8"/>
      <c r="AF76" s="26" t="s">
        <v>9</v>
      </c>
      <c r="AG76" s="27" t="str">
        <f>IF(AF76="Нет", " ", "Оклады занесите из листа Аналитика, в 2027 году учтите ежегодную индексацию")</f>
        <v> </v>
      </c>
    </row>
    <row r="77" ht="19.5" customHeight="1">
      <c r="B77" s="96"/>
      <c r="C77" s="97" t="s">
        <v>72</v>
      </c>
      <c r="D77" s="97" t="s">
        <v>73</v>
      </c>
      <c r="E77" s="97" t="s">
        <v>74</v>
      </c>
      <c r="F77" s="97" t="s">
        <v>75</v>
      </c>
      <c r="G77" s="98">
        <v>46143.0</v>
      </c>
      <c r="H77" s="97" t="s">
        <v>76</v>
      </c>
      <c r="I77" s="97" t="s">
        <v>77</v>
      </c>
      <c r="J77" s="97" t="s">
        <v>78</v>
      </c>
      <c r="K77" s="97" t="s">
        <v>79</v>
      </c>
      <c r="L77" s="97" t="s">
        <v>80</v>
      </c>
      <c r="M77" s="97" t="s">
        <v>81</v>
      </c>
      <c r="N77" s="97" t="s">
        <v>82</v>
      </c>
      <c r="O77" s="99">
        <v>2026.0</v>
      </c>
      <c r="P77" s="97" t="s">
        <v>83</v>
      </c>
      <c r="Q77" s="97" t="s">
        <v>84</v>
      </c>
      <c r="R77" s="97" t="s">
        <v>85</v>
      </c>
      <c r="S77" s="97" t="s">
        <v>86</v>
      </c>
      <c r="T77" s="98">
        <v>46508.0</v>
      </c>
      <c r="U77" s="97" t="s">
        <v>87</v>
      </c>
      <c r="V77" s="97" t="s">
        <v>88</v>
      </c>
      <c r="W77" s="97" t="s">
        <v>89</v>
      </c>
      <c r="X77" s="97" t="s">
        <v>90</v>
      </c>
      <c r="Y77" s="97" t="s">
        <v>91</v>
      </c>
      <c r="Z77" s="97" t="s">
        <v>92</v>
      </c>
      <c r="AA77" s="97" t="s">
        <v>93</v>
      </c>
      <c r="AB77" s="100">
        <v>2027.0</v>
      </c>
      <c r="AG77" s="27"/>
    </row>
    <row r="78" ht="9.75" customHeight="1">
      <c r="B78" s="106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6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6"/>
      <c r="AG78" s="27"/>
    </row>
    <row r="79" ht="19.5" customHeight="1">
      <c r="B79" s="75" t="s">
        <v>2</v>
      </c>
      <c r="C79" s="108">
        <f t="shared" ref="C79:N79" si="61">SUM(C80:C84)</f>
        <v>380</v>
      </c>
      <c r="D79" s="109">
        <f t="shared" si="61"/>
        <v>380</v>
      </c>
      <c r="E79" s="109">
        <f t="shared" si="61"/>
        <v>380</v>
      </c>
      <c r="F79" s="109">
        <f t="shared" si="61"/>
        <v>380</v>
      </c>
      <c r="G79" s="109">
        <f t="shared" si="61"/>
        <v>380</v>
      </c>
      <c r="H79" s="109">
        <f t="shared" si="61"/>
        <v>380</v>
      </c>
      <c r="I79" s="109">
        <f t="shared" si="61"/>
        <v>380</v>
      </c>
      <c r="J79" s="109">
        <f t="shared" si="61"/>
        <v>380</v>
      </c>
      <c r="K79" s="109">
        <f t="shared" si="61"/>
        <v>380</v>
      </c>
      <c r="L79" s="109">
        <f t="shared" si="61"/>
        <v>380</v>
      </c>
      <c r="M79" s="109">
        <f t="shared" si="61"/>
        <v>380</v>
      </c>
      <c r="N79" s="109">
        <f t="shared" si="61"/>
        <v>380</v>
      </c>
      <c r="O79" s="110">
        <f t="shared" ref="O79:O90" si="63">SUM(C79:N79)</f>
        <v>4560</v>
      </c>
      <c r="P79" s="109">
        <f t="shared" ref="P79:AA79" si="62">SUM(P80:P84)</f>
        <v>410.4</v>
      </c>
      <c r="Q79" s="109">
        <f t="shared" si="62"/>
        <v>410.4</v>
      </c>
      <c r="R79" s="109">
        <f t="shared" si="62"/>
        <v>410.4</v>
      </c>
      <c r="S79" s="109">
        <f t="shared" si="62"/>
        <v>410.4</v>
      </c>
      <c r="T79" s="109">
        <f t="shared" si="62"/>
        <v>410.4</v>
      </c>
      <c r="U79" s="109">
        <f t="shared" si="62"/>
        <v>410.4</v>
      </c>
      <c r="V79" s="109">
        <f t="shared" si="62"/>
        <v>410.4</v>
      </c>
      <c r="W79" s="109">
        <f t="shared" si="62"/>
        <v>410.4</v>
      </c>
      <c r="X79" s="109">
        <f t="shared" si="62"/>
        <v>410.4</v>
      </c>
      <c r="Y79" s="109">
        <f t="shared" si="62"/>
        <v>410.4</v>
      </c>
      <c r="Z79" s="109">
        <f t="shared" si="62"/>
        <v>410.4</v>
      </c>
      <c r="AA79" s="109">
        <f t="shared" si="62"/>
        <v>410.4</v>
      </c>
      <c r="AB79" s="111">
        <f t="shared" ref="AB79:AB90" si="64">SUM(P79:AA79)</f>
        <v>4924.8</v>
      </c>
      <c r="AG79" s="27"/>
    </row>
    <row r="80" ht="19.5" customHeight="1" outlineLevel="1">
      <c r="B80" s="112" t="s">
        <v>64</v>
      </c>
      <c r="C80" s="113">
        <f>'Аналитика'!C26</f>
        <v>100</v>
      </c>
      <c r="D80" s="114">
        <v>100.0</v>
      </c>
      <c r="E80" s="114">
        <v>100.0</v>
      </c>
      <c r="F80" s="114">
        <v>100.0</v>
      </c>
      <c r="G80" s="114">
        <v>100.0</v>
      </c>
      <c r="H80" s="114">
        <v>100.0</v>
      </c>
      <c r="I80" s="114">
        <v>100.0</v>
      </c>
      <c r="J80" s="114">
        <v>100.0</v>
      </c>
      <c r="K80" s="114">
        <v>100.0</v>
      </c>
      <c r="L80" s="114">
        <v>100.0</v>
      </c>
      <c r="M80" s="114">
        <v>100.0</v>
      </c>
      <c r="N80" s="114">
        <v>100.0</v>
      </c>
      <c r="O80" s="115">
        <f t="shared" si="63"/>
        <v>1200</v>
      </c>
      <c r="P80" s="114">
        <f>C80*(1+'Аналитика'!$M$3)</f>
        <v>108</v>
      </c>
      <c r="Q80" s="114">
        <f>D80*(1+'Аналитика'!$M$3)</f>
        <v>108</v>
      </c>
      <c r="R80" s="114">
        <f>E80*(1+'Аналитика'!$M$3)</f>
        <v>108</v>
      </c>
      <c r="S80" s="114">
        <f>F80*(1+'Аналитика'!$M$3)</f>
        <v>108</v>
      </c>
      <c r="T80" s="114">
        <f>G80*(1+'Аналитика'!$M$3)</f>
        <v>108</v>
      </c>
      <c r="U80" s="114">
        <f>H80*(1+'Аналитика'!$M$3)</f>
        <v>108</v>
      </c>
      <c r="V80" s="114">
        <f>I80*(1+'Аналитика'!$M$3)</f>
        <v>108</v>
      </c>
      <c r="W80" s="114">
        <f>J80*(1+'Аналитика'!$M$3)</f>
        <v>108</v>
      </c>
      <c r="X80" s="114">
        <f>K80*(1+'Аналитика'!$M$3)</f>
        <v>108</v>
      </c>
      <c r="Y80" s="114">
        <f>L80*(1+'Аналитика'!$M$3)</f>
        <v>108</v>
      </c>
      <c r="Z80" s="114">
        <f>M80*(1+'Аналитика'!$M$3)</f>
        <v>108</v>
      </c>
      <c r="AA80" s="114">
        <f>N80*(1+'Аналитика'!$M$3)</f>
        <v>108</v>
      </c>
      <c r="AB80" s="116">
        <f t="shared" si="64"/>
        <v>1296</v>
      </c>
      <c r="AG80" s="27"/>
    </row>
    <row r="81" ht="19.5" customHeight="1" outlineLevel="1">
      <c r="B81" s="117" t="s">
        <v>65</v>
      </c>
      <c r="C81" s="113">
        <f>'Аналитика'!C27</f>
        <v>60</v>
      </c>
      <c r="D81" s="114">
        <v>60.0</v>
      </c>
      <c r="E81" s="114">
        <v>60.0</v>
      </c>
      <c r="F81" s="114">
        <v>60.0</v>
      </c>
      <c r="G81" s="114">
        <v>60.0</v>
      </c>
      <c r="H81" s="114">
        <v>60.0</v>
      </c>
      <c r="I81" s="114">
        <v>60.0</v>
      </c>
      <c r="J81" s="114">
        <v>60.0</v>
      </c>
      <c r="K81" s="114">
        <v>60.0</v>
      </c>
      <c r="L81" s="114">
        <v>60.0</v>
      </c>
      <c r="M81" s="114">
        <v>60.0</v>
      </c>
      <c r="N81" s="114">
        <v>60.0</v>
      </c>
      <c r="O81" s="115">
        <f t="shared" si="63"/>
        <v>720</v>
      </c>
      <c r="P81" s="114">
        <f>C81*(1+'Аналитика'!$M$3)</f>
        <v>64.8</v>
      </c>
      <c r="Q81" s="114">
        <f>D81*(1+'Аналитика'!$M$3)</f>
        <v>64.8</v>
      </c>
      <c r="R81" s="114">
        <f>E81*(1+'Аналитика'!$M$3)</f>
        <v>64.8</v>
      </c>
      <c r="S81" s="114">
        <f>F81*(1+'Аналитика'!$M$3)</f>
        <v>64.8</v>
      </c>
      <c r="T81" s="114">
        <f>G81*(1+'Аналитика'!$M$3)</f>
        <v>64.8</v>
      </c>
      <c r="U81" s="114">
        <f>H81*(1+'Аналитика'!$M$3)</f>
        <v>64.8</v>
      </c>
      <c r="V81" s="114">
        <f>I81*(1+'Аналитика'!$M$3)</f>
        <v>64.8</v>
      </c>
      <c r="W81" s="114">
        <f>J81*(1+'Аналитика'!$M$3)</f>
        <v>64.8</v>
      </c>
      <c r="X81" s="114">
        <f>K81*(1+'Аналитика'!$M$3)</f>
        <v>64.8</v>
      </c>
      <c r="Y81" s="114">
        <f>L81*(1+'Аналитика'!$M$3)</f>
        <v>64.8</v>
      </c>
      <c r="Z81" s="114">
        <f>M81*(1+'Аналитика'!$M$3)</f>
        <v>64.8</v>
      </c>
      <c r="AA81" s="114">
        <f>N81*(1+'Аналитика'!$M$3)</f>
        <v>64.8</v>
      </c>
      <c r="AB81" s="116">
        <f t="shared" si="64"/>
        <v>777.6</v>
      </c>
      <c r="AG81" s="27"/>
    </row>
    <row r="82" ht="19.5" customHeight="1" outlineLevel="1">
      <c r="B82" s="117" t="s">
        <v>67</v>
      </c>
      <c r="C82" s="113">
        <f>'Аналитика'!C28</f>
        <v>60</v>
      </c>
      <c r="D82" s="114">
        <v>60.0</v>
      </c>
      <c r="E82" s="114">
        <v>60.0</v>
      </c>
      <c r="F82" s="114">
        <v>60.0</v>
      </c>
      <c r="G82" s="114">
        <v>60.0</v>
      </c>
      <c r="H82" s="114">
        <v>60.0</v>
      </c>
      <c r="I82" s="114">
        <v>60.0</v>
      </c>
      <c r="J82" s="114">
        <v>60.0</v>
      </c>
      <c r="K82" s="114">
        <v>60.0</v>
      </c>
      <c r="L82" s="114">
        <v>60.0</v>
      </c>
      <c r="M82" s="114">
        <v>60.0</v>
      </c>
      <c r="N82" s="114">
        <v>60.0</v>
      </c>
      <c r="O82" s="115">
        <f t="shared" si="63"/>
        <v>720</v>
      </c>
      <c r="P82" s="114">
        <f>C82*(1+'Аналитика'!$M$3)</f>
        <v>64.8</v>
      </c>
      <c r="Q82" s="114">
        <f>D82*(1+'Аналитика'!$M$3)</f>
        <v>64.8</v>
      </c>
      <c r="R82" s="114">
        <f>E82*(1+'Аналитика'!$M$3)</f>
        <v>64.8</v>
      </c>
      <c r="S82" s="114">
        <f>F82*(1+'Аналитика'!$M$3)</f>
        <v>64.8</v>
      </c>
      <c r="T82" s="114">
        <f>G82*(1+'Аналитика'!$M$3)</f>
        <v>64.8</v>
      </c>
      <c r="U82" s="114">
        <f>H82*(1+'Аналитика'!$M$3)</f>
        <v>64.8</v>
      </c>
      <c r="V82" s="114">
        <f>I82*(1+'Аналитика'!$M$3)</f>
        <v>64.8</v>
      </c>
      <c r="W82" s="114">
        <f>J82*(1+'Аналитика'!$M$3)</f>
        <v>64.8</v>
      </c>
      <c r="X82" s="114">
        <f>K82*(1+'Аналитика'!$M$3)</f>
        <v>64.8</v>
      </c>
      <c r="Y82" s="114">
        <f>L82*(1+'Аналитика'!$M$3)</f>
        <v>64.8</v>
      </c>
      <c r="Z82" s="114">
        <f>M82*(1+'Аналитика'!$M$3)</f>
        <v>64.8</v>
      </c>
      <c r="AA82" s="114">
        <f>N82*(1+'Аналитика'!$M$3)</f>
        <v>64.8</v>
      </c>
      <c r="AB82" s="116">
        <f t="shared" si="64"/>
        <v>777.6</v>
      </c>
      <c r="AG82" s="27"/>
    </row>
    <row r="83" ht="19.5" customHeight="1" outlineLevel="1">
      <c r="B83" s="117" t="s">
        <v>68</v>
      </c>
      <c r="C83" s="113">
        <f>'Аналитика'!C29</f>
        <v>80</v>
      </c>
      <c r="D83" s="114">
        <v>80.0</v>
      </c>
      <c r="E83" s="114">
        <v>80.0</v>
      </c>
      <c r="F83" s="114">
        <v>80.0</v>
      </c>
      <c r="G83" s="114">
        <v>80.0</v>
      </c>
      <c r="H83" s="114">
        <v>80.0</v>
      </c>
      <c r="I83" s="114">
        <v>80.0</v>
      </c>
      <c r="J83" s="114">
        <v>80.0</v>
      </c>
      <c r="K83" s="114">
        <v>80.0</v>
      </c>
      <c r="L83" s="114">
        <v>80.0</v>
      </c>
      <c r="M83" s="114">
        <v>80.0</v>
      </c>
      <c r="N83" s="114">
        <v>80.0</v>
      </c>
      <c r="O83" s="115">
        <f t="shared" si="63"/>
        <v>960</v>
      </c>
      <c r="P83" s="114">
        <f>C83*(1+'Аналитика'!$M$3)</f>
        <v>86.4</v>
      </c>
      <c r="Q83" s="114">
        <f>D83*(1+'Аналитика'!$M$3)</f>
        <v>86.4</v>
      </c>
      <c r="R83" s="114">
        <f>E83*(1+'Аналитика'!$M$3)</f>
        <v>86.4</v>
      </c>
      <c r="S83" s="114">
        <f>F83*(1+'Аналитика'!$M$3)</f>
        <v>86.4</v>
      </c>
      <c r="T83" s="114">
        <f>G83*(1+'Аналитика'!$M$3)</f>
        <v>86.4</v>
      </c>
      <c r="U83" s="114">
        <f>H83*(1+'Аналитика'!$M$3)</f>
        <v>86.4</v>
      </c>
      <c r="V83" s="114">
        <f>I83*(1+'Аналитика'!$M$3)</f>
        <v>86.4</v>
      </c>
      <c r="W83" s="114">
        <f>J83*(1+'Аналитика'!$M$3)</f>
        <v>86.4</v>
      </c>
      <c r="X83" s="114">
        <f>K83*(1+'Аналитика'!$M$3)</f>
        <v>86.4</v>
      </c>
      <c r="Y83" s="114">
        <f>L83*(1+'Аналитика'!$M$3)</f>
        <v>86.4</v>
      </c>
      <c r="Z83" s="114">
        <f>M83*(1+'Аналитика'!$M$3)</f>
        <v>86.4</v>
      </c>
      <c r="AA83" s="114">
        <f>N83*(1+'Аналитика'!$M$3)</f>
        <v>86.4</v>
      </c>
      <c r="AB83" s="116">
        <f t="shared" si="64"/>
        <v>1036.8</v>
      </c>
      <c r="AG83" s="27"/>
    </row>
    <row r="84" ht="19.5" customHeight="1" outlineLevel="1">
      <c r="B84" s="118" t="s">
        <v>58</v>
      </c>
      <c r="C84" s="142">
        <f>'Аналитика'!C30</f>
        <v>80</v>
      </c>
      <c r="D84" s="143">
        <v>80.0</v>
      </c>
      <c r="E84" s="143">
        <v>80.0</v>
      </c>
      <c r="F84" s="143">
        <v>80.0</v>
      </c>
      <c r="G84" s="143">
        <v>80.0</v>
      </c>
      <c r="H84" s="143">
        <v>80.0</v>
      </c>
      <c r="I84" s="143">
        <v>80.0</v>
      </c>
      <c r="J84" s="143">
        <v>80.0</v>
      </c>
      <c r="K84" s="143">
        <v>80.0</v>
      </c>
      <c r="L84" s="143">
        <v>80.0</v>
      </c>
      <c r="M84" s="143">
        <v>80.0</v>
      </c>
      <c r="N84" s="143">
        <v>80.0</v>
      </c>
      <c r="O84" s="119">
        <f t="shared" si="63"/>
        <v>960</v>
      </c>
      <c r="P84" s="114">
        <f>C84*(1+'Аналитика'!$M$3)</f>
        <v>86.4</v>
      </c>
      <c r="Q84" s="114">
        <f>D84*(1+'Аналитика'!$M$3)</f>
        <v>86.4</v>
      </c>
      <c r="R84" s="114">
        <f>E84*(1+'Аналитика'!$M$3)</f>
        <v>86.4</v>
      </c>
      <c r="S84" s="114">
        <f>F84*(1+'Аналитика'!$M$3)</f>
        <v>86.4</v>
      </c>
      <c r="T84" s="114">
        <f>G84*(1+'Аналитика'!$M$3)</f>
        <v>86.4</v>
      </c>
      <c r="U84" s="114">
        <f>H84*(1+'Аналитика'!$M$3)</f>
        <v>86.4</v>
      </c>
      <c r="V84" s="114">
        <f>I84*(1+'Аналитика'!$M$3)</f>
        <v>86.4</v>
      </c>
      <c r="W84" s="114">
        <f>J84*(1+'Аналитика'!$M$3)</f>
        <v>86.4</v>
      </c>
      <c r="X84" s="114">
        <f>K84*(1+'Аналитика'!$M$3)</f>
        <v>86.4</v>
      </c>
      <c r="Y84" s="114">
        <f>L84*(1+'Аналитика'!$M$3)</f>
        <v>86.4</v>
      </c>
      <c r="Z84" s="114">
        <f>M84*(1+'Аналитика'!$M$3)</f>
        <v>86.4</v>
      </c>
      <c r="AA84" s="114">
        <f>N84*(1+'Аналитика'!$M$3)</f>
        <v>86.4</v>
      </c>
      <c r="AB84" s="116">
        <f t="shared" si="64"/>
        <v>1036.8</v>
      </c>
      <c r="AG84" s="27"/>
    </row>
    <row r="85" ht="19.5" customHeight="1">
      <c r="B85" s="75" t="s">
        <v>3</v>
      </c>
      <c r="C85" s="121">
        <f t="shared" ref="C85:N85" si="65">SUM(C86:C89)</f>
        <v>350</v>
      </c>
      <c r="D85" s="122">
        <f t="shared" si="65"/>
        <v>350</v>
      </c>
      <c r="E85" s="122">
        <f t="shared" si="65"/>
        <v>350</v>
      </c>
      <c r="F85" s="122">
        <f t="shared" si="65"/>
        <v>350</v>
      </c>
      <c r="G85" s="122">
        <f t="shared" si="65"/>
        <v>350</v>
      </c>
      <c r="H85" s="122">
        <f t="shared" si="65"/>
        <v>350</v>
      </c>
      <c r="I85" s="122">
        <f t="shared" si="65"/>
        <v>350</v>
      </c>
      <c r="J85" s="122">
        <f t="shared" si="65"/>
        <v>350</v>
      </c>
      <c r="K85" s="122">
        <f t="shared" si="65"/>
        <v>350</v>
      </c>
      <c r="L85" s="122">
        <f t="shared" si="65"/>
        <v>350</v>
      </c>
      <c r="M85" s="122">
        <f t="shared" si="65"/>
        <v>350</v>
      </c>
      <c r="N85" s="122">
        <f t="shared" si="65"/>
        <v>350</v>
      </c>
      <c r="O85" s="123">
        <f t="shared" si="63"/>
        <v>4200</v>
      </c>
      <c r="P85" s="122">
        <f t="shared" ref="P85:AA85" si="66">SUM(P86:P89)</f>
        <v>378</v>
      </c>
      <c r="Q85" s="122">
        <f t="shared" si="66"/>
        <v>378</v>
      </c>
      <c r="R85" s="122">
        <f t="shared" si="66"/>
        <v>378</v>
      </c>
      <c r="S85" s="122">
        <f t="shared" si="66"/>
        <v>378</v>
      </c>
      <c r="T85" s="122">
        <f t="shared" si="66"/>
        <v>378</v>
      </c>
      <c r="U85" s="122">
        <f t="shared" si="66"/>
        <v>378</v>
      </c>
      <c r="V85" s="122">
        <f t="shared" si="66"/>
        <v>378</v>
      </c>
      <c r="W85" s="122">
        <f t="shared" si="66"/>
        <v>378</v>
      </c>
      <c r="X85" s="122">
        <f t="shared" si="66"/>
        <v>378</v>
      </c>
      <c r="Y85" s="122">
        <f t="shared" si="66"/>
        <v>378</v>
      </c>
      <c r="Z85" s="122">
        <f t="shared" si="66"/>
        <v>378</v>
      </c>
      <c r="AA85" s="122">
        <f t="shared" si="66"/>
        <v>378</v>
      </c>
      <c r="AB85" s="124">
        <f t="shared" si="64"/>
        <v>4536</v>
      </c>
      <c r="AG85" s="27"/>
    </row>
    <row r="86" ht="19.5" customHeight="1" outlineLevel="1">
      <c r="B86" s="48" t="s">
        <v>64</v>
      </c>
      <c r="C86" s="125">
        <f>'Аналитика'!E26</f>
        <v>100</v>
      </c>
      <c r="D86" s="126">
        <v>100.0</v>
      </c>
      <c r="E86" s="126">
        <v>100.0</v>
      </c>
      <c r="F86" s="126">
        <v>100.0</v>
      </c>
      <c r="G86" s="126">
        <v>100.0</v>
      </c>
      <c r="H86" s="126">
        <v>100.0</v>
      </c>
      <c r="I86" s="126">
        <v>100.0</v>
      </c>
      <c r="J86" s="126">
        <v>100.0</v>
      </c>
      <c r="K86" s="126">
        <v>100.0</v>
      </c>
      <c r="L86" s="126">
        <v>100.0</v>
      </c>
      <c r="M86" s="126">
        <v>100.0</v>
      </c>
      <c r="N86" s="126">
        <v>100.0</v>
      </c>
      <c r="O86" s="127">
        <f t="shared" si="63"/>
        <v>1200</v>
      </c>
      <c r="P86" s="126">
        <f>C86*(1+'Аналитика'!$M$3)</f>
        <v>108</v>
      </c>
      <c r="Q86" s="126">
        <f>D86*(1+'Аналитика'!$M$3)</f>
        <v>108</v>
      </c>
      <c r="R86" s="126">
        <f>E86*(1+'Аналитика'!$M$3)</f>
        <v>108</v>
      </c>
      <c r="S86" s="126">
        <f>F86*(1+'Аналитика'!$M$3)</f>
        <v>108</v>
      </c>
      <c r="T86" s="126">
        <f>G86*(1+'Аналитика'!$M$3)</f>
        <v>108</v>
      </c>
      <c r="U86" s="126">
        <f>H86*(1+'Аналитика'!$M$3)</f>
        <v>108</v>
      </c>
      <c r="V86" s="126">
        <f>I86*(1+'Аналитика'!$M$3)</f>
        <v>108</v>
      </c>
      <c r="W86" s="126">
        <f>J86*(1+'Аналитика'!$M$3)</f>
        <v>108</v>
      </c>
      <c r="X86" s="126">
        <f>K86*(1+'Аналитика'!$M$3)</f>
        <v>108</v>
      </c>
      <c r="Y86" s="126">
        <f>L86*(1+'Аналитика'!$M$3)</f>
        <v>108</v>
      </c>
      <c r="Z86" s="126">
        <f>M86*(1+'Аналитика'!$M$3)</f>
        <v>108</v>
      </c>
      <c r="AA86" s="126">
        <f>N86*(1+'Аналитика'!$M$3)</f>
        <v>108</v>
      </c>
      <c r="AB86" s="116">
        <f t="shared" si="64"/>
        <v>1296</v>
      </c>
      <c r="AG86" s="27"/>
    </row>
    <row r="87" ht="19.5" customHeight="1" outlineLevel="1">
      <c r="B87" s="54" t="s">
        <v>66</v>
      </c>
      <c r="C87" s="113">
        <f>'Аналитика'!E27</f>
        <v>100</v>
      </c>
      <c r="D87" s="114">
        <v>100.0</v>
      </c>
      <c r="E87" s="114">
        <v>100.0</v>
      </c>
      <c r="F87" s="114">
        <v>100.0</v>
      </c>
      <c r="G87" s="114">
        <v>100.0</v>
      </c>
      <c r="H87" s="114">
        <v>100.0</v>
      </c>
      <c r="I87" s="114">
        <v>100.0</v>
      </c>
      <c r="J87" s="114">
        <v>100.0</v>
      </c>
      <c r="K87" s="114">
        <v>100.0</v>
      </c>
      <c r="L87" s="114">
        <v>100.0</v>
      </c>
      <c r="M87" s="114">
        <v>100.0</v>
      </c>
      <c r="N87" s="114">
        <v>100.0</v>
      </c>
      <c r="O87" s="115">
        <f t="shared" si="63"/>
        <v>1200</v>
      </c>
      <c r="P87" s="126">
        <f>C87*(1+'Аналитика'!$M$3)</f>
        <v>108</v>
      </c>
      <c r="Q87" s="126">
        <f>D87*(1+'Аналитика'!$M$3)</f>
        <v>108</v>
      </c>
      <c r="R87" s="126">
        <f>E87*(1+'Аналитика'!$M$3)</f>
        <v>108</v>
      </c>
      <c r="S87" s="126">
        <f>F87*(1+'Аналитика'!$M$3)</f>
        <v>108</v>
      </c>
      <c r="T87" s="126">
        <f>G87*(1+'Аналитика'!$M$3)</f>
        <v>108</v>
      </c>
      <c r="U87" s="126">
        <f>H87*(1+'Аналитика'!$M$3)</f>
        <v>108</v>
      </c>
      <c r="V87" s="126">
        <f>I87*(1+'Аналитика'!$M$3)</f>
        <v>108</v>
      </c>
      <c r="W87" s="126">
        <f>J87*(1+'Аналитика'!$M$3)</f>
        <v>108</v>
      </c>
      <c r="X87" s="126">
        <f>K87*(1+'Аналитика'!$M$3)</f>
        <v>108</v>
      </c>
      <c r="Y87" s="126">
        <f>L87*(1+'Аналитика'!$M$3)</f>
        <v>108</v>
      </c>
      <c r="Z87" s="126">
        <f>M87*(1+'Аналитика'!$M$3)</f>
        <v>108</v>
      </c>
      <c r="AA87" s="126">
        <f>N87*(1+'Аналитика'!$M$3)</f>
        <v>108</v>
      </c>
      <c r="AB87" s="116">
        <f t="shared" si="64"/>
        <v>1296</v>
      </c>
      <c r="AG87" s="27"/>
    </row>
    <row r="88" ht="19.5" customHeight="1" outlineLevel="1">
      <c r="B88" s="54" t="s">
        <v>67</v>
      </c>
      <c r="C88" s="113">
        <f>'Аналитика'!E28</f>
        <v>70</v>
      </c>
      <c r="D88" s="114">
        <v>70.0</v>
      </c>
      <c r="E88" s="114">
        <v>70.0</v>
      </c>
      <c r="F88" s="114">
        <v>70.0</v>
      </c>
      <c r="G88" s="114">
        <v>70.0</v>
      </c>
      <c r="H88" s="114">
        <v>70.0</v>
      </c>
      <c r="I88" s="114">
        <v>70.0</v>
      </c>
      <c r="J88" s="114">
        <v>70.0</v>
      </c>
      <c r="K88" s="114">
        <v>70.0</v>
      </c>
      <c r="L88" s="114">
        <v>70.0</v>
      </c>
      <c r="M88" s="114">
        <v>70.0</v>
      </c>
      <c r="N88" s="114">
        <v>70.0</v>
      </c>
      <c r="O88" s="115">
        <f t="shared" si="63"/>
        <v>840</v>
      </c>
      <c r="P88" s="126">
        <f>C88*(1+'Аналитика'!$M$3)</f>
        <v>75.6</v>
      </c>
      <c r="Q88" s="126">
        <f>D88*(1+'Аналитика'!$M$3)</f>
        <v>75.6</v>
      </c>
      <c r="R88" s="126">
        <f>E88*(1+'Аналитика'!$M$3)</f>
        <v>75.6</v>
      </c>
      <c r="S88" s="126">
        <f>F88*(1+'Аналитика'!$M$3)</f>
        <v>75.6</v>
      </c>
      <c r="T88" s="126">
        <f>G88*(1+'Аналитика'!$M$3)</f>
        <v>75.6</v>
      </c>
      <c r="U88" s="126">
        <f>H88*(1+'Аналитика'!$M$3)</f>
        <v>75.6</v>
      </c>
      <c r="V88" s="126">
        <f>I88*(1+'Аналитика'!$M$3)</f>
        <v>75.6</v>
      </c>
      <c r="W88" s="126">
        <f>J88*(1+'Аналитика'!$M$3)</f>
        <v>75.6</v>
      </c>
      <c r="X88" s="126">
        <f>K88*(1+'Аналитика'!$M$3)</f>
        <v>75.6</v>
      </c>
      <c r="Y88" s="126">
        <f>L88*(1+'Аналитика'!$M$3)</f>
        <v>75.6</v>
      </c>
      <c r="Z88" s="126">
        <f>M88*(1+'Аналитика'!$M$3)</f>
        <v>75.6</v>
      </c>
      <c r="AA88" s="126">
        <f>N88*(1+'Аналитика'!$M$3)</f>
        <v>75.6</v>
      </c>
      <c r="AB88" s="116">
        <f t="shared" si="64"/>
        <v>907.2</v>
      </c>
      <c r="AG88" s="27"/>
    </row>
    <row r="89" ht="19.5" customHeight="1" outlineLevel="1">
      <c r="B89" s="54" t="s">
        <v>58</v>
      </c>
      <c r="C89" s="113">
        <f>'Аналитика'!E29</f>
        <v>80</v>
      </c>
      <c r="D89" s="114">
        <v>80.0</v>
      </c>
      <c r="E89" s="114">
        <v>80.0</v>
      </c>
      <c r="F89" s="114">
        <v>80.0</v>
      </c>
      <c r="G89" s="114">
        <v>80.0</v>
      </c>
      <c r="H89" s="114">
        <v>80.0</v>
      </c>
      <c r="I89" s="114">
        <v>80.0</v>
      </c>
      <c r="J89" s="114">
        <v>80.0</v>
      </c>
      <c r="K89" s="114">
        <v>80.0</v>
      </c>
      <c r="L89" s="114">
        <v>80.0</v>
      </c>
      <c r="M89" s="114">
        <v>80.0</v>
      </c>
      <c r="N89" s="114">
        <v>80.0</v>
      </c>
      <c r="O89" s="115">
        <f t="shared" si="63"/>
        <v>960</v>
      </c>
      <c r="P89" s="126">
        <f>C89*(1+'Аналитика'!$M$3)</f>
        <v>86.4</v>
      </c>
      <c r="Q89" s="126">
        <f>D89*(1+'Аналитика'!$M$3)</f>
        <v>86.4</v>
      </c>
      <c r="R89" s="126">
        <f>E89*(1+'Аналитика'!$M$3)</f>
        <v>86.4</v>
      </c>
      <c r="S89" s="126">
        <f>F89*(1+'Аналитика'!$M$3)</f>
        <v>86.4</v>
      </c>
      <c r="T89" s="126">
        <f>G89*(1+'Аналитика'!$M$3)</f>
        <v>86.4</v>
      </c>
      <c r="U89" s="126">
        <f>H89*(1+'Аналитика'!$M$3)</f>
        <v>86.4</v>
      </c>
      <c r="V89" s="126">
        <f>I89*(1+'Аналитика'!$M$3)</f>
        <v>86.4</v>
      </c>
      <c r="W89" s="126">
        <f>J89*(1+'Аналитика'!$M$3)</f>
        <v>86.4</v>
      </c>
      <c r="X89" s="126">
        <f>K89*(1+'Аналитика'!$M$3)</f>
        <v>86.4</v>
      </c>
      <c r="Y89" s="126">
        <f>L89*(1+'Аналитика'!$M$3)</f>
        <v>86.4</v>
      </c>
      <c r="Z89" s="126">
        <f>M89*(1+'Аналитика'!$M$3)</f>
        <v>86.4</v>
      </c>
      <c r="AA89" s="126">
        <f>N89*(1+'Аналитика'!$M$3)</f>
        <v>86.4</v>
      </c>
      <c r="AB89" s="116">
        <f t="shared" si="64"/>
        <v>1036.8</v>
      </c>
      <c r="AG89" s="27"/>
    </row>
    <row r="90" ht="19.5" customHeight="1">
      <c r="B90" s="75" t="s">
        <v>103</v>
      </c>
      <c r="C90" s="148">
        <f>'Аналитика'!E31</f>
        <v>40</v>
      </c>
      <c r="D90" s="149">
        <v>40.0</v>
      </c>
      <c r="E90" s="149">
        <v>40.0</v>
      </c>
      <c r="F90" s="149">
        <v>40.0</v>
      </c>
      <c r="G90" s="149">
        <v>40.0</v>
      </c>
      <c r="H90" s="149">
        <v>40.0</v>
      </c>
      <c r="I90" s="149">
        <v>40.0</v>
      </c>
      <c r="J90" s="149">
        <v>40.0</v>
      </c>
      <c r="K90" s="149">
        <v>40.0</v>
      </c>
      <c r="L90" s="149">
        <v>40.0</v>
      </c>
      <c r="M90" s="149">
        <v>40.0</v>
      </c>
      <c r="N90" s="149">
        <v>40.0</v>
      </c>
      <c r="O90" s="150">
        <f t="shared" si="63"/>
        <v>480</v>
      </c>
      <c r="P90" s="149">
        <f>C90*(1+'Аналитика'!$M$3)</f>
        <v>43.2</v>
      </c>
      <c r="Q90" s="149">
        <v>43.2</v>
      </c>
      <c r="R90" s="149">
        <v>43.2</v>
      </c>
      <c r="S90" s="149">
        <v>43.2</v>
      </c>
      <c r="T90" s="149">
        <v>43.2</v>
      </c>
      <c r="U90" s="149">
        <v>43.2</v>
      </c>
      <c r="V90" s="149">
        <v>43.2</v>
      </c>
      <c r="W90" s="149">
        <v>43.2</v>
      </c>
      <c r="X90" s="149">
        <v>43.2</v>
      </c>
      <c r="Y90" s="149">
        <v>43.2</v>
      </c>
      <c r="Z90" s="149">
        <v>43.2</v>
      </c>
      <c r="AA90" s="149">
        <v>43.2</v>
      </c>
      <c r="AB90" s="151">
        <f t="shared" si="64"/>
        <v>518.4</v>
      </c>
      <c r="AG90" s="27"/>
    </row>
    <row r="91" ht="19.5" customHeight="1">
      <c r="AG91" s="27"/>
    </row>
    <row r="92" ht="19.5" customHeight="1">
      <c r="B92" s="134" t="s">
        <v>105</v>
      </c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6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8"/>
      <c r="AF92" s="26" t="s">
        <v>9</v>
      </c>
      <c r="AG92" s="27" t="str">
        <f>IF(AF92="Нет", " ", "Каждой штатной единицы - по одной. Рост штатных единиц заложите только по куратором, исходя из ограничения на листе Аналитика - не более 30 студентов на одного куратора")</f>
        <v> </v>
      </c>
    </row>
    <row r="93" ht="19.5" customHeight="1">
      <c r="B93" s="96"/>
      <c r="C93" s="97" t="s">
        <v>72</v>
      </c>
      <c r="D93" s="97" t="s">
        <v>73</v>
      </c>
      <c r="E93" s="97" t="s">
        <v>74</v>
      </c>
      <c r="F93" s="97" t="s">
        <v>75</v>
      </c>
      <c r="G93" s="98">
        <v>46143.0</v>
      </c>
      <c r="H93" s="97" t="s">
        <v>76</v>
      </c>
      <c r="I93" s="97" t="s">
        <v>77</v>
      </c>
      <c r="J93" s="97" t="s">
        <v>78</v>
      </c>
      <c r="K93" s="97" t="s">
        <v>79</v>
      </c>
      <c r="L93" s="97" t="s">
        <v>80</v>
      </c>
      <c r="M93" s="97" t="s">
        <v>81</v>
      </c>
      <c r="N93" s="97" t="s">
        <v>82</v>
      </c>
      <c r="O93" s="99">
        <v>2026.0</v>
      </c>
      <c r="P93" s="97" t="s">
        <v>83</v>
      </c>
      <c r="Q93" s="97" t="s">
        <v>84</v>
      </c>
      <c r="R93" s="97" t="s">
        <v>85</v>
      </c>
      <c r="S93" s="97" t="s">
        <v>86</v>
      </c>
      <c r="T93" s="98">
        <v>46508.0</v>
      </c>
      <c r="U93" s="97" t="s">
        <v>87</v>
      </c>
      <c r="V93" s="97" t="s">
        <v>88</v>
      </c>
      <c r="W93" s="97" t="s">
        <v>89</v>
      </c>
      <c r="X93" s="97" t="s">
        <v>90</v>
      </c>
      <c r="Y93" s="97" t="s">
        <v>91</v>
      </c>
      <c r="Z93" s="97" t="s">
        <v>92</v>
      </c>
      <c r="AA93" s="97" t="s">
        <v>93</v>
      </c>
      <c r="AB93" s="100">
        <v>2027.0</v>
      </c>
      <c r="AF93" s="26" t="s">
        <v>9</v>
      </c>
      <c r="AG93" s="27" t="str">
        <f>IF(AF93="Нет", " ", "Ограничение по кураторам с учётом количества студентов можно учесть с помощью формулы: ROUNDUP(SUM(Количество пользователей платных обучающих курсов)/30,0)")</f>
        <v> </v>
      </c>
    </row>
    <row r="94" ht="9.75" customHeight="1">
      <c r="B94" s="106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6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6"/>
      <c r="AG94" s="27"/>
    </row>
    <row r="95" ht="19.5" customHeight="1">
      <c r="B95" s="75" t="s">
        <v>2</v>
      </c>
      <c r="C95" s="108">
        <f t="shared" ref="C95:AB95" si="67">SUM(C96:C100)</f>
        <v>5</v>
      </c>
      <c r="D95" s="109">
        <f t="shared" si="67"/>
        <v>5</v>
      </c>
      <c r="E95" s="109">
        <f t="shared" si="67"/>
        <v>5</v>
      </c>
      <c r="F95" s="109">
        <f t="shared" si="67"/>
        <v>5</v>
      </c>
      <c r="G95" s="109">
        <f t="shared" si="67"/>
        <v>5</v>
      </c>
      <c r="H95" s="109">
        <f t="shared" si="67"/>
        <v>5</v>
      </c>
      <c r="I95" s="109">
        <f t="shared" si="67"/>
        <v>5</v>
      </c>
      <c r="J95" s="109">
        <f t="shared" si="67"/>
        <v>5</v>
      </c>
      <c r="K95" s="109">
        <f t="shared" si="67"/>
        <v>5</v>
      </c>
      <c r="L95" s="109">
        <f t="shared" si="67"/>
        <v>5</v>
      </c>
      <c r="M95" s="109">
        <f t="shared" si="67"/>
        <v>5</v>
      </c>
      <c r="N95" s="109">
        <f t="shared" si="67"/>
        <v>5</v>
      </c>
      <c r="O95" s="110">
        <f t="shared" si="67"/>
        <v>5</v>
      </c>
      <c r="P95" s="109">
        <f t="shared" si="67"/>
        <v>5</v>
      </c>
      <c r="Q95" s="109">
        <f t="shared" si="67"/>
        <v>5</v>
      </c>
      <c r="R95" s="109">
        <f t="shared" si="67"/>
        <v>5</v>
      </c>
      <c r="S95" s="109">
        <f t="shared" si="67"/>
        <v>5</v>
      </c>
      <c r="T95" s="109">
        <f t="shared" si="67"/>
        <v>5</v>
      </c>
      <c r="U95" s="109">
        <f t="shared" si="67"/>
        <v>5</v>
      </c>
      <c r="V95" s="109">
        <f t="shared" si="67"/>
        <v>5</v>
      </c>
      <c r="W95" s="109">
        <f t="shared" si="67"/>
        <v>5</v>
      </c>
      <c r="X95" s="109">
        <f t="shared" si="67"/>
        <v>5</v>
      </c>
      <c r="Y95" s="109">
        <f t="shared" si="67"/>
        <v>5</v>
      </c>
      <c r="Z95" s="109">
        <f t="shared" si="67"/>
        <v>5</v>
      </c>
      <c r="AA95" s="109">
        <f t="shared" si="67"/>
        <v>5</v>
      </c>
      <c r="AB95" s="111">
        <f t="shared" si="67"/>
        <v>5</v>
      </c>
      <c r="AG95" s="27"/>
    </row>
    <row r="96" ht="19.5" customHeight="1" outlineLevel="1">
      <c r="B96" s="112" t="s">
        <v>64</v>
      </c>
      <c r="C96" s="113">
        <v>1.0</v>
      </c>
      <c r="D96" s="114">
        <v>1.0</v>
      </c>
      <c r="E96" s="114">
        <v>1.0</v>
      </c>
      <c r="F96" s="114">
        <v>1.0</v>
      </c>
      <c r="G96" s="114">
        <v>1.0</v>
      </c>
      <c r="H96" s="114">
        <v>1.0</v>
      </c>
      <c r="I96" s="114">
        <v>1.0</v>
      </c>
      <c r="J96" s="114">
        <v>1.0</v>
      </c>
      <c r="K96" s="114">
        <v>1.0</v>
      </c>
      <c r="L96" s="114">
        <v>1.0</v>
      </c>
      <c r="M96" s="114">
        <v>1.0</v>
      </c>
      <c r="N96" s="114">
        <v>1.0</v>
      </c>
      <c r="O96" s="115">
        <f t="shared" ref="O96:O100" si="68">N96</f>
        <v>1</v>
      </c>
      <c r="P96" s="114">
        <v>1.0</v>
      </c>
      <c r="Q96" s="114">
        <v>1.0</v>
      </c>
      <c r="R96" s="114">
        <v>1.0</v>
      </c>
      <c r="S96" s="114">
        <v>1.0</v>
      </c>
      <c r="T96" s="114">
        <v>1.0</v>
      </c>
      <c r="U96" s="114">
        <v>1.0</v>
      </c>
      <c r="V96" s="114">
        <v>1.0</v>
      </c>
      <c r="W96" s="114">
        <v>1.0</v>
      </c>
      <c r="X96" s="114">
        <v>1.0</v>
      </c>
      <c r="Y96" s="114">
        <v>1.0</v>
      </c>
      <c r="Z96" s="114">
        <v>1.0</v>
      </c>
      <c r="AA96" s="114">
        <v>1.0</v>
      </c>
      <c r="AB96" s="116">
        <f t="shared" ref="AB96:AB100" si="69">AA96</f>
        <v>1</v>
      </c>
      <c r="AG96" s="27"/>
    </row>
    <row r="97" ht="19.5" customHeight="1" outlineLevel="1">
      <c r="B97" s="117" t="s">
        <v>65</v>
      </c>
      <c r="C97" s="113">
        <v>1.0</v>
      </c>
      <c r="D97" s="114">
        <v>1.0</v>
      </c>
      <c r="E97" s="114">
        <v>1.0</v>
      </c>
      <c r="F97" s="114">
        <v>1.0</v>
      </c>
      <c r="G97" s="114">
        <v>1.0</v>
      </c>
      <c r="H97" s="114">
        <v>1.0</v>
      </c>
      <c r="I97" s="114">
        <v>1.0</v>
      </c>
      <c r="J97" s="114">
        <v>1.0</v>
      </c>
      <c r="K97" s="114">
        <v>1.0</v>
      </c>
      <c r="L97" s="114">
        <v>1.0</v>
      </c>
      <c r="M97" s="114">
        <v>1.0</v>
      </c>
      <c r="N97" s="114">
        <v>1.0</v>
      </c>
      <c r="O97" s="115">
        <f t="shared" si="68"/>
        <v>1</v>
      </c>
      <c r="P97" s="114">
        <v>1.0</v>
      </c>
      <c r="Q97" s="114">
        <v>1.0</v>
      </c>
      <c r="R97" s="114">
        <v>1.0</v>
      </c>
      <c r="S97" s="114">
        <v>1.0</v>
      </c>
      <c r="T97" s="114">
        <v>1.0</v>
      </c>
      <c r="U97" s="114">
        <v>1.0</v>
      </c>
      <c r="V97" s="114">
        <v>1.0</v>
      </c>
      <c r="W97" s="114">
        <v>1.0</v>
      </c>
      <c r="X97" s="114">
        <v>1.0</v>
      </c>
      <c r="Y97" s="114">
        <v>1.0</v>
      </c>
      <c r="Z97" s="114">
        <v>1.0</v>
      </c>
      <c r="AA97" s="114">
        <v>1.0</v>
      </c>
      <c r="AB97" s="116">
        <f t="shared" si="69"/>
        <v>1</v>
      </c>
      <c r="AG97" s="27"/>
    </row>
    <row r="98" ht="19.5" customHeight="1" outlineLevel="1">
      <c r="B98" s="117" t="s">
        <v>67</v>
      </c>
      <c r="C98" s="113">
        <v>1.0</v>
      </c>
      <c r="D98" s="114">
        <v>1.0</v>
      </c>
      <c r="E98" s="114">
        <v>1.0</v>
      </c>
      <c r="F98" s="114">
        <v>1.0</v>
      </c>
      <c r="G98" s="114">
        <v>1.0</v>
      </c>
      <c r="H98" s="114">
        <v>1.0</v>
      </c>
      <c r="I98" s="114">
        <v>1.0</v>
      </c>
      <c r="J98" s="114">
        <v>1.0</v>
      </c>
      <c r="K98" s="114">
        <v>1.0</v>
      </c>
      <c r="L98" s="114">
        <v>1.0</v>
      </c>
      <c r="M98" s="114">
        <v>1.0</v>
      </c>
      <c r="N98" s="114">
        <v>1.0</v>
      </c>
      <c r="O98" s="115">
        <f t="shared" si="68"/>
        <v>1</v>
      </c>
      <c r="P98" s="114">
        <v>1.0</v>
      </c>
      <c r="Q98" s="114">
        <v>1.0</v>
      </c>
      <c r="R98" s="114">
        <v>1.0</v>
      </c>
      <c r="S98" s="114">
        <v>1.0</v>
      </c>
      <c r="T98" s="114">
        <v>1.0</v>
      </c>
      <c r="U98" s="114">
        <v>1.0</v>
      </c>
      <c r="V98" s="114">
        <v>1.0</v>
      </c>
      <c r="W98" s="114">
        <v>1.0</v>
      </c>
      <c r="X98" s="114">
        <v>1.0</v>
      </c>
      <c r="Y98" s="114">
        <v>1.0</v>
      </c>
      <c r="Z98" s="114">
        <v>1.0</v>
      </c>
      <c r="AA98" s="114">
        <v>1.0</v>
      </c>
      <c r="AB98" s="116">
        <f t="shared" si="69"/>
        <v>1</v>
      </c>
      <c r="AG98" s="27"/>
    </row>
    <row r="99" ht="19.5" customHeight="1" outlineLevel="1">
      <c r="B99" s="117" t="s">
        <v>68</v>
      </c>
      <c r="C99" s="113">
        <v>1.0</v>
      </c>
      <c r="D99" s="114">
        <v>1.0</v>
      </c>
      <c r="E99" s="114">
        <v>1.0</v>
      </c>
      <c r="F99" s="114">
        <v>1.0</v>
      </c>
      <c r="G99" s="114">
        <v>1.0</v>
      </c>
      <c r="H99" s="114">
        <v>1.0</v>
      </c>
      <c r="I99" s="114">
        <v>1.0</v>
      </c>
      <c r="J99" s="114">
        <v>1.0</v>
      </c>
      <c r="K99" s="114">
        <v>1.0</v>
      </c>
      <c r="L99" s="114">
        <v>1.0</v>
      </c>
      <c r="M99" s="114">
        <v>1.0</v>
      </c>
      <c r="N99" s="114">
        <v>1.0</v>
      </c>
      <c r="O99" s="115">
        <f t="shared" si="68"/>
        <v>1</v>
      </c>
      <c r="P99" s="114">
        <v>1.0</v>
      </c>
      <c r="Q99" s="114">
        <v>1.0</v>
      </c>
      <c r="R99" s="114">
        <v>1.0</v>
      </c>
      <c r="S99" s="114">
        <v>1.0</v>
      </c>
      <c r="T99" s="114">
        <v>1.0</v>
      </c>
      <c r="U99" s="114">
        <v>1.0</v>
      </c>
      <c r="V99" s="114">
        <v>1.0</v>
      </c>
      <c r="W99" s="114">
        <v>1.0</v>
      </c>
      <c r="X99" s="114">
        <v>1.0</v>
      </c>
      <c r="Y99" s="114">
        <v>1.0</v>
      </c>
      <c r="Z99" s="114">
        <v>1.0</v>
      </c>
      <c r="AA99" s="114">
        <v>1.0</v>
      </c>
      <c r="AB99" s="116">
        <f t="shared" si="69"/>
        <v>1</v>
      </c>
      <c r="AG99" s="27"/>
    </row>
    <row r="100" ht="19.5" customHeight="1" outlineLevel="1">
      <c r="B100" s="118" t="s">
        <v>58</v>
      </c>
      <c r="C100" s="113">
        <v>1.0</v>
      </c>
      <c r="D100" s="143">
        <v>1.0</v>
      </c>
      <c r="E100" s="143">
        <v>1.0</v>
      </c>
      <c r="F100" s="143">
        <v>1.0</v>
      </c>
      <c r="G100" s="143">
        <v>1.0</v>
      </c>
      <c r="H100" s="143">
        <v>1.0</v>
      </c>
      <c r="I100" s="143">
        <v>1.0</v>
      </c>
      <c r="J100" s="143">
        <v>1.0</v>
      </c>
      <c r="K100" s="143">
        <v>1.0</v>
      </c>
      <c r="L100" s="143">
        <v>1.0</v>
      </c>
      <c r="M100" s="143">
        <v>1.0</v>
      </c>
      <c r="N100" s="143">
        <v>1.0</v>
      </c>
      <c r="O100" s="119">
        <f t="shared" si="68"/>
        <v>1</v>
      </c>
      <c r="P100" s="114">
        <v>1.0</v>
      </c>
      <c r="Q100" s="114">
        <v>1.0</v>
      </c>
      <c r="R100" s="114">
        <v>1.0</v>
      </c>
      <c r="S100" s="114">
        <v>1.0</v>
      </c>
      <c r="T100" s="114">
        <v>1.0</v>
      </c>
      <c r="U100" s="114">
        <v>1.0</v>
      </c>
      <c r="V100" s="114">
        <v>1.0</v>
      </c>
      <c r="W100" s="114">
        <v>1.0</v>
      </c>
      <c r="X100" s="114">
        <v>1.0</v>
      </c>
      <c r="Y100" s="114">
        <v>1.0</v>
      </c>
      <c r="Z100" s="114">
        <v>1.0</v>
      </c>
      <c r="AA100" s="114">
        <v>1.0</v>
      </c>
      <c r="AB100" s="120">
        <f t="shared" si="69"/>
        <v>1</v>
      </c>
      <c r="AG100" s="27"/>
    </row>
    <row r="101" ht="19.5" customHeight="1">
      <c r="B101" s="75" t="s">
        <v>3</v>
      </c>
      <c r="C101" s="121">
        <f t="shared" ref="C101:AB101" si="70">SUM(C102:C105)</f>
        <v>4</v>
      </c>
      <c r="D101" s="122">
        <f t="shared" si="70"/>
        <v>5</v>
      </c>
      <c r="E101" s="122">
        <f t="shared" si="70"/>
        <v>5</v>
      </c>
      <c r="F101" s="122">
        <f t="shared" si="70"/>
        <v>6</v>
      </c>
      <c r="G101" s="122">
        <f t="shared" si="70"/>
        <v>7</v>
      </c>
      <c r="H101" s="122">
        <f t="shared" si="70"/>
        <v>8</v>
      </c>
      <c r="I101" s="122">
        <f t="shared" si="70"/>
        <v>8</v>
      </c>
      <c r="J101" s="122">
        <f t="shared" si="70"/>
        <v>9</v>
      </c>
      <c r="K101" s="122">
        <f t="shared" si="70"/>
        <v>10</v>
      </c>
      <c r="L101" s="122">
        <f t="shared" si="70"/>
        <v>11</v>
      </c>
      <c r="M101" s="122">
        <f t="shared" si="70"/>
        <v>11</v>
      </c>
      <c r="N101" s="122">
        <f t="shared" si="70"/>
        <v>12</v>
      </c>
      <c r="O101" s="123">
        <f t="shared" si="70"/>
        <v>12</v>
      </c>
      <c r="P101" s="122">
        <f t="shared" si="70"/>
        <v>12</v>
      </c>
      <c r="Q101" s="122">
        <f t="shared" si="70"/>
        <v>13</v>
      </c>
      <c r="R101" s="122">
        <f t="shared" si="70"/>
        <v>13</v>
      </c>
      <c r="S101" s="122">
        <f t="shared" si="70"/>
        <v>13</v>
      </c>
      <c r="T101" s="122">
        <f t="shared" si="70"/>
        <v>13</v>
      </c>
      <c r="U101" s="122">
        <f t="shared" si="70"/>
        <v>13</v>
      </c>
      <c r="V101" s="122">
        <f t="shared" si="70"/>
        <v>14</v>
      </c>
      <c r="W101" s="122">
        <f t="shared" si="70"/>
        <v>14</v>
      </c>
      <c r="X101" s="122">
        <f t="shared" si="70"/>
        <v>14</v>
      </c>
      <c r="Y101" s="122">
        <f t="shared" si="70"/>
        <v>14</v>
      </c>
      <c r="Z101" s="122">
        <f t="shared" si="70"/>
        <v>14</v>
      </c>
      <c r="AA101" s="122">
        <f t="shared" si="70"/>
        <v>15</v>
      </c>
      <c r="AB101" s="124">
        <f t="shared" si="70"/>
        <v>15</v>
      </c>
      <c r="AG101" s="27"/>
    </row>
    <row r="102" ht="19.5" customHeight="1" outlineLevel="1">
      <c r="B102" s="48" t="s">
        <v>64</v>
      </c>
      <c r="C102" s="125">
        <v>1.0</v>
      </c>
      <c r="D102" s="126">
        <v>1.0</v>
      </c>
      <c r="E102" s="126">
        <v>1.0</v>
      </c>
      <c r="F102" s="126">
        <v>1.0</v>
      </c>
      <c r="G102" s="126">
        <v>1.0</v>
      </c>
      <c r="H102" s="126">
        <v>1.0</v>
      </c>
      <c r="I102" s="126">
        <v>1.0</v>
      </c>
      <c r="J102" s="126">
        <v>1.0</v>
      </c>
      <c r="K102" s="126">
        <v>1.0</v>
      </c>
      <c r="L102" s="126">
        <v>1.0</v>
      </c>
      <c r="M102" s="126">
        <v>1.0</v>
      </c>
      <c r="N102" s="126">
        <v>1.0</v>
      </c>
      <c r="O102" s="127">
        <f t="shared" ref="O102:O106" si="72">N102</f>
        <v>1</v>
      </c>
      <c r="P102" s="126">
        <v>1.0</v>
      </c>
      <c r="Q102" s="126">
        <v>1.0</v>
      </c>
      <c r="R102" s="126">
        <v>1.0</v>
      </c>
      <c r="S102" s="126">
        <v>1.0</v>
      </c>
      <c r="T102" s="126">
        <v>1.0</v>
      </c>
      <c r="U102" s="126">
        <v>1.0</v>
      </c>
      <c r="V102" s="126">
        <v>1.0</v>
      </c>
      <c r="W102" s="126">
        <v>1.0</v>
      </c>
      <c r="X102" s="126">
        <v>1.0</v>
      </c>
      <c r="Y102" s="126">
        <v>1.0</v>
      </c>
      <c r="Z102" s="126">
        <v>1.0</v>
      </c>
      <c r="AA102" s="126">
        <v>1.0</v>
      </c>
      <c r="AB102" s="128">
        <f t="shared" ref="AB102:AB106" si="74">AA102</f>
        <v>1</v>
      </c>
      <c r="AG102" s="27"/>
    </row>
    <row r="103" ht="19.5" customHeight="1" outlineLevel="1">
      <c r="B103" s="54" t="s">
        <v>66</v>
      </c>
      <c r="C103" s="113">
        <f t="shared" ref="C103:N103" si="71">ROUNDUP(SUM(C33:C36)/30,0)</f>
        <v>1</v>
      </c>
      <c r="D103" s="114">
        <f t="shared" si="71"/>
        <v>2</v>
      </c>
      <c r="E103" s="114">
        <f t="shared" si="71"/>
        <v>2</v>
      </c>
      <c r="F103" s="114">
        <f t="shared" si="71"/>
        <v>3</v>
      </c>
      <c r="G103" s="114">
        <f t="shared" si="71"/>
        <v>4</v>
      </c>
      <c r="H103" s="114">
        <f t="shared" si="71"/>
        <v>5</v>
      </c>
      <c r="I103" s="114">
        <f t="shared" si="71"/>
        <v>5</v>
      </c>
      <c r="J103" s="114">
        <f t="shared" si="71"/>
        <v>6</v>
      </c>
      <c r="K103" s="114">
        <f t="shared" si="71"/>
        <v>7</v>
      </c>
      <c r="L103" s="114">
        <f t="shared" si="71"/>
        <v>8</v>
      </c>
      <c r="M103" s="114">
        <f t="shared" si="71"/>
        <v>8</v>
      </c>
      <c r="N103" s="114">
        <f t="shared" si="71"/>
        <v>9</v>
      </c>
      <c r="O103" s="115">
        <f t="shared" si="72"/>
        <v>9</v>
      </c>
      <c r="P103" s="114">
        <f t="shared" ref="P103:AA103" si="73">ROUNDUP(SUM(P33:P36)/30,0)</f>
        <v>9</v>
      </c>
      <c r="Q103" s="114">
        <f t="shared" si="73"/>
        <v>10</v>
      </c>
      <c r="R103" s="114">
        <f t="shared" si="73"/>
        <v>10</v>
      </c>
      <c r="S103" s="114">
        <f t="shared" si="73"/>
        <v>10</v>
      </c>
      <c r="T103" s="114">
        <f t="shared" si="73"/>
        <v>10</v>
      </c>
      <c r="U103" s="114">
        <f t="shared" si="73"/>
        <v>10</v>
      </c>
      <c r="V103" s="114">
        <f t="shared" si="73"/>
        <v>11</v>
      </c>
      <c r="W103" s="114">
        <f t="shared" si="73"/>
        <v>11</v>
      </c>
      <c r="X103" s="114">
        <f t="shared" si="73"/>
        <v>11</v>
      </c>
      <c r="Y103" s="114">
        <f t="shared" si="73"/>
        <v>11</v>
      </c>
      <c r="Z103" s="114">
        <f t="shared" si="73"/>
        <v>11</v>
      </c>
      <c r="AA103" s="114">
        <f t="shared" si="73"/>
        <v>12</v>
      </c>
      <c r="AB103" s="116">
        <f t="shared" si="74"/>
        <v>12</v>
      </c>
      <c r="AG103" s="27"/>
    </row>
    <row r="104" ht="19.5" customHeight="1" outlineLevel="1">
      <c r="B104" s="54" t="s">
        <v>67</v>
      </c>
      <c r="C104" s="113">
        <v>1.0</v>
      </c>
      <c r="D104" s="114">
        <v>1.0</v>
      </c>
      <c r="E104" s="114">
        <v>1.0</v>
      </c>
      <c r="F104" s="114">
        <v>1.0</v>
      </c>
      <c r="G104" s="114">
        <v>1.0</v>
      </c>
      <c r="H104" s="114">
        <v>1.0</v>
      </c>
      <c r="I104" s="114">
        <v>1.0</v>
      </c>
      <c r="J104" s="114">
        <v>1.0</v>
      </c>
      <c r="K104" s="114">
        <v>1.0</v>
      </c>
      <c r="L104" s="114">
        <v>1.0</v>
      </c>
      <c r="M104" s="114">
        <v>1.0</v>
      </c>
      <c r="N104" s="114">
        <v>1.0</v>
      </c>
      <c r="O104" s="115">
        <f t="shared" si="72"/>
        <v>1</v>
      </c>
      <c r="P104" s="114">
        <v>1.0</v>
      </c>
      <c r="Q104" s="114">
        <v>1.0</v>
      </c>
      <c r="R104" s="114">
        <v>1.0</v>
      </c>
      <c r="S104" s="114">
        <v>1.0</v>
      </c>
      <c r="T104" s="114">
        <v>1.0</v>
      </c>
      <c r="U104" s="114">
        <v>1.0</v>
      </c>
      <c r="V104" s="114">
        <v>1.0</v>
      </c>
      <c r="W104" s="114">
        <v>1.0</v>
      </c>
      <c r="X104" s="114">
        <v>1.0</v>
      </c>
      <c r="Y104" s="114">
        <v>1.0</v>
      </c>
      <c r="Z104" s="114">
        <v>1.0</v>
      </c>
      <c r="AA104" s="114">
        <v>1.0</v>
      </c>
      <c r="AB104" s="116">
        <f t="shared" si="74"/>
        <v>1</v>
      </c>
      <c r="AG104" s="27"/>
    </row>
    <row r="105" ht="19.5" customHeight="1" outlineLevel="1">
      <c r="B105" s="54" t="s">
        <v>58</v>
      </c>
      <c r="C105" s="113">
        <v>1.0</v>
      </c>
      <c r="D105" s="114">
        <v>1.0</v>
      </c>
      <c r="E105" s="114">
        <v>1.0</v>
      </c>
      <c r="F105" s="114">
        <v>1.0</v>
      </c>
      <c r="G105" s="114">
        <v>1.0</v>
      </c>
      <c r="H105" s="114">
        <v>1.0</v>
      </c>
      <c r="I105" s="114">
        <v>1.0</v>
      </c>
      <c r="J105" s="114">
        <v>1.0</v>
      </c>
      <c r="K105" s="114">
        <v>1.0</v>
      </c>
      <c r="L105" s="114">
        <v>1.0</v>
      </c>
      <c r="M105" s="114">
        <v>1.0</v>
      </c>
      <c r="N105" s="114">
        <v>1.0</v>
      </c>
      <c r="O105" s="115">
        <f t="shared" si="72"/>
        <v>1</v>
      </c>
      <c r="P105" s="114">
        <v>1.0</v>
      </c>
      <c r="Q105" s="114">
        <v>1.0</v>
      </c>
      <c r="R105" s="114">
        <v>1.0</v>
      </c>
      <c r="S105" s="114">
        <v>1.0</v>
      </c>
      <c r="T105" s="114">
        <v>1.0</v>
      </c>
      <c r="U105" s="114">
        <v>1.0</v>
      </c>
      <c r="V105" s="114">
        <v>1.0</v>
      </c>
      <c r="W105" s="114">
        <v>1.0</v>
      </c>
      <c r="X105" s="114">
        <v>1.0</v>
      </c>
      <c r="Y105" s="114">
        <v>1.0</v>
      </c>
      <c r="Z105" s="114">
        <v>1.0</v>
      </c>
      <c r="AA105" s="114">
        <v>1.0</v>
      </c>
      <c r="AB105" s="116">
        <f t="shared" si="74"/>
        <v>1</v>
      </c>
      <c r="AG105" s="27"/>
    </row>
    <row r="106" ht="19.5" customHeight="1">
      <c r="B106" s="75" t="s">
        <v>103</v>
      </c>
      <c r="C106" s="148">
        <v>1.0</v>
      </c>
      <c r="D106" s="149">
        <v>1.0</v>
      </c>
      <c r="E106" s="149">
        <v>1.0</v>
      </c>
      <c r="F106" s="149">
        <v>1.0</v>
      </c>
      <c r="G106" s="149">
        <v>1.0</v>
      </c>
      <c r="H106" s="149">
        <v>1.0</v>
      </c>
      <c r="I106" s="149">
        <v>1.0</v>
      </c>
      <c r="J106" s="149">
        <v>1.0</v>
      </c>
      <c r="K106" s="149">
        <v>1.0</v>
      </c>
      <c r="L106" s="149">
        <v>1.0</v>
      </c>
      <c r="M106" s="149">
        <v>1.0</v>
      </c>
      <c r="N106" s="149">
        <v>1.0</v>
      </c>
      <c r="O106" s="150">
        <f t="shared" si="72"/>
        <v>1</v>
      </c>
      <c r="P106" s="149">
        <v>1.0</v>
      </c>
      <c r="Q106" s="149">
        <v>1.0</v>
      </c>
      <c r="R106" s="149">
        <v>1.0</v>
      </c>
      <c r="S106" s="149">
        <v>1.0</v>
      </c>
      <c r="T106" s="149">
        <v>1.0</v>
      </c>
      <c r="U106" s="149">
        <v>1.0</v>
      </c>
      <c r="V106" s="149">
        <v>1.0</v>
      </c>
      <c r="W106" s="149">
        <v>1.0</v>
      </c>
      <c r="X106" s="149">
        <v>1.0</v>
      </c>
      <c r="Y106" s="149">
        <v>1.0</v>
      </c>
      <c r="Z106" s="149">
        <v>1.0</v>
      </c>
      <c r="AA106" s="149">
        <v>1.0</v>
      </c>
      <c r="AB106" s="151">
        <f t="shared" si="74"/>
        <v>1</v>
      </c>
      <c r="AG106" s="27"/>
    </row>
    <row r="107" ht="19.5" customHeight="1">
      <c r="C107" s="152"/>
      <c r="P107" s="152"/>
      <c r="AG107" s="27"/>
    </row>
    <row r="108" ht="19.5" customHeight="1">
      <c r="B108" s="134" t="s">
        <v>106</v>
      </c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D108" s="147" t="s">
        <v>107</v>
      </c>
      <c r="AF108" s="26" t="s">
        <v>9</v>
      </c>
      <c r="AG108" s="27" t="str">
        <f>IF(AF108="Нет", " ", "Стоимость ДМС - 2 тыс.руб./чел.")</f>
        <v> </v>
      </c>
    </row>
    <row r="109" ht="19.5" customHeight="1">
      <c r="B109" s="96"/>
      <c r="C109" s="97" t="s">
        <v>72</v>
      </c>
      <c r="D109" s="97" t="s">
        <v>73</v>
      </c>
      <c r="E109" s="97" t="s">
        <v>74</v>
      </c>
      <c r="F109" s="97" t="s">
        <v>75</v>
      </c>
      <c r="G109" s="98">
        <v>46143.0</v>
      </c>
      <c r="H109" s="97" t="s">
        <v>76</v>
      </c>
      <c r="I109" s="97" t="s">
        <v>77</v>
      </c>
      <c r="J109" s="97" t="s">
        <v>78</v>
      </c>
      <c r="K109" s="97" t="s">
        <v>79</v>
      </c>
      <c r="L109" s="97" t="s">
        <v>80</v>
      </c>
      <c r="M109" s="97" t="s">
        <v>81</v>
      </c>
      <c r="N109" s="97" t="s">
        <v>82</v>
      </c>
      <c r="O109" s="99">
        <v>2026.0</v>
      </c>
      <c r="P109" s="97" t="s">
        <v>83</v>
      </c>
      <c r="Q109" s="97" t="s">
        <v>84</v>
      </c>
      <c r="R109" s="97" t="s">
        <v>85</v>
      </c>
      <c r="S109" s="97" t="s">
        <v>86</v>
      </c>
      <c r="T109" s="98">
        <v>46508.0</v>
      </c>
      <c r="U109" s="97" t="s">
        <v>87</v>
      </c>
      <c r="V109" s="97" t="s">
        <v>88</v>
      </c>
      <c r="W109" s="97" t="s">
        <v>89</v>
      </c>
      <c r="X109" s="97" t="s">
        <v>90</v>
      </c>
      <c r="Y109" s="97" t="s">
        <v>91</v>
      </c>
      <c r="Z109" s="97" t="s">
        <v>92</v>
      </c>
      <c r="AA109" s="97" t="s">
        <v>93</v>
      </c>
      <c r="AB109" s="100">
        <v>2027.0</v>
      </c>
      <c r="AG109" s="27"/>
    </row>
    <row r="110" ht="9.75" customHeight="1">
      <c r="B110" s="106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6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6"/>
      <c r="AG110" s="27"/>
    </row>
    <row r="111" ht="19.5" customHeight="1">
      <c r="B111" s="75" t="s">
        <v>2</v>
      </c>
      <c r="C111" s="108">
        <f t="shared" ref="C111:N111" si="75">SUM(C112:C116)</f>
        <v>10</v>
      </c>
      <c r="D111" s="109">
        <f t="shared" si="75"/>
        <v>10</v>
      </c>
      <c r="E111" s="109">
        <f t="shared" si="75"/>
        <v>10</v>
      </c>
      <c r="F111" s="109">
        <f t="shared" si="75"/>
        <v>10</v>
      </c>
      <c r="G111" s="109">
        <f t="shared" si="75"/>
        <v>10</v>
      </c>
      <c r="H111" s="109">
        <f t="shared" si="75"/>
        <v>10</v>
      </c>
      <c r="I111" s="109">
        <f t="shared" si="75"/>
        <v>10</v>
      </c>
      <c r="J111" s="109">
        <f t="shared" si="75"/>
        <v>10</v>
      </c>
      <c r="K111" s="109">
        <f t="shared" si="75"/>
        <v>10</v>
      </c>
      <c r="L111" s="109">
        <f t="shared" si="75"/>
        <v>10</v>
      </c>
      <c r="M111" s="109">
        <f t="shared" si="75"/>
        <v>10</v>
      </c>
      <c r="N111" s="109">
        <f t="shared" si="75"/>
        <v>10</v>
      </c>
      <c r="O111" s="110">
        <f t="shared" ref="O111:O122" si="77">SUM(C111:N111)</f>
        <v>120</v>
      </c>
      <c r="P111" s="109">
        <f t="shared" ref="P111:AA111" si="76">SUM(P112:P116)</f>
        <v>10</v>
      </c>
      <c r="Q111" s="109">
        <f t="shared" si="76"/>
        <v>10</v>
      </c>
      <c r="R111" s="109">
        <f t="shared" si="76"/>
        <v>10</v>
      </c>
      <c r="S111" s="109">
        <f t="shared" si="76"/>
        <v>10</v>
      </c>
      <c r="T111" s="109">
        <f t="shared" si="76"/>
        <v>10</v>
      </c>
      <c r="U111" s="109">
        <f t="shared" si="76"/>
        <v>10</v>
      </c>
      <c r="V111" s="109">
        <f t="shared" si="76"/>
        <v>10</v>
      </c>
      <c r="W111" s="109">
        <f t="shared" si="76"/>
        <v>10</v>
      </c>
      <c r="X111" s="109">
        <f t="shared" si="76"/>
        <v>10</v>
      </c>
      <c r="Y111" s="109">
        <f t="shared" si="76"/>
        <v>10</v>
      </c>
      <c r="Z111" s="109">
        <f t="shared" si="76"/>
        <v>10</v>
      </c>
      <c r="AA111" s="109">
        <f t="shared" si="76"/>
        <v>10</v>
      </c>
      <c r="AB111" s="111">
        <f t="shared" ref="AB111:AB122" si="78">SUM(P111:AA111)</f>
        <v>120</v>
      </c>
      <c r="AG111" s="27"/>
    </row>
    <row r="112" ht="19.5" customHeight="1" outlineLevel="1">
      <c r="B112" s="112" t="s">
        <v>64</v>
      </c>
      <c r="C112" s="113">
        <f>C96*'Аналитика'!$M$9</f>
        <v>2</v>
      </c>
      <c r="D112" s="114">
        <f>D96*'Аналитика'!$M$9</f>
        <v>2</v>
      </c>
      <c r="E112" s="114">
        <f>E96*'Аналитика'!$M$9</f>
        <v>2</v>
      </c>
      <c r="F112" s="114">
        <f>F96*'Аналитика'!$M$9</f>
        <v>2</v>
      </c>
      <c r="G112" s="114">
        <f>G96*'Аналитика'!$M$9</f>
        <v>2</v>
      </c>
      <c r="H112" s="114">
        <f>H96*'Аналитика'!$M$9</f>
        <v>2</v>
      </c>
      <c r="I112" s="114">
        <f>I96*'Аналитика'!$M$9</f>
        <v>2</v>
      </c>
      <c r="J112" s="114">
        <f>J96*'Аналитика'!$M$9</f>
        <v>2</v>
      </c>
      <c r="K112" s="114">
        <f>K96*'Аналитика'!$M$9</f>
        <v>2</v>
      </c>
      <c r="L112" s="114">
        <f>L96*'Аналитика'!$M$9</f>
        <v>2</v>
      </c>
      <c r="M112" s="114">
        <f>M96*'Аналитика'!$M$9</f>
        <v>2</v>
      </c>
      <c r="N112" s="114">
        <f>N96*'Аналитика'!$M$9</f>
        <v>2</v>
      </c>
      <c r="O112" s="115">
        <f t="shared" si="77"/>
        <v>24</v>
      </c>
      <c r="P112" s="114">
        <f>P96*'Аналитика'!$M$9</f>
        <v>2</v>
      </c>
      <c r="Q112" s="114">
        <f>Q96*'Аналитика'!$M$9</f>
        <v>2</v>
      </c>
      <c r="R112" s="114">
        <f>R96*'Аналитика'!$M$9</f>
        <v>2</v>
      </c>
      <c r="S112" s="114">
        <f>S96*'Аналитика'!$M$9</f>
        <v>2</v>
      </c>
      <c r="T112" s="114">
        <f>T96*'Аналитика'!$M$9</f>
        <v>2</v>
      </c>
      <c r="U112" s="114">
        <f>U96*'Аналитика'!$M$9</f>
        <v>2</v>
      </c>
      <c r="V112" s="114">
        <f>V96*'Аналитика'!$M$9</f>
        <v>2</v>
      </c>
      <c r="W112" s="114">
        <f>W96*'Аналитика'!$M$9</f>
        <v>2</v>
      </c>
      <c r="X112" s="114">
        <f>X96*'Аналитика'!$M$9</f>
        <v>2</v>
      </c>
      <c r="Y112" s="114">
        <f>Y96*'Аналитика'!$M$9</f>
        <v>2</v>
      </c>
      <c r="Z112" s="114">
        <f>Z96*'Аналитика'!$M$9</f>
        <v>2</v>
      </c>
      <c r="AA112" s="114">
        <f>AA96*'Аналитика'!$M$9</f>
        <v>2</v>
      </c>
      <c r="AB112" s="116">
        <f t="shared" si="78"/>
        <v>24</v>
      </c>
      <c r="AG112" s="27"/>
    </row>
    <row r="113" ht="19.5" customHeight="1" outlineLevel="1">
      <c r="B113" s="117" t="s">
        <v>65</v>
      </c>
      <c r="C113" s="113">
        <f>C97*'Аналитика'!$M$9</f>
        <v>2</v>
      </c>
      <c r="D113" s="114">
        <f>D97*'Аналитика'!$M$9</f>
        <v>2</v>
      </c>
      <c r="E113" s="114">
        <f>E97*'Аналитика'!$M$9</f>
        <v>2</v>
      </c>
      <c r="F113" s="114">
        <f>F97*'Аналитика'!$M$9</f>
        <v>2</v>
      </c>
      <c r="G113" s="114">
        <f>G97*'Аналитика'!$M$9</f>
        <v>2</v>
      </c>
      <c r="H113" s="114">
        <f>H97*'Аналитика'!$M$9</f>
        <v>2</v>
      </c>
      <c r="I113" s="114">
        <f>I97*'Аналитика'!$M$9</f>
        <v>2</v>
      </c>
      <c r="J113" s="114">
        <f>J97*'Аналитика'!$M$9</f>
        <v>2</v>
      </c>
      <c r="K113" s="114">
        <f>K97*'Аналитика'!$M$9</f>
        <v>2</v>
      </c>
      <c r="L113" s="114">
        <f>L97*'Аналитика'!$M$9</f>
        <v>2</v>
      </c>
      <c r="M113" s="114">
        <f>M97*'Аналитика'!$M$9</f>
        <v>2</v>
      </c>
      <c r="N113" s="114">
        <f>N97*'Аналитика'!$M$9</f>
        <v>2</v>
      </c>
      <c r="O113" s="115">
        <f t="shared" si="77"/>
        <v>24</v>
      </c>
      <c r="P113" s="114">
        <f>P97*'Аналитика'!$M$9</f>
        <v>2</v>
      </c>
      <c r="Q113" s="114">
        <f>Q97*'Аналитика'!$M$9</f>
        <v>2</v>
      </c>
      <c r="R113" s="114">
        <f>R97*'Аналитика'!$M$9</f>
        <v>2</v>
      </c>
      <c r="S113" s="114">
        <f>S97*'Аналитика'!$M$9</f>
        <v>2</v>
      </c>
      <c r="T113" s="114">
        <f>T97*'Аналитика'!$M$9</f>
        <v>2</v>
      </c>
      <c r="U113" s="114">
        <f>U97*'Аналитика'!$M$9</f>
        <v>2</v>
      </c>
      <c r="V113" s="114">
        <f>V97*'Аналитика'!$M$9</f>
        <v>2</v>
      </c>
      <c r="W113" s="114">
        <f>W97*'Аналитика'!$M$9</f>
        <v>2</v>
      </c>
      <c r="X113" s="114">
        <f>X97*'Аналитика'!$M$9</f>
        <v>2</v>
      </c>
      <c r="Y113" s="114">
        <f>Y97*'Аналитика'!$M$9</f>
        <v>2</v>
      </c>
      <c r="Z113" s="114">
        <f>Z97*'Аналитика'!$M$9</f>
        <v>2</v>
      </c>
      <c r="AA113" s="114">
        <f>AA97*'Аналитика'!$M$9</f>
        <v>2</v>
      </c>
      <c r="AB113" s="116">
        <f t="shared" si="78"/>
        <v>24</v>
      </c>
      <c r="AG113" s="27"/>
    </row>
    <row r="114" ht="19.5" customHeight="1" outlineLevel="1">
      <c r="B114" s="117" t="s">
        <v>67</v>
      </c>
      <c r="C114" s="113">
        <f>C98*'Аналитика'!$M$9</f>
        <v>2</v>
      </c>
      <c r="D114" s="114">
        <f>D98*'Аналитика'!$M$9</f>
        <v>2</v>
      </c>
      <c r="E114" s="114">
        <f>E98*'Аналитика'!$M$9</f>
        <v>2</v>
      </c>
      <c r="F114" s="114">
        <f>F98*'Аналитика'!$M$9</f>
        <v>2</v>
      </c>
      <c r="G114" s="114">
        <f>G98*'Аналитика'!$M$9</f>
        <v>2</v>
      </c>
      <c r="H114" s="114">
        <f>H98*'Аналитика'!$M$9</f>
        <v>2</v>
      </c>
      <c r="I114" s="114">
        <f>I98*'Аналитика'!$M$9</f>
        <v>2</v>
      </c>
      <c r="J114" s="114">
        <f>J98*'Аналитика'!$M$9</f>
        <v>2</v>
      </c>
      <c r="K114" s="114">
        <f>K98*'Аналитика'!$M$9</f>
        <v>2</v>
      </c>
      <c r="L114" s="114">
        <f>L98*'Аналитика'!$M$9</f>
        <v>2</v>
      </c>
      <c r="M114" s="114">
        <f>M98*'Аналитика'!$M$9</f>
        <v>2</v>
      </c>
      <c r="N114" s="114">
        <f>N98*'Аналитика'!$M$9</f>
        <v>2</v>
      </c>
      <c r="O114" s="115">
        <f t="shared" si="77"/>
        <v>24</v>
      </c>
      <c r="P114" s="114">
        <f>P98*'Аналитика'!$M$9</f>
        <v>2</v>
      </c>
      <c r="Q114" s="114">
        <f>Q98*'Аналитика'!$M$9</f>
        <v>2</v>
      </c>
      <c r="R114" s="114">
        <f>R98*'Аналитика'!$M$9</f>
        <v>2</v>
      </c>
      <c r="S114" s="114">
        <f>S98*'Аналитика'!$M$9</f>
        <v>2</v>
      </c>
      <c r="T114" s="114">
        <f>T98*'Аналитика'!$M$9</f>
        <v>2</v>
      </c>
      <c r="U114" s="114">
        <f>U98*'Аналитика'!$M$9</f>
        <v>2</v>
      </c>
      <c r="V114" s="114">
        <f>V98*'Аналитика'!$M$9</f>
        <v>2</v>
      </c>
      <c r="W114" s="114">
        <f>W98*'Аналитика'!$M$9</f>
        <v>2</v>
      </c>
      <c r="X114" s="114">
        <f>X98*'Аналитика'!$M$9</f>
        <v>2</v>
      </c>
      <c r="Y114" s="114">
        <f>Y98*'Аналитика'!$M$9</f>
        <v>2</v>
      </c>
      <c r="Z114" s="114">
        <f>Z98*'Аналитика'!$M$9</f>
        <v>2</v>
      </c>
      <c r="AA114" s="114">
        <f>AA98*'Аналитика'!$M$9</f>
        <v>2</v>
      </c>
      <c r="AB114" s="116">
        <f t="shared" si="78"/>
        <v>24</v>
      </c>
      <c r="AG114" s="27"/>
    </row>
    <row r="115" ht="19.5" customHeight="1" outlineLevel="1">
      <c r="B115" s="117" t="s">
        <v>68</v>
      </c>
      <c r="C115" s="113">
        <f>C99*'Аналитика'!$M$9</f>
        <v>2</v>
      </c>
      <c r="D115" s="114">
        <f>D99*'Аналитика'!$M$9</f>
        <v>2</v>
      </c>
      <c r="E115" s="114">
        <f>E99*'Аналитика'!$M$9</f>
        <v>2</v>
      </c>
      <c r="F115" s="114">
        <f>F99*'Аналитика'!$M$9</f>
        <v>2</v>
      </c>
      <c r="G115" s="114">
        <f>G99*'Аналитика'!$M$9</f>
        <v>2</v>
      </c>
      <c r="H115" s="114">
        <f>H99*'Аналитика'!$M$9</f>
        <v>2</v>
      </c>
      <c r="I115" s="114">
        <f>I99*'Аналитика'!$M$9</f>
        <v>2</v>
      </c>
      <c r="J115" s="114">
        <f>J99*'Аналитика'!$M$9</f>
        <v>2</v>
      </c>
      <c r="K115" s="114">
        <f>K99*'Аналитика'!$M$9</f>
        <v>2</v>
      </c>
      <c r="L115" s="114">
        <f>L99*'Аналитика'!$M$9</f>
        <v>2</v>
      </c>
      <c r="M115" s="114">
        <f>M99*'Аналитика'!$M$9</f>
        <v>2</v>
      </c>
      <c r="N115" s="114">
        <f>N99*'Аналитика'!$M$9</f>
        <v>2</v>
      </c>
      <c r="O115" s="115">
        <f t="shared" si="77"/>
        <v>24</v>
      </c>
      <c r="P115" s="114">
        <f>P99*'Аналитика'!$M$9</f>
        <v>2</v>
      </c>
      <c r="Q115" s="114">
        <f>Q99*'Аналитика'!$M$9</f>
        <v>2</v>
      </c>
      <c r="R115" s="114">
        <f>R99*'Аналитика'!$M$9</f>
        <v>2</v>
      </c>
      <c r="S115" s="114">
        <f>S99*'Аналитика'!$M$9</f>
        <v>2</v>
      </c>
      <c r="T115" s="114">
        <f>T99*'Аналитика'!$M$9</f>
        <v>2</v>
      </c>
      <c r="U115" s="114">
        <f>U99*'Аналитика'!$M$9</f>
        <v>2</v>
      </c>
      <c r="V115" s="114">
        <f>V99*'Аналитика'!$M$9</f>
        <v>2</v>
      </c>
      <c r="W115" s="114">
        <f>W99*'Аналитика'!$M$9</f>
        <v>2</v>
      </c>
      <c r="X115" s="114">
        <f>X99*'Аналитика'!$M$9</f>
        <v>2</v>
      </c>
      <c r="Y115" s="114">
        <f>Y99*'Аналитика'!$M$9</f>
        <v>2</v>
      </c>
      <c r="Z115" s="114">
        <f>Z99*'Аналитика'!$M$9</f>
        <v>2</v>
      </c>
      <c r="AA115" s="114">
        <f>AA99*'Аналитика'!$M$9</f>
        <v>2</v>
      </c>
      <c r="AB115" s="116">
        <f t="shared" si="78"/>
        <v>24</v>
      </c>
      <c r="AG115" s="27"/>
    </row>
    <row r="116" ht="19.5" customHeight="1" outlineLevel="1">
      <c r="B116" s="118" t="s">
        <v>58</v>
      </c>
      <c r="C116" s="113">
        <f>C100*'Аналитика'!$M$9</f>
        <v>2</v>
      </c>
      <c r="D116" s="114">
        <f>D100*'Аналитика'!$M$9</f>
        <v>2</v>
      </c>
      <c r="E116" s="114">
        <f>E100*'Аналитика'!$M$9</f>
        <v>2</v>
      </c>
      <c r="F116" s="114">
        <f>F100*'Аналитика'!$M$9</f>
        <v>2</v>
      </c>
      <c r="G116" s="114">
        <f>G100*'Аналитика'!$M$9</f>
        <v>2</v>
      </c>
      <c r="H116" s="114">
        <f>H100*'Аналитика'!$M$9</f>
        <v>2</v>
      </c>
      <c r="I116" s="114">
        <f>I100*'Аналитика'!$M$9</f>
        <v>2</v>
      </c>
      <c r="J116" s="114">
        <f>J100*'Аналитика'!$M$9</f>
        <v>2</v>
      </c>
      <c r="K116" s="114">
        <f>K100*'Аналитика'!$M$9</f>
        <v>2</v>
      </c>
      <c r="L116" s="114">
        <f>L100*'Аналитика'!$M$9</f>
        <v>2</v>
      </c>
      <c r="M116" s="114">
        <f>M100*'Аналитика'!$M$9</f>
        <v>2</v>
      </c>
      <c r="N116" s="114">
        <f>N100*'Аналитика'!$M$9</f>
        <v>2</v>
      </c>
      <c r="O116" s="119">
        <f t="shared" si="77"/>
        <v>24</v>
      </c>
      <c r="P116" s="114">
        <f>P100*'Аналитика'!$M$9</f>
        <v>2</v>
      </c>
      <c r="Q116" s="114">
        <f>Q100*'Аналитика'!$M$9</f>
        <v>2</v>
      </c>
      <c r="R116" s="114">
        <f>R100*'Аналитика'!$M$9</f>
        <v>2</v>
      </c>
      <c r="S116" s="114">
        <f>S100*'Аналитика'!$M$9</f>
        <v>2</v>
      </c>
      <c r="T116" s="114">
        <f>T100*'Аналитика'!$M$9</f>
        <v>2</v>
      </c>
      <c r="U116" s="114">
        <f>U100*'Аналитика'!$M$9</f>
        <v>2</v>
      </c>
      <c r="V116" s="114">
        <f>V100*'Аналитика'!$M$9</f>
        <v>2</v>
      </c>
      <c r="W116" s="114">
        <f>W100*'Аналитика'!$M$9</f>
        <v>2</v>
      </c>
      <c r="X116" s="114">
        <f>X100*'Аналитика'!$M$9</f>
        <v>2</v>
      </c>
      <c r="Y116" s="114">
        <f>Y100*'Аналитика'!$M$9</f>
        <v>2</v>
      </c>
      <c r="Z116" s="114">
        <f>Z100*'Аналитика'!$M$9</f>
        <v>2</v>
      </c>
      <c r="AA116" s="114">
        <f>AA100*'Аналитика'!$M$9</f>
        <v>2</v>
      </c>
      <c r="AB116" s="120">
        <f t="shared" si="78"/>
        <v>24</v>
      </c>
      <c r="AG116" s="27"/>
    </row>
    <row r="117" ht="19.5" customHeight="1">
      <c r="B117" s="75" t="s">
        <v>3</v>
      </c>
      <c r="C117" s="121">
        <f t="shared" ref="C117:N117" si="79">SUM(C118:C121)</f>
        <v>8</v>
      </c>
      <c r="D117" s="122">
        <f t="shared" si="79"/>
        <v>8</v>
      </c>
      <c r="E117" s="122">
        <f t="shared" si="79"/>
        <v>8</v>
      </c>
      <c r="F117" s="122">
        <f t="shared" si="79"/>
        <v>8</v>
      </c>
      <c r="G117" s="122">
        <f t="shared" si="79"/>
        <v>8</v>
      </c>
      <c r="H117" s="122">
        <f t="shared" si="79"/>
        <v>8</v>
      </c>
      <c r="I117" s="122">
        <f t="shared" si="79"/>
        <v>8</v>
      </c>
      <c r="J117" s="122">
        <f t="shared" si="79"/>
        <v>8</v>
      </c>
      <c r="K117" s="122">
        <f t="shared" si="79"/>
        <v>8</v>
      </c>
      <c r="L117" s="122">
        <f t="shared" si="79"/>
        <v>8</v>
      </c>
      <c r="M117" s="122">
        <f t="shared" si="79"/>
        <v>8</v>
      </c>
      <c r="N117" s="122">
        <f t="shared" si="79"/>
        <v>8</v>
      </c>
      <c r="O117" s="123">
        <f t="shared" si="77"/>
        <v>96</v>
      </c>
      <c r="P117" s="122">
        <f t="shared" ref="P117:AA117" si="80">SUM(P118:P121)</f>
        <v>8</v>
      </c>
      <c r="Q117" s="122">
        <f t="shared" si="80"/>
        <v>8</v>
      </c>
      <c r="R117" s="122">
        <f t="shared" si="80"/>
        <v>8</v>
      </c>
      <c r="S117" s="122">
        <f t="shared" si="80"/>
        <v>8</v>
      </c>
      <c r="T117" s="122">
        <f t="shared" si="80"/>
        <v>8</v>
      </c>
      <c r="U117" s="122">
        <f t="shared" si="80"/>
        <v>8</v>
      </c>
      <c r="V117" s="122">
        <f t="shared" si="80"/>
        <v>8</v>
      </c>
      <c r="W117" s="122">
        <f t="shared" si="80"/>
        <v>8</v>
      </c>
      <c r="X117" s="122">
        <f t="shared" si="80"/>
        <v>8</v>
      </c>
      <c r="Y117" s="122">
        <f t="shared" si="80"/>
        <v>8</v>
      </c>
      <c r="Z117" s="122">
        <f t="shared" si="80"/>
        <v>8</v>
      </c>
      <c r="AA117" s="122">
        <f t="shared" si="80"/>
        <v>8</v>
      </c>
      <c r="AB117" s="124">
        <f t="shared" si="78"/>
        <v>96</v>
      </c>
      <c r="AG117" s="27"/>
    </row>
    <row r="118" ht="19.5" customHeight="1" outlineLevel="1">
      <c r="B118" s="48" t="s">
        <v>64</v>
      </c>
      <c r="C118" s="125">
        <f>C102*'Аналитика'!$M$9</f>
        <v>2</v>
      </c>
      <c r="D118" s="126">
        <f>D102*'Аналитика'!$M$9</f>
        <v>2</v>
      </c>
      <c r="E118" s="126">
        <f>E102*'Аналитика'!$M$9</f>
        <v>2</v>
      </c>
      <c r="F118" s="126">
        <f>F102*'Аналитика'!$M$9</f>
        <v>2</v>
      </c>
      <c r="G118" s="126">
        <f>G102*'Аналитика'!$M$9</f>
        <v>2</v>
      </c>
      <c r="H118" s="126">
        <f>H102*'Аналитика'!$M$9</f>
        <v>2</v>
      </c>
      <c r="I118" s="126">
        <f>I102*'Аналитика'!$M$9</f>
        <v>2</v>
      </c>
      <c r="J118" s="126">
        <f>J102*'Аналитика'!$M$9</f>
        <v>2</v>
      </c>
      <c r="K118" s="126">
        <f>K102*'Аналитика'!$M$9</f>
        <v>2</v>
      </c>
      <c r="L118" s="126">
        <f>L102*'Аналитика'!$M$9</f>
        <v>2</v>
      </c>
      <c r="M118" s="126">
        <f>M102*'Аналитика'!$M$9</f>
        <v>2</v>
      </c>
      <c r="N118" s="126">
        <f>N102*'Аналитика'!$M$9</f>
        <v>2</v>
      </c>
      <c r="O118" s="127">
        <f t="shared" si="77"/>
        <v>24</v>
      </c>
      <c r="P118" s="126">
        <f>P102*'Аналитика'!$M$9</f>
        <v>2</v>
      </c>
      <c r="Q118" s="126">
        <f>Q96*'Аналитика'!$M$9</f>
        <v>2</v>
      </c>
      <c r="R118" s="126">
        <f>R96*'Аналитика'!$M$9</f>
        <v>2</v>
      </c>
      <c r="S118" s="126">
        <f>S96*'Аналитика'!$M$9</f>
        <v>2</v>
      </c>
      <c r="T118" s="126">
        <f>T96*'Аналитика'!$M$9</f>
        <v>2</v>
      </c>
      <c r="U118" s="126">
        <f>U96*'Аналитика'!$M$9</f>
        <v>2</v>
      </c>
      <c r="V118" s="126">
        <f>V96*'Аналитика'!$M$9</f>
        <v>2</v>
      </c>
      <c r="W118" s="126">
        <f>W96*'Аналитика'!$M$9</f>
        <v>2</v>
      </c>
      <c r="X118" s="126">
        <f>X96*'Аналитика'!$M$9</f>
        <v>2</v>
      </c>
      <c r="Y118" s="126">
        <f>Y96*'Аналитика'!$M$9</f>
        <v>2</v>
      </c>
      <c r="Z118" s="126">
        <f>Z96*'Аналитика'!$M$9</f>
        <v>2</v>
      </c>
      <c r="AA118" s="126">
        <f>AA96*'Аналитика'!$M$9</f>
        <v>2</v>
      </c>
      <c r="AB118" s="128">
        <f t="shared" si="78"/>
        <v>24</v>
      </c>
      <c r="AG118" s="27"/>
    </row>
    <row r="119" ht="19.5" customHeight="1" outlineLevel="1">
      <c r="B119" s="54" t="s">
        <v>66</v>
      </c>
      <c r="C119" s="125">
        <f>C103*'Аналитика'!$M$9</f>
        <v>2</v>
      </c>
      <c r="D119" s="126">
        <f>C119</f>
        <v>2</v>
      </c>
      <c r="E119" s="126">
        <v>2.0</v>
      </c>
      <c r="F119" s="126">
        <v>2.0</v>
      </c>
      <c r="G119" s="126">
        <v>2.0</v>
      </c>
      <c r="H119" s="126">
        <v>2.0</v>
      </c>
      <c r="I119" s="126">
        <v>2.0</v>
      </c>
      <c r="J119" s="126">
        <v>2.0</v>
      </c>
      <c r="K119" s="126">
        <v>2.0</v>
      </c>
      <c r="L119" s="126">
        <v>2.0</v>
      </c>
      <c r="M119" s="126">
        <v>2.0</v>
      </c>
      <c r="N119" s="126">
        <v>2.0</v>
      </c>
      <c r="O119" s="115">
        <f t="shared" si="77"/>
        <v>24</v>
      </c>
      <c r="P119" s="126">
        <v>2.0</v>
      </c>
      <c r="Q119" s="126">
        <v>2.0</v>
      </c>
      <c r="R119" s="126">
        <v>2.0</v>
      </c>
      <c r="S119" s="126">
        <v>2.0</v>
      </c>
      <c r="T119" s="126">
        <v>2.0</v>
      </c>
      <c r="U119" s="126">
        <v>2.0</v>
      </c>
      <c r="V119" s="126">
        <v>2.0</v>
      </c>
      <c r="W119" s="126">
        <v>2.0</v>
      </c>
      <c r="X119" s="126">
        <v>2.0</v>
      </c>
      <c r="Y119" s="126">
        <v>2.0</v>
      </c>
      <c r="Z119" s="126">
        <v>2.0</v>
      </c>
      <c r="AA119" s="126">
        <v>2.0</v>
      </c>
      <c r="AB119" s="116">
        <f t="shared" si="78"/>
        <v>24</v>
      </c>
      <c r="AG119" s="27"/>
    </row>
    <row r="120" ht="19.5" customHeight="1" outlineLevel="1">
      <c r="B120" s="54" t="s">
        <v>67</v>
      </c>
      <c r="C120" s="125">
        <f>C104*'Аналитика'!$M$9</f>
        <v>2</v>
      </c>
      <c r="D120" s="126">
        <f>D104*'Аналитика'!$M$9</f>
        <v>2</v>
      </c>
      <c r="E120" s="126">
        <f>E104*'Аналитика'!$M$9</f>
        <v>2</v>
      </c>
      <c r="F120" s="126">
        <f>F104*'Аналитика'!$M$9</f>
        <v>2</v>
      </c>
      <c r="G120" s="126">
        <f>G104*'Аналитика'!$M$9</f>
        <v>2</v>
      </c>
      <c r="H120" s="126">
        <f>H104*'Аналитика'!$M$9</f>
        <v>2</v>
      </c>
      <c r="I120" s="126">
        <f>I104*'Аналитика'!$M$9</f>
        <v>2</v>
      </c>
      <c r="J120" s="126">
        <f>J104*'Аналитика'!$M$9</f>
        <v>2</v>
      </c>
      <c r="K120" s="126">
        <f>K104*'Аналитика'!$M$9</f>
        <v>2</v>
      </c>
      <c r="L120" s="126">
        <f>L104*'Аналитика'!$M$9</f>
        <v>2</v>
      </c>
      <c r="M120" s="126">
        <f>M104*'Аналитика'!$M$9</f>
        <v>2</v>
      </c>
      <c r="N120" s="126">
        <f>N104*'Аналитика'!$M$9</f>
        <v>2</v>
      </c>
      <c r="O120" s="115">
        <f t="shared" si="77"/>
        <v>24</v>
      </c>
      <c r="P120" s="126">
        <f>P104*'Аналитика'!$M$9</f>
        <v>2</v>
      </c>
      <c r="Q120" s="126">
        <f>Q104*'Аналитика'!$M$9</f>
        <v>2</v>
      </c>
      <c r="R120" s="126">
        <f>R104*'Аналитика'!$M$9</f>
        <v>2</v>
      </c>
      <c r="S120" s="126">
        <f>S104*'Аналитика'!$M$9</f>
        <v>2</v>
      </c>
      <c r="T120" s="126">
        <f>T104*'Аналитика'!$M$9</f>
        <v>2</v>
      </c>
      <c r="U120" s="126">
        <f>U104*'Аналитика'!$M$9</f>
        <v>2</v>
      </c>
      <c r="V120" s="126">
        <f>V104*'Аналитика'!$M$9</f>
        <v>2</v>
      </c>
      <c r="W120" s="126">
        <f>W104*'Аналитика'!$M$9</f>
        <v>2</v>
      </c>
      <c r="X120" s="126">
        <f>X104*'Аналитика'!$M$9</f>
        <v>2</v>
      </c>
      <c r="Y120" s="126">
        <f>Y104*'Аналитика'!$M$9</f>
        <v>2</v>
      </c>
      <c r="Z120" s="126">
        <f>Z104*'Аналитика'!$M$9</f>
        <v>2</v>
      </c>
      <c r="AA120" s="126">
        <f>AA104*'Аналитика'!$M$9</f>
        <v>2</v>
      </c>
      <c r="AB120" s="116">
        <f t="shared" si="78"/>
        <v>24</v>
      </c>
      <c r="AG120" s="27"/>
    </row>
    <row r="121" ht="19.5" customHeight="1" outlineLevel="1">
      <c r="B121" s="54" t="s">
        <v>58</v>
      </c>
      <c r="C121" s="125">
        <f>C105*'Аналитика'!$M$9</f>
        <v>2</v>
      </c>
      <c r="D121" s="126">
        <f>D105*'Аналитика'!$M$9</f>
        <v>2</v>
      </c>
      <c r="E121" s="126">
        <f>E105*'Аналитика'!$M$9</f>
        <v>2</v>
      </c>
      <c r="F121" s="126">
        <f>F105*'Аналитика'!$M$9</f>
        <v>2</v>
      </c>
      <c r="G121" s="126">
        <f>G105*'Аналитика'!$M$9</f>
        <v>2</v>
      </c>
      <c r="H121" s="126">
        <f>H105*'Аналитика'!$M$9</f>
        <v>2</v>
      </c>
      <c r="I121" s="126">
        <f>I105*'Аналитика'!$M$9</f>
        <v>2</v>
      </c>
      <c r="J121" s="126">
        <f>J105*'Аналитика'!$M$9</f>
        <v>2</v>
      </c>
      <c r="K121" s="126">
        <f>K105*'Аналитика'!$M$9</f>
        <v>2</v>
      </c>
      <c r="L121" s="126">
        <f>L105*'Аналитика'!$M$9</f>
        <v>2</v>
      </c>
      <c r="M121" s="126">
        <f>M105*'Аналитика'!$M$9</f>
        <v>2</v>
      </c>
      <c r="N121" s="126">
        <f>N105*'Аналитика'!$M$9</f>
        <v>2</v>
      </c>
      <c r="O121" s="115">
        <f t="shared" si="77"/>
        <v>24</v>
      </c>
      <c r="P121" s="126">
        <f>P105*'Аналитика'!$M$9</f>
        <v>2</v>
      </c>
      <c r="Q121" s="126">
        <f>Q105*'Аналитика'!$M$9</f>
        <v>2</v>
      </c>
      <c r="R121" s="126">
        <f>R105*'Аналитика'!$M$9</f>
        <v>2</v>
      </c>
      <c r="S121" s="126">
        <f>S105*'Аналитика'!$M$9</f>
        <v>2</v>
      </c>
      <c r="T121" s="126">
        <f>T105*'Аналитика'!$M$9</f>
        <v>2</v>
      </c>
      <c r="U121" s="126">
        <f>U105*'Аналитика'!$M$9</f>
        <v>2</v>
      </c>
      <c r="V121" s="126">
        <f>V105*'Аналитика'!$M$9</f>
        <v>2</v>
      </c>
      <c r="W121" s="126">
        <f>W105*'Аналитика'!$M$9</f>
        <v>2</v>
      </c>
      <c r="X121" s="126">
        <f>X105*'Аналитика'!$M$9</f>
        <v>2</v>
      </c>
      <c r="Y121" s="126">
        <f>Y105*'Аналитика'!$M$9</f>
        <v>2</v>
      </c>
      <c r="Z121" s="126">
        <f>Z105*'Аналитика'!$M$9</f>
        <v>2</v>
      </c>
      <c r="AA121" s="126">
        <f>AA105*'Аналитика'!$M$9</f>
        <v>2</v>
      </c>
      <c r="AB121" s="116">
        <f t="shared" si="78"/>
        <v>24</v>
      </c>
      <c r="AG121" s="27"/>
    </row>
    <row r="122" ht="19.5" customHeight="1">
      <c r="B122" s="75" t="s">
        <v>103</v>
      </c>
      <c r="C122" s="148">
        <f>C106*'Аналитика'!$M$9</f>
        <v>2</v>
      </c>
      <c r="D122" s="149">
        <f>D106*'Аналитика'!$M$9</f>
        <v>2</v>
      </c>
      <c r="E122" s="149">
        <f>E106*'Аналитика'!$M$9</f>
        <v>2</v>
      </c>
      <c r="F122" s="149">
        <f>F106*'Аналитика'!$M$9</f>
        <v>2</v>
      </c>
      <c r="G122" s="149">
        <f>G106*'Аналитика'!$M$9</f>
        <v>2</v>
      </c>
      <c r="H122" s="149">
        <f>H106*'Аналитика'!$M$9</f>
        <v>2</v>
      </c>
      <c r="I122" s="149">
        <f>I106*'Аналитика'!$M$9</f>
        <v>2</v>
      </c>
      <c r="J122" s="149">
        <f>J106*'Аналитика'!$M$9</f>
        <v>2</v>
      </c>
      <c r="K122" s="149">
        <f>K106*'Аналитика'!$M$9</f>
        <v>2</v>
      </c>
      <c r="L122" s="149">
        <f>L106*'Аналитика'!$M$9</f>
        <v>2</v>
      </c>
      <c r="M122" s="149">
        <f>M106*'Аналитика'!$M$9</f>
        <v>2</v>
      </c>
      <c r="N122" s="149">
        <f>N106*'Аналитика'!$M$9</f>
        <v>2</v>
      </c>
      <c r="O122" s="150">
        <f t="shared" si="77"/>
        <v>24</v>
      </c>
      <c r="P122" s="149">
        <f>P106*'Аналитика'!$M$9</f>
        <v>2</v>
      </c>
      <c r="Q122" s="149">
        <f>Q106*'Аналитика'!$M$9</f>
        <v>2</v>
      </c>
      <c r="R122" s="149">
        <f>R106*'Аналитика'!$M$9</f>
        <v>2</v>
      </c>
      <c r="S122" s="149">
        <f>S106*'Аналитика'!$M$9</f>
        <v>2</v>
      </c>
      <c r="T122" s="149">
        <f>T106*'Аналитика'!$M$9</f>
        <v>2</v>
      </c>
      <c r="U122" s="149">
        <f>U106*'Аналитика'!$M$9</f>
        <v>2</v>
      </c>
      <c r="V122" s="149">
        <f>V106*'Аналитика'!$M$9</f>
        <v>2</v>
      </c>
      <c r="W122" s="149">
        <f>W106*'Аналитика'!$M$9</f>
        <v>2</v>
      </c>
      <c r="X122" s="149">
        <f>X106*'Аналитика'!$M$9</f>
        <v>2</v>
      </c>
      <c r="Y122" s="149">
        <f>Y106*'Аналитика'!$M$9</f>
        <v>2</v>
      </c>
      <c r="Z122" s="149">
        <f>Z106*'Аналитика'!$M$9</f>
        <v>2</v>
      </c>
      <c r="AA122" s="149">
        <f>AA106*'Аналитика'!$M$9</f>
        <v>2</v>
      </c>
      <c r="AB122" s="151">
        <f t="shared" si="78"/>
        <v>24</v>
      </c>
      <c r="AG122" s="27"/>
    </row>
    <row r="123" ht="19.5" customHeight="1"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G123" s="27"/>
    </row>
    <row r="124" ht="19.5" customHeight="1">
      <c r="B124" s="134" t="s">
        <v>108</v>
      </c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F124" s="26" t="s">
        <v>9</v>
      </c>
      <c r="AG124" s="27" t="str">
        <f>IF(AF124="Нет", " ", "Показатель за год рассчитывается по формуле Годовой оклад/365*28. За месяц: Годовой оклад/12")</f>
        <v> </v>
      </c>
    </row>
    <row r="125" ht="19.5" customHeight="1">
      <c r="B125" s="96"/>
      <c r="C125" s="97" t="s">
        <v>72</v>
      </c>
      <c r="D125" s="97" t="s">
        <v>73</v>
      </c>
      <c r="E125" s="97" t="s">
        <v>74</v>
      </c>
      <c r="F125" s="97" t="s">
        <v>75</v>
      </c>
      <c r="G125" s="98">
        <v>46143.0</v>
      </c>
      <c r="H125" s="97" t="s">
        <v>76</v>
      </c>
      <c r="I125" s="97" t="s">
        <v>77</v>
      </c>
      <c r="J125" s="97" t="s">
        <v>78</v>
      </c>
      <c r="K125" s="97" t="s">
        <v>79</v>
      </c>
      <c r="L125" s="97" t="s">
        <v>80</v>
      </c>
      <c r="M125" s="97" t="s">
        <v>81</v>
      </c>
      <c r="N125" s="97" t="s">
        <v>82</v>
      </c>
      <c r="O125" s="99">
        <v>2026.0</v>
      </c>
      <c r="P125" s="97" t="s">
        <v>83</v>
      </c>
      <c r="Q125" s="97" t="s">
        <v>84</v>
      </c>
      <c r="R125" s="97" t="s">
        <v>85</v>
      </c>
      <c r="S125" s="97" t="s">
        <v>86</v>
      </c>
      <c r="T125" s="98">
        <v>46508.0</v>
      </c>
      <c r="U125" s="97" t="s">
        <v>87</v>
      </c>
      <c r="V125" s="97" t="s">
        <v>88</v>
      </c>
      <c r="W125" s="97" t="s">
        <v>89</v>
      </c>
      <c r="X125" s="97" t="s">
        <v>90</v>
      </c>
      <c r="Y125" s="97" t="s">
        <v>91</v>
      </c>
      <c r="Z125" s="97" t="s">
        <v>92</v>
      </c>
      <c r="AA125" s="97" t="s">
        <v>93</v>
      </c>
      <c r="AB125" s="100">
        <v>2027.0</v>
      </c>
      <c r="AG125" s="27"/>
    </row>
    <row r="126" ht="9.75" customHeight="1">
      <c r="B126" s="106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6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6"/>
      <c r="AG126" s="27"/>
    </row>
    <row r="127" ht="19.5" customHeight="1">
      <c r="B127" s="75" t="s">
        <v>2</v>
      </c>
      <c r="C127" s="108">
        <f t="shared" ref="C127:N127" si="81">SUM(C128:C132)</f>
        <v>29.15068493</v>
      </c>
      <c r="D127" s="109">
        <f t="shared" si="81"/>
        <v>29.15068493</v>
      </c>
      <c r="E127" s="109">
        <f t="shared" si="81"/>
        <v>29.15068493</v>
      </c>
      <c r="F127" s="109">
        <f t="shared" si="81"/>
        <v>29.15068493</v>
      </c>
      <c r="G127" s="109">
        <f t="shared" si="81"/>
        <v>29.15068493</v>
      </c>
      <c r="H127" s="109">
        <f t="shared" si="81"/>
        <v>29.15068493</v>
      </c>
      <c r="I127" s="109">
        <f t="shared" si="81"/>
        <v>29.15068493</v>
      </c>
      <c r="J127" s="109">
        <f t="shared" si="81"/>
        <v>29.15068493</v>
      </c>
      <c r="K127" s="109">
        <f t="shared" si="81"/>
        <v>29.15068493</v>
      </c>
      <c r="L127" s="109">
        <f t="shared" si="81"/>
        <v>29.15068493</v>
      </c>
      <c r="M127" s="109">
        <f t="shared" si="81"/>
        <v>29.15068493</v>
      </c>
      <c r="N127" s="109">
        <f t="shared" si="81"/>
        <v>29.15068493</v>
      </c>
      <c r="O127" s="110">
        <f>SUM(C127:N127)</f>
        <v>349.8082192</v>
      </c>
      <c r="P127" s="109">
        <f t="shared" ref="P127:AA127" si="82">SUM(P128:P132)</f>
        <v>31.48273973</v>
      </c>
      <c r="Q127" s="109">
        <f t="shared" si="82"/>
        <v>31.48273973</v>
      </c>
      <c r="R127" s="109">
        <f t="shared" si="82"/>
        <v>31.48273973</v>
      </c>
      <c r="S127" s="109">
        <f t="shared" si="82"/>
        <v>31.48273973</v>
      </c>
      <c r="T127" s="109">
        <f t="shared" si="82"/>
        <v>31.48273973</v>
      </c>
      <c r="U127" s="109">
        <f t="shared" si="82"/>
        <v>31.48273973</v>
      </c>
      <c r="V127" s="109">
        <f t="shared" si="82"/>
        <v>31.48273973</v>
      </c>
      <c r="W127" s="109">
        <f t="shared" si="82"/>
        <v>31.48273973</v>
      </c>
      <c r="X127" s="109">
        <f t="shared" si="82"/>
        <v>31.48273973</v>
      </c>
      <c r="Y127" s="109">
        <f t="shared" si="82"/>
        <v>31.48273973</v>
      </c>
      <c r="Z127" s="109">
        <f t="shared" si="82"/>
        <v>31.48273973</v>
      </c>
      <c r="AA127" s="109">
        <f t="shared" si="82"/>
        <v>31.48273973</v>
      </c>
      <c r="AB127" s="111">
        <f>SUM(P127:AA127)</f>
        <v>377.7928767</v>
      </c>
      <c r="AG127" s="27"/>
    </row>
    <row r="128" ht="19.5" customHeight="1" outlineLevel="1">
      <c r="B128" s="112" t="s">
        <v>64</v>
      </c>
      <c r="C128" s="113">
        <f t="shared" ref="C128:C132" si="83">O128/12</f>
        <v>7.671232877</v>
      </c>
      <c r="D128" s="114">
        <v>7.671232876712328</v>
      </c>
      <c r="E128" s="114">
        <v>7.671232876712328</v>
      </c>
      <c r="F128" s="114">
        <v>7.671232876712328</v>
      </c>
      <c r="G128" s="114">
        <v>7.671232876712328</v>
      </c>
      <c r="H128" s="114">
        <v>7.671232876712328</v>
      </c>
      <c r="I128" s="114">
        <v>7.671232876712328</v>
      </c>
      <c r="J128" s="114">
        <v>7.671232876712328</v>
      </c>
      <c r="K128" s="114">
        <v>7.671232876712328</v>
      </c>
      <c r="L128" s="114">
        <v>7.671232876712328</v>
      </c>
      <c r="M128" s="114">
        <v>7.671232876712328</v>
      </c>
      <c r="N128" s="114">
        <v>7.671232876712328</v>
      </c>
      <c r="O128" s="115">
        <f>'Аналитика'!C26*12/365*28</f>
        <v>92.05479452</v>
      </c>
      <c r="P128" s="114">
        <f>AB128/12</f>
        <v>8.284931507</v>
      </c>
      <c r="Q128" s="114">
        <v>8.284931506849315</v>
      </c>
      <c r="R128" s="114">
        <v>8.284931506849315</v>
      </c>
      <c r="S128" s="114">
        <v>8.284931506849315</v>
      </c>
      <c r="T128" s="114">
        <v>8.284931506849315</v>
      </c>
      <c r="U128" s="114">
        <v>8.284931506849315</v>
      </c>
      <c r="V128" s="114">
        <v>8.284931506849315</v>
      </c>
      <c r="W128" s="114">
        <v>8.284931506849315</v>
      </c>
      <c r="X128" s="114">
        <v>8.284931506849315</v>
      </c>
      <c r="Y128" s="114">
        <v>8.284931506849315</v>
      </c>
      <c r="Z128" s="114">
        <v>8.284931506849315</v>
      </c>
      <c r="AA128" s="114">
        <v>8.284931506849315</v>
      </c>
      <c r="AB128" s="116">
        <f>'Аналитика'!C26*(1+'Аналитика'!$M$3)*12/365*28</f>
        <v>99.41917808</v>
      </c>
      <c r="AG128" s="27"/>
    </row>
    <row r="129" ht="19.5" customHeight="1" outlineLevel="1">
      <c r="B129" s="117" t="s">
        <v>65</v>
      </c>
      <c r="C129" s="113">
        <f t="shared" si="83"/>
        <v>4.602739726</v>
      </c>
      <c r="D129" s="114">
        <v>4.602739726027397</v>
      </c>
      <c r="E129" s="114">
        <v>4.602739726027397</v>
      </c>
      <c r="F129" s="114">
        <v>4.602739726027397</v>
      </c>
      <c r="G129" s="114">
        <v>4.602739726027397</v>
      </c>
      <c r="H129" s="114">
        <v>4.602739726027397</v>
      </c>
      <c r="I129" s="114">
        <v>4.602739726027397</v>
      </c>
      <c r="J129" s="114">
        <v>4.602739726027397</v>
      </c>
      <c r="K129" s="114">
        <v>4.602739726027397</v>
      </c>
      <c r="L129" s="114">
        <v>4.602739726027397</v>
      </c>
      <c r="M129" s="114">
        <v>4.602739726027397</v>
      </c>
      <c r="N129" s="114">
        <v>4.602739726027397</v>
      </c>
      <c r="O129" s="115">
        <f>'Аналитика'!C27*12/365*28</f>
        <v>55.23287671</v>
      </c>
      <c r="P129" s="114">
        <f t="shared" ref="P129:AA129" si="84">$AB$129/12</f>
        <v>4.970958904</v>
      </c>
      <c r="Q129" s="114">
        <f t="shared" si="84"/>
        <v>4.970958904</v>
      </c>
      <c r="R129" s="114">
        <f t="shared" si="84"/>
        <v>4.970958904</v>
      </c>
      <c r="S129" s="114">
        <f t="shared" si="84"/>
        <v>4.970958904</v>
      </c>
      <c r="T129" s="114">
        <f t="shared" si="84"/>
        <v>4.970958904</v>
      </c>
      <c r="U129" s="114">
        <f t="shared" si="84"/>
        <v>4.970958904</v>
      </c>
      <c r="V129" s="114">
        <f t="shared" si="84"/>
        <v>4.970958904</v>
      </c>
      <c r="W129" s="114">
        <f t="shared" si="84"/>
        <v>4.970958904</v>
      </c>
      <c r="X129" s="114">
        <f t="shared" si="84"/>
        <v>4.970958904</v>
      </c>
      <c r="Y129" s="114">
        <f t="shared" si="84"/>
        <v>4.970958904</v>
      </c>
      <c r="Z129" s="114">
        <f t="shared" si="84"/>
        <v>4.970958904</v>
      </c>
      <c r="AA129" s="114">
        <f t="shared" si="84"/>
        <v>4.970958904</v>
      </c>
      <c r="AB129" s="116">
        <f>'Аналитика'!C27*(1+'Аналитика'!$M$3)*12/365*28</f>
        <v>59.65150685</v>
      </c>
      <c r="AG129" s="27"/>
    </row>
    <row r="130" ht="19.5" customHeight="1" outlineLevel="1">
      <c r="B130" s="117" t="s">
        <v>67</v>
      </c>
      <c r="C130" s="113">
        <f t="shared" si="83"/>
        <v>4.602739726</v>
      </c>
      <c r="D130" s="114">
        <v>4.602739726027397</v>
      </c>
      <c r="E130" s="114">
        <v>4.602739726027397</v>
      </c>
      <c r="F130" s="114">
        <v>4.602739726027397</v>
      </c>
      <c r="G130" s="114">
        <v>4.602739726027397</v>
      </c>
      <c r="H130" s="114">
        <v>4.602739726027397</v>
      </c>
      <c r="I130" s="114">
        <v>4.602739726027397</v>
      </c>
      <c r="J130" s="114">
        <v>4.602739726027397</v>
      </c>
      <c r="K130" s="114">
        <v>4.602739726027397</v>
      </c>
      <c r="L130" s="114">
        <v>4.602739726027397</v>
      </c>
      <c r="M130" s="114">
        <v>4.602739726027397</v>
      </c>
      <c r="N130" s="114">
        <v>4.602739726027397</v>
      </c>
      <c r="O130" s="115">
        <f>'Аналитика'!C28*12/365*28</f>
        <v>55.23287671</v>
      </c>
      <c r="P130" s="114">
        <f t="shared" ref="P130:AA130" si="85">$AB$130/12</f>
        <v>4.970958904</v>
      </c>
      <c r="Q130" s="114">
        <f t="shared" si="85"/>
        <v>4.970958904</v>
      </c>
      <c r="R130" s="114">
        <f t="shared" si="85"/>
        <v>4.970958904</v>
      </c>
      <c r="S130" s="114">
        <f t="shared" si="85"/>
        <v>4.970958904</v>
      </c>
      <c r="T130" s="114">
        <f t="shared" si="85"/>
        <v>4.970958904</v>
      </c>
      <c r="U130" s="114">
        <f t="shared" si="85"/>
        <v>4.970958904</v>
      </c>
      <c r="V130" s="114">
        <f t="shared" si="85"/>
        <v>4.970958904</v>
      </c>
      <c r="W130" s="114">
        <f t="shared" si="85"/>
        <v>4.970958904</v>
      </c>
      <c r="X130" s="114">
        <f t="shared" si="85"/>
        <v>4.970958904</v>
      </c>
      <c r="Y130" s="114">
        <f t="shared" si="85"/>
        <v>4.970958904</v>
      </c>
      <c r="Z130" s="114">
        <f t="shared" si="85"/>
        <v>4.970958904</v>
      </c>
      <c r="AA130" s="114">
        <f t="shared" si="85"/>
        <v>4.970958904</v>
      </c>
      <c r="AB130" s="116">
        <f>'Аналитика'!C28*(1+'Аналитика'!$M$3)*12/365*28</f>
        <v>59.65150685</v>
      </c>
      <c r="AG130" s="27"/>
    </row>
    <row r="131" ht="19.5" customHeight="1" outlineLevel="1">
      <c r="B131" s="117" t="s">
        <v>68</v>
      </c>
      <c r="C131" s="113">
        <f t="shared" si="83"/>
        <v>6.136986301</v>
      </c>
      <c r="D131" s="114">
        <v>6.136986301369863</v>
      </c>
      <c r="E131" s="114">
        <v>6.136986301369863</v>
      </c>
      <c r="F131" s="114">
        <v>6.136986301369863</v>
      </c>
      <c r="G131" s="114">
        <v>6.136986301369863</v>
      </c>
      <c r="H131" s="114">
        <v>6.136986301369863</v>
      </c>
      <c r="I131" s="114">
        <v>6.136986301369863</v>
      </c>
      <c r="J131" s="114">
        <v>6.136986301369863</v>
      </c>
      <c r="K131" s="114">
        <v>6.136986301369863</v>
      </c>
      <c r="L131" s="114">
        <v>6.136986301369863</v>
      </c>
      <c r="M131" s="114">
        <v>6.136986301369863</v>
      </c>
      <c r="N131" s="114">
        <v>6.136986301369863</v>
      </c>
      <c r="O131" s="115">
        <f>'Аналитика'!C29*12/365*28</f>
        <v>73.64383562</v>
      </c>
      <c r="P131" s="114">
        <f t="shared" ref="P131:AA131" si="86">$AB$131/12</f>
        <v>6.627945205</v>
      </c>
      <c r="Q131" s="114">
        <f t="shared" si="86"/>
        <v>6.627945205</v>
      </c>
      <c r="R131" s="114">
        <f t="shared" si="86"/>
        <v>6.627945205</v>
      </c>
      <c r="S131" s="114">
        <f t="shared" si="86"/>
        <v>6.627945205</v>
      </c>
      <c r="T131" s="114">
        <f t="shared" si="86"/>
        <v>6.627945205</v>
      </c>
      <c r="U131" s="114">
        <f t="shared" si="86"/>
        <v>6.627945205</v>
      </c>
      <c r="V131" s="114">
        <f t="shared" si="86"/>
        <v>6.627945205</v>
      </c>
      <c r="W131" s="114">
        <f t="shared" si="86"/>
        <v>6.627945205</v>
      </c>
      <c r="X131" s="114">
        <f t="shared" si="86"/>
        <v>6.627945205</v>
      </c>
      <c r="Y131" s="114">
        <f t="shared" si="86"/>
        <v>6.627945205</v>
      </c>
      <c r="Z131" s="114">
        <f t="shared" si="86"/>
        <v>6.627945205</v>
      </c>
      <c r="AA131" s="114">
        <f t="shared" si="86"/>
        <v>6.627945205</v>
      </c>
      <c r="AB131" s="116">
        <f>'Аналитика'!C29*(1+'Аналитика'!$M$3)*12/365*28</f>
        <v>79.53534247</v>
      </c>
      <c r="AG131" s="27"/>
    </row>
    <row r="132" ht="19.5" customHeight="1" outlineLevel="1">
      <c r="B132" s="118" t="s">
        <v>58</v>
      </c>
      <c r="C132" s="113">
        <f t="shared" si="83"/>
        <v>6.136986301</v>
      </c>
      <c r="D132" s="114">
        <v>6.136986301369863</v>
      </c>
      <c r="E132" s="143">
        <v>6.136986301369863</v>
      </c>
      <c r="F132" s="143">
        <v>6.136986301369863</v>
      </c>
      <c r="G132" s="143">
        <v>6.136986301369863</v>
      </c>
      <c r="H132" s="143">
        <v>6.136986301369863</v>
      </c>
      <c r="I132" s="143">
        <v>6.136986301369863</v>
      </c>
      <c r="J132" s="143">
        <v>6.136986301369863</v>
      </c>
      <c r="K132" s="143">
        <v>6.136986301369863</v>
      </c>
      <c r="L132" s="143">
        <v>6.136986301369863</v>
      </c>
      <c r="M132" s="143">
        <v>6.136986301369863</v>
      </c>
      <c r="N132" s="143">
        <v>6.136986301369863</v>
      </c>
      <c r="O132" s="119">
        <f>'Аналитика'!C30*12/365*28</f>
        <v>73.64383562</v>
      </c>
      <c r="P132" s="143">
        <f t="shared" ref="P132:AA132" si="87">$AB$132/12</f>
        <v>6.627945205</v>
      </c>
      <c r="Q132" s="143">
        <f t="shared" si="87"/>
        <v>6.627945205</v>
      </c>
      <c r="R132" s="143">
        <f t="shared" si="87"/>
        <v>6.627945205</v>
      </c>
      <c r="S132" s="143">
        <f t="shared" si="87"/>
        <v>6.627945205</v>
      </c>
      <c r="T132" s="143">
        <f t="shared" si="87"/>
        <v>6.627945205</v>
      </c>
      <c r="U132" s="143">
        <f t="shared" si="87"/>
        <v>6.627945205</v>
      </c>
      <c r="V132" s="143">
        <f t="shared" si="87"/>
        <v>6.627945205</v>
      </c>
      <c r="W132" s="143">
        <f t="shared" si="87"/>
        <v>6.627945205</v>
      </c>
      <c r="X132" s="143">
        <f t="shared" si="87"/>
        <v>6.627945205</v>
      </c>
      <c r="Y132" s="143">
        <f t="shared" si="87"/>
        <v>6.627945205</v>
      </c>
      <c r="Z132" s="143">
        <f t="shared" si="87"/>
        <v>6.627945205</v>
      </c>
      <c r="AA132" s="143">
        <f t="shared" si="87"/>
        <v>6.627945205</v>
      </c>
      <c r="AB132" s="116">
        <f>'Аналитика'!C30*(1+'Аналитика'!$M$3)*12/365*28</f>
        <v>79.53534247</v>
      </c>
      <c r="AG132" s="27"/>
    </row>
    <row r="133" ht="19.5" customHeight="1">
      <c r="B133" s="75" t="s">
        <v>3</v>
      </c>
      <c r="C133" s="121">
        <f t="shared" ref="C133:N133" si="88">SUM(C134:C137)</f>
        <v>26.84931507</v>
      </c>
      <c r="D133" s="122">
        <f t="shared" si="88"/>
        <v>26.84931507</v>
      </c>
      <c r="E133" s="122">
        <f t="shared" si="88"/>
        <v>26.84931507</v>
      </c>
      <c r="F133" s="122">
        <f t="shared" si="88"/>
        <v>26.84931507</v>
      </c>
      <c r="G133" s="122">
        <f t="shared" si="88"/>
        <v>26.84931507</v>
      </c>
      <c r="H133" s="122">
        <f t="shared" si="88"/>
        <v>26.84931507</v>
      </c>
      <c r="I133" s="122">
        <f t="shared" si="88"/>
        <v>26.84931507</v>
      </c>
      <c r="J133" s="122">
        <f t="shared" si="88"/>
        <v>26.84931507</v>
      </c>
      <c r="K133" s="122">
        <f t="shared" si="88"/>
        <v>26.84931507</v>
      </c>
      <c r="L133" s="122">
        <f t="shared" si="88"/>
        <v>26.84931507</v>
      </c>
      <c r="M133" s="122">
        <f t="shared" si="88"/>
        <v>26.84931507</v>
      </c>
      <c r="N133" s="122">
        <f t="shared" si="88"/>
        <v>26.84931507</v>
      </c>
      <c r="O133" s="123">
        <f>SUM(C133:N133)</f>
        <v>322.1917808</v>
      </c>
      <c r="P133" s="122">
        <f t="shared" ref="P133:AA133" si="89">SUM(P134:P137)</f>
        <v>28.99726027</v>
      </c>
      <c r="Q133" s="122">
        <f t="shared" si="89"/>
        <v>28.99726027</v>
      </c>
      <c r="R133" s="122">
        <f t="shared" si="89"/>
        <v>28.99726027</v>
      </c>
      <c r="S133" s="122">
        <f t="shared" si="89"/>
        <v>28.99726027</v>
      </c>
      <c r="T133" s="122">
        <f t="shared" si="89"/>
        <v>28.99726027</v>
      </c>
      <c r="U133" s="122">
        <f t="shared" si="89"/>
        <v>28.99726027</v>
      </c>
      <c r="V133" s="122">
        <f t="shared" si="89"/>
        <v>28.99726027</v>
      </c>
      <c r="W133" s="122">
        <f t="shared" si="89"/>
        <v>28.99726027</v>
      </c>
      <c r="X133" s="122">
        <f t="shared" si="89"/>
        <v>28.99726027</v>
      </c>
      <c r="Y133" s="122">
        <f t="shared" si="89"/>
        <v>28.99726027</v>
      </c>
      <c r="Z133" s="122">
        <f t="shared" si="89"/>
        <v>28.99726027</v>
      </c>
      <c r="AA133" s="122">
        <f t="shared" si="89"/>
        <v>28.99726027</v>
      </c>
      <c r="AB133" s="124">
        <f>SUM(P133:AA133)</f>
        <v>347.9671233</v>
      </c>
      <c r="AG133" s="27"/>
    </row>
    <row r="134" ht="19.5" customHeight="1" outlineLevel="1">
      <c r="B134" s="48" t="s">
        <v>64</v>
      </c>
      <c r="C134" s="125">
        <f t="shared" ref="C134:C138" si="91">O134/12</f>
        <v>7.671232877</v>
      </c>
      <c r="D134" s="126">
        <v>7.671232876712328</v>
      </c>
      <c r="E134" s="126">
        <v>7.671232876712328</v>
      </c>
      <c r="F134" s="126">
        <v>7.671232876712328</v>
      </c>
      <c r="G134" s="126">
        <v>7.671232876712328</v>
      </c>
      <c r="H134" s="126">
        <v>7.671232876712328</v>
      </c>
      <c r="I134" s="126">
        <v>7.671232876712328</v>
      </c>
      <c r="J134" s="126">
        <v>7.671232876712328</v>
      </c>
      <c r="K134" s="126">
        <v>7.671232876712328</v>
      </c>
      <c r="L134" s="126">
        <v>7.671232876712328</v>
      </c>
      <c r="M134" s="126">
        <v>7.671232876712328</v>
      </c>
      <c r="N134" s="126">
        <v>7.671232876712328</v>
      </c>
      <c r="O134" s="115">
        <f>'Аналитика'!E26*12/365*28</f>
        <v>92.05479452</v>
      </c>
      <c r="P134" s="126">
        <f t="shared" ref="P134:AA134" si="90">$AB$134/12</f>
        <v>8.284931507</v>
      </c>
      <c r="Q134" s="126">
        <f t="shared" si="90"/>
        <v>8.284931507</v>
      </c>
      <c r="R134" s="126">
        <f t="shared" si="90"/>
        <v>8.284931507</v>
      </c>
      <c r="S134" s="126">
        <f t="shared" si="90"/>
        <v>8.284931507</v>
      </c>
      <c r="T134" s="126">
        <f t="shared" si="90"/>
        <v>8.284931507</v>
      </c>
      <c r="U134" s="126">
        <f t="shared" si="90"/>
        <v>8.284931507</v>
      </c>
      <c r="V134" s="126">
        <f t="shared" si="90"/>
        <v>8.284931507</v>
      </c>
      <c r="W134" s="126">
        <f t="shared" si="90"/>
        <v>8.284931507</v>
      </c>
      <c r="X134" s="126">
        <f t="shared" si="90"/>
        <v>8.284931507</v>
      </c>
      <c r="Y134" s="126">
        <f t="shared" si="90"/>
        <v>8.284931507</v>
      </c>
      <c r="Z134" s="126">
        <f t="shared" si="90"/>
        <v>8.284931507</v>
      </c>
      <c r="AA134" s="126">
        <f t="shared" si="90"/>
        <v>8.284931507</v>
      </c>
      <c r="AB134" s="128">
        <f>'Аналитика'!E26*(1+'Аналитика'!$M$3)*12/365*28</f>
        <v>99.41917808</v>
      </c>
      <c r="AG134" s="27"/>
    </row>
    <row r="135" ht="19.5" customHeight="1" outlineLevel="1">
      <c r="B135" s="54" t="s">
        <v>66</v>
      </c>
      <c r="C135" s="113">
        <f t="shared" si="91"/>
        <v>7.671232877</v>
      </c>
      <c r="D135" s="114">
        <v>7.671232876712328</v>
      </c>
      <c r="E135" s="114">
        <v>7.671232876712328</v>
      </c>
      <c r="F135" s="114">
        <v>7.671232876712328</v>
      </c>
      <c r="G135" s="114">
        <v>7.671232876712328</v>
      </c>
      <c r="H135" s="114">
        <v>7.671232876712328</v>
      </c>
      <c r="I135" s="114">
        <v>7.671232876712328</v>
      </c>
      <c r="J135" s="114">
        <v>7.671232876712328</v>
      </c>
      <c r="K135" s="114">
        <v>7.671232876712328</v>
      </c>
      <c r="L135" s="114">
        <v>7.671232876712328</v>
      </c>
      <c r="M135" s="114">
        <v>7.671232876712328</v>
      </c>
      <c r="N135" s="114">
        <v>7.671232876712328</v>
      </c>
      <c r="O135" s="115">
        <f>'Аналитика'!E27*12/365*28</f>
        <v>92.05479452</v>
      </c>
      <c r="P135" s="114">
        <f t="shared" ref="P135:AA135" si="92">$AB$135/12</f>
        <v>8.284931507</v>
      </c>
      <c r="Q135" s="114">
        <f t="shared" si="92"/>
        <v>8.284931507</v>
      </c>
      <c r="R135" s="114">
        <f t="shared" si="92"/>
        <v>8.284931507</v>
      </c>
      <c r="S135" s="114">
        <f t="shared" si="92"/>
        <v>8.284931507</v>
      </c>
      <c r="T135" s="114">
        <f t="shared" si="92"/>
        <v>8.284931507</v>
      </c>
      <c r="U135" s="114">
        <f t="shared" si="92"/>
        <v>8.284931507</v>
      </c>
      <c r="V135" s="114">
        <f t="shared" si="92"/>
        <v>8.284931507</v>
      </c>
      <c r="W135" s="114">
        <f t="shared" si="92"/>
        <v>8.284931507</v>
      </c>
      <c r="X135" s="114">
        <f t="shared" si="92"/>
        <v>8.284931507</v>
      </c>
      <c r="Y135" s="114">
        <f t="shared" si="92"/>
        <v>8.284931507</v>
      </c>
      <c r="Z135" s="114">
        <f t="shared" si="92"/>
        <v>8.284931507</v>
      </c>
      <c r="AA135" s="114">
        <f t="shared" si="92"/>
        <v>8.284931507</v>
      </c>
      <c r="AB135" s="128">
        <f>'Аналитика'!E27*(1+'Аналитика'!$M$3)*12/365*28</f>
        <v>99.41917808</v>
      </c>
      <c r="AG135" s="27"/>
    </row>
    <row r="136" ht="19.5" customHeight="1" outlineLevel="1">
      <c r="B136" s="54" t="s">
        <v>67</v>
      </c>
      <c r="C136" s="113">
        <f t="shared" si="91"/>
        <v>5.369863014</v>
      </c>
      <c r="D136" s="114">
        <v>5.36986301369863</v>
      </c>
      <c r="E136" s="114">
        <v>5.36986301369863</v>
      </c>
      <c r="F136" s="114">
        <v>5.36986301369863</v>
      </c>
      <c r="G136" s="114">
        <v>5.36986301369863</v>
      </c>
      <c r="H136" s="114">
        <v>5.36986301369863</v>
      </c>
      <c r="I136" s="114">
        <v>5.36986301369863</v>
      </c>
      <c r="J136" s="114">
        <v>5.36986301369863</v>
      </c>
      <c r="K136" s="114">
        <v>5.36986301369863</v>
      </c>
      <c r="L136" s="114">
        <v>5.36986301369863</v>
      </c>
      <c r="M136" s="114">
        <v>5.36986301369863</v>
      </c>
      <c r="N136" s="114">
        <v>5.36986301369863</v>
      </c>
      <c r="O136" s="115">
        <f>'Аналитика'!E28*12/365*28</f>
        <v>64.43835616</v>
      </c>
      <c r="P136" s="114">
        <f t="shared" ref="P136:AA136" si="93">$AB$136/12</f>
        <v>5.799452055</v>
      </c>
      <c r="Q136" s="114">
        <f t="shared" si="93"/>
        <v>5.799452055</v>
      </c>
      <c r="R136" s="114">
        <f t="shared" si="93"/>
        <v>5.799452055</v>
      </c>
      <c r="S136" s="114">
        <f t="shared" si="93"/>
        <v>5.799452055</v>
      </c>
      <c r="T136" s="114">
        <f t="shared" si="93"/>
        <v>5.799452055</v>
      </c>
      <c r="U136" s="114">
        <f t="shared" si="93"/>
        <v>5.799452055</v>
      </c>
      <c r="V136" s="114">
        <f t="shared" si="93"/>
        <v>5.799452055</v>
      </c>
      <c r="W136" s="114">
        <f t="shared" si="93"/>
        <v>5.799452055</v>
      </c>
      <c r="X136" s="114">
        <f t="shared" si="93"/>
        <v>5.799452055</v>
      </c>
      <c r="Y136" s="114">
        <f t="shared" si="93"/>
        <v>5.799452055</v>
      </c>
      <c r="Z136" s="114">
        <f t="shared" si="93"/>
        <v>5.799452055</v>
      </c>
      <c r="AA136" s="114">
        <f t="shared" si="93"/>
        <v>5.799452055</v>
      </c>
      <c r="AB136" s="128">
        <f>'Аналитика'!E28*(1+'Аналитика'!$M$3)*12/365*28</f>
        <v>69.59342466</v>
      </c>
      <c r="AG136" s="27"/>
    </row>
    <row r="137" ht="19.5" customHeight="1" outlineLevel="1">
      <c r="B137" s="54" t="s">
        <v>58</v>
      </c>
      <c r="C137" s="113">
        <f t="shared" si="91"/>
        <v>6.136986301</v>
      </c>
      <c r="D137" s="114">
        <v>6.136986301369863</v>
      </c>
      <c r="E137" s="114">
        <v>6.136986301369863</v>
      </c>
      <c r="F137" s="114">
        <v>6.136986301369863</v>
      </c>
      <c r="G137" s="114">
        <v>6.136986301369863</v>
      </c>
      <c r="H137" s="114">
        <v>6.136986301369863</v>
      </c>
      <c r="I137" s="114">
        <v>6.136986301369863</v>
      </c>
      <c r="J137" s="114">
        <v>6.136986301369863</v>
      </c>
      <c r="K137" s="114">
        <v>6.136986301369863</v>
      </c>
      <c r="L137" s="114">
        <v>6.136986301369863</v>
      </c>
      <c r="M137" s="114">
        <v>6.136986301369863</v>
      </c>
      <c r="N137" s="114">
        <v>6.136986301369863</v>
      </c>
      <c r="O137" s="115">
        <f>'Аналитика'!E29*12/365*28</f>
        <v>73.64383562</v>
      </c>
      <c r="P137" s="114">
        <f t="shared" ref="P137:AA137" si="94">$AB$137/12</f>
        <v>6.627945205</v>
      </c>
      <c r="Q137" s="114">
        <f t="shared" si="94"/>
        <v>6.627945205</v>
      </c>
      <c r="R137" s="114">
        <f t="shared" si="94"/>
        <v>6.627945205</v>
      </c>
      <c r="S137" s="114">
        <f t="shared" si="94"/>
        <v>6.627945205</v>
      </c>
      <c r="T137" s="114">
        <f t="shared" si="94"/>
        <v>6.627945205</v>
      </c>
      <c r="U137" s="114">
        <f t="shared" si="94"/>
        <v>6.627945205</v>
      </c>
      <c r="V137" s="114">
        <f t="shared" si="94"/>
        <v>6.627945205</v>
      </c>
      <c r="W137" s="114">
        <f t="shared" si="94"/>
        <v>6.627945205</v>
      </c>
      <c r="X137" s="114">
        <f t="shared" si="94"/>
        <v>6.627945205</v>
      </c>
      <c r="Y137" s="114">
        <f t="shared" si="94"/>
        <v>6.627945205</v>
      </c>
      <c r="Z137" s="114">
        <f t="shared" si="94"/>
        <v>6.627945205</v>
      </c>
      <c r="AA137" s="114">
        <f t="shared" si="94"/>
        <v>6.627945205</v>
      </c>
      <c r="AB137" s="128">
        <f>'Аналитика'!E29*(1+'Аналитика'!$M$3)*12/365*28</f>
        <v>79.53534247</v>
      </c>
      <c r="AG137" s="27"/>
    </row>
    <row r="138" ht="19.5" customHeight="1">
      <c r="B138" s="75" t="s">
        <v>103</v>
      </c>
      <c r="C138" s="148">
        <f t="shared" si="91"/>
        <v>3.068493151</v>
      </c>
      <c r="D138" s="149">
        <v>3.0684931506849313</v>
      </c>
      <c r="E138" s="149">
        <v>3.0684931506849313</v>
      </c>
      <c r="F138" s="149">
        <v>3.0684931506849313</v>
      </c>
      <c r="G138" s="149">
        <v>3.0684931506849313</v>
      </c>
      <c r="H138" s="149">
        <v>3.0684931506849313</v>
      </c>
      <c r="I138" s="149">
        <v>3.0684931506849313</v>
      </c>
      <c r="J138" s="149">
        <v>3.0684931506849313</v>
      </c>
      <c r="K138" s="149">
        <v>3.0684931506849313</v>
      </c>
      <c r="L138" s="149">
        <v>3.0684931506849313</v>
      </c>
      <c r="M138" s="149">
        <v>3.0684931506849313</v>
      </c>
      <c r="N138" s="149">
        <v>3.0684931506849313</v>
      </c>
      <c r="O138" s="150">
        <f>'Аналитика'!E31*12/365*28</f>
        <v>36.82191781</v>
      </c>
      <c r="P138" s="149">
        <f t="shared" ref="P138:AA138" si="95">$AB$138/12</f>
        <v>3.313972603</v>
      </c>
      <c r="Q138" s="149">
        <f t="shared" si="95"/>
        <v>3.313972603</v>
      </c>
      <c r="R138" s="149">
        <f t="shared" si="95"/>
        <v>3.313972603</v>
      </c>
      <c r="S138" s="149">
        <f t="shared" si="95"/>
        <v>3.313972603</v>
      </c>
      <c r="T138" s="149">
        <f t="shared" si="95"/>
        <v>3.313972603</v>
      </c>
      <c r="U138" s="149">
        <f t="shared" si="95"/>
        <v>3.313972603</v>
      </c>
      <c r="V138" s="149">
        <f t="shared" si="95"/>
        <v>3.313972603</v>
      </c>
      <c r="W138" s="149">
        <f t="shared" si="95"/>
        <v>3.313972603</v>
      </c>
      <c r="X138" s="149">
        <f t="shared" si="95"/>
        <v>3.313972603</v>
      </c>
      <c r="Y138" s="149">
        <f t="shared" si="95"/>
        <v>3.313972603</v>
      </c>
      <c r="Z138" s="149">
        <f t="shared" si="95"/>
        <v>3.313972603</v>
      </c>
      <c r="AA138" s="149">
        <f t="shared" si="95"/>
        <v>3.313972603</v>
      </c>
      <c r="AB138" s="151">
        <f>'Аналитика'!E31*(1+'Аналитика'!M3)*12/365*28</f>
        <v>39.76767123</v>
      </c>
      <c r="AG138" s="27"/>
    </row>
    <row r="139" ht="19.5" customHeight="1">
      <c r="AG139" s="27"/>
    </row>
    <row r="140" ht="19.5" customHeight="1">
      <c r="B140" s="134" t="s">
        <v>109</v>
      </c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F140" s="26" t="s">
        <v>9</v>
      </c>
      <c r="AG140" s="27" t="str">
        <f>IF(AF140="Нет", " ", "При расчёте страховых взносов учитываются и оклады, и отпускные. В данном кейсе оклады в табл.12.1 полные, как если бы сотрудник не уходил в отпуск. Поэтому отпускные не нужно включать в базу для расчета страховых взносов.")</f>
        <v> </v>
      </c>
    </row>
    <row r="141" ht="19.5" customHeight="1">
      <c r="B141" s="96"/>
      <c r="C141" s="97" t="s">
        <v>72</v>
      </c>
      <c r="D141" s="97" t="s">
        <v>73</v>
      </c>
      <c r="E141" s="97" t="s">
        <v>74</v>
      </c>
      <c r="F141" s="97" t="s">
        <v>75</v>
      </c>
      <c r="G141" s="98">
        <v>46143.0</v>
      </c>
      <c r="H141" s="97" t="s">
        <v>76</v>
      </c>
      <c r="I141" s="97" t="s">
        <v>77</v>
      </c>
      <c r="J141" s="97" t="s">
        <v>78</v>
      </c>
      <c r="K141" s="97" t="s">
        <v>79</v>
      </c>
      <c r="L141" s="97" t="s">
        <v>80</v>
      </c>
      <c r="M141" s="97" t="s">
        <v>81</v>
      </c>
      <c r="N141" s="97" t="s">
        <v>82</v>
      </c>
      <c r="O141" s="99">
        <v>2026.0</v>
      </c>
      <c r="P141" s="97" t="s">
        <v>83</v>
      </c>
      <c r="Q141" s="97" t="s">
        <v>84</v>
      </c>
      <c r="R141" s="97" t="s">
        <v>85</v>
      </c>
      <c r="S141" s="97" t="s">
        <v>86</v>
      </c>
      <c r="T141" s="98">
        <v>46508.0</v>
      </c>
      <c r="U141" s="97" t="s">
        <v>87</v>
      </c>
      <c r="V141" s="97" t="s">
        <v>88</v>
      </c>
      <c r="W141" s="97" t="s">
        <v>89</v>
      </c>
      <c r="X141" s="97" t="s">
        <v>90</v>
      </c>
      <c r="Y141" s="97" t="s">
        <v>91</v>
      </c>
      <c r="Z141" s="97" t="s">
        <v>92</v>
      </c>
      <c r="AA141" s="97" t="s">
        <v>93</v>
      </c>
      <c r="AB141" s="100">
        <v>2027.0</v>
      </c>
      <c r="AF141" s="26" t="s">
        <v>9</v>
      </c>
      <c r="AG141" s="27" t="str">
        <f>IF(AF141="Нет", " ", "Если сумма окладов штатной единицы с начала года&lt;2225 тыс.руб.: Показатель рассчитывается по формуле Оклад* 30%. Если иначе: Оклад * 15.1%")</f>
        <v> </v>
      </c>
    </row>
    <row r="142" ht="9.75" customHeight="1">
      <c r="B142" s="106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6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6"/>
      <c r="AG142" s="27"/>
    </row>
    <row r="143" ht="19.5" customHeight="1">
      <c r="B143" s="75" t="s">
        <v>2</v>
      </c>
      <c r="C143" s="108">
        <f t="shared" ref="C143:N143" si="96">SUM(C144:C148)</f>
        <v>114</v>
      </c>
      <c r="D143" s="109">
        <f t="shared" si="96"/>
        <v>114</v>
      </c>
      <c r="E143" s="153">
        <f t="shared" si="96"/>
        <v>114</v>
      </c>
      <c r="F143" s="153">
        <f t="shared" si="96"/>
        <v>114</v>
      </c>
      <c r="G143" s="153">
        <f t="shared" si="96"/>
        <v>114</v>
      </c>
      <c r="H143" s="153">
        <f t="shared" si="96"/>
        <v>114</v>
      </c>
      <c r="I143" s="153">
        <f t="shared" si="96"/>
        <v>114</v>
      </c>
      <c r="J143" s="153">
        <f t="shared" si="96"/>
        <v>114</v>
      </c>
      <c r="K143" s="153">
        <f t="shared" si="96"/>
        <v>114</v>
      </c>
      <c r="L143" s="153">
        <f t="shared" si="96"/>
        <v>114</v>
      </c>
      <c r="M143" s="109">
        <f t="shared" si="96"/>
        <v>114</v>
      </c>
      <c r="N143" s="109">
        <f t="shared" si="96"/>
        <v>114</v>
      </c>
      <c r="O143" s="110">
        <f t="shared" ref="O143:O154" si="99">SUM(C143:N143)</f>
        <v>1368</v>
      </c>
      <c r="P143" s="109">
        <f t="shared" ref="P143:AA143" si="97">SUM(P144:P148)</f>
        <v>123.12</v>
      </c>
      <c r="Q143" s="109">
        <f t="shared" si="97"/>
        <v>123.12</v>
      </c>
      <c r="R143" s="109">
        <f t="shared" si="97"/>
        <v>123.12</v>
      </c>
      <c r="S143" s="109">
        <f t="shared" si="97"/>
        <v>123.12</v>
      </c>
      <c r="T143" s="109">
        <f t="shared" si="97"/>
        <v>123.12</v>
      </c>
      <c r="U143" s="109">
        <f t="shared" si="97"/>
        <v>123.12</v>
      </c>
      <c r="V143" s="109">
        <f t="shared" si="97"/>
        <v>123.12</v>
      </c>
      <c r="W143" s="109">
        <f t="shared" si="97"/>
        <v>123.12</v>
      </c>
      <c r="X143" s="109">
        <f t="shared" si="97"/>
        <v>123.12</v>
      </c>
      <c r="Y143" s="109">
        <f t="shared" si="97"/>
        <v>123.12</v>
      </c>
      <c r="Z143" s="109">
        <f t="shared" si="97"/>
        <v>123.12</v>
      </c>
      <c r="AA143" s="109">
        <f t="shared" si="97"/>
        <v>123.12</v>
      </c>
      <c r="AB143" s="111">
        <f t="shared" ref="AB143:AB154" si="101">SUM(P143:AA143)</f>
        <v>1477.44</v>
      </c>
      <c r="AG143" s="27"/>
    </row>
    <row r="144" ht="19.5" customHeight="1" outlineLevel="1">
      <c r="B144" s="112" t="s">
        <v>64</v>
      </c>
      <c r="C144" s="154">
        <f t="shared" ref="C144:N144" si="98">IF(SUM($C80:C80)&lt;2225,C80*30%,C80*15.1%)</f>
        <v>30</v>
      </c>
      <c r="D144" s="155">
        <f t="shared" si="98"/>
        <v>30</v>
      </c>
      <c r="E144" s="155">
        <f t="shared" si="98"/>
        <v>30</v>
      </c>
      <c r="F144" s="155">
        <f t="shared" si="98"/>
        <v>30</v>
      </c>
      <c r="G144" s="155">
        <f t="shared" si="98"/>
        <v>30</v>
      </c>
      <c r="H144" s="155">
        <f t="shared" si="98"/>
        <v>30</v>
      </c>
      <c r="I144" s="155">
        <f t="shared" si="98"/>
        <v>30</v>
      </c>
      <c r="J144" s="155">
        <f t="shared" si="98"/>
        <v>30</v>
      </c>
      <c r="K144" s="155">
        <f t="shared" si="98"/>
        <v>30</v>
      </c>
      <c r="L144" s="155">
        <f t="shared" si="98"/>
        <v>30</v>
      </c>
      <c r="M144" s="155">
        <f t="shared" si="98"/>
        <v>30</v>
      </c>
      <c r="N144" s="155">
        <f t="shared" si="98"/>
        <v>30</v>
      </c>
      <c r="O144" s="115">
        <f t="shared" si="99"/>
        <v>360</v>
      </c>
      <c r="P144" s="114">
        <f t="shared" ref="P144:AA144" si="100">IF(SUM($P80:P80)&lt;2225,P80*30%,P80*15.1%)</f>
        <v>32.4</v>
      </c>
      <c r="Q144" s="114">
        <f t="shared" si="100"/>
        <v>32.4</v>
      </c>
      <c r="R144" s="114">
        <f t="shared" si="100"/>
        <v>32.4</v>
      </c>
      <c r="S144" s="114">
        <f t="shared" si="100"/>
        <v>32.4</v>
      </c>
      <c r="T144" s="114">
        <f t="shared" si="100"/>
        <v>32.4</v>
      </c>
      <c r="U144" s="114">
        <f t="shared" si="100"/>
        <v>32.4</v>
      </c>
      <c r="V144" s="114">
        <f t="shared" si="100"/>
        <v>32.4</v>
      </c>
      <c r="W144" s="114">
        <f t="shared" si="100"/>
        <v>32.4</v>
      </c>
      <c r="X144" s="114">
        <f t="shared" si="100"/>
        <v>32.4</v>
      </c>
      <c r="Y144" s="114">
        <f t="shared" si="100"/>
        <v>32.4</v>
      </c>
      <c r="Z144" s="114">
        <f t="shared" si="100"/>
        <v>32.4</v>
      </c>
      <c r="AA144" s="114">
        <f t="shared" si="100"/>
        <v>32.4</v>
      </c>
      <c r="AB144" s="116">
        <f t="shared" si="101"/>
        <v>388.8</v>
      </c>
      <c r="AG144" s="27"/>
    </row>
    <row r="145" ht="19.5" customHeight="1" outlineLevel="1">
      <c r="B145" s="117" t="s">
        <v>65</v>
      </c>
      <c r="C145" s="154">
        <f t="shared" ref="C145:C146" si="104">IF(SUM($C81:C81)&lt;2225, C81* 30%, C81* 15.1%)</f>
        <v>18</v>
      </c>
      <c r="D145" s="155">
        <f t="shared" ref="D145:N145" si="102">IF(SUM($C81:D81)&lt;2225,D81*30%,D81*15.1%)</f>
        <v>18</v>
      </c>
      <c r="E145" s="155">
        <f t="shared" si="102"/>
        <v>18</v>
      </c>
      <c r="F145" s="155">
        <f t="shared" si="102"/>
        <v>18</v>
      </c>
      <c r="G145" s="155">
        <f t="shared" si="102"/>
        <v>18</v>
      </c>
      <c r="H145" s="155">
        <f t="shared" si="102"/>
        <v>18</v>
      </c>
      <c r="I145" s="155">
        <f t="shared" si="102"/>
        <v>18</v>
      </c>
      <c r="J145" s="155">
        <f t="shared" si="102"/>
        <v>18</v>
      </c>
      <c r="K145" s="155">
        <f t="shared" si="102"/>
        <v>18</v>
      </c>
      <c r="L145" s="155">
        <f t="shared" si="102"/>
        <v>18</v>
      </c>
      <c r="M145" s="155">
        <f t="shared" si="102"/>
        <v>18</v>
      </c>
      <c r="N145" s="155">
        <f t="shared" si="102"/>
        <v>18</v>
      </c>
      <c r="O145" s="115">
        <f t="shared" si="99"/>
        <v>216</v>
      </c>
      <c r="P145" s="114">
        <f t="shared" ref="P145:AA145" si="103">IF(SUM($P81:P81)&lt;2225,P81*30%,P81*15.1%)</f>
        <v>19.44</v>
      </c>
      <c r="Q145" s="114">
        <f t="shared" si="103"/>
        <v>19.44</v>
      </c>
      <c r="R145" s="114">
        <f t="shared" si="103"/>
        <v>19.44</v>
      </c>
      <c r="S145" s="114">
        <f t="shared" si="103"/>
        <v>19.44</v>
      </c>
      <c r="T145" s="114">
        <f t="shared" si="103"/>
        <v>19.44</v>
      </c>
      <c r="U145" s="114">
        <f t="shared" si="103"/>
        <v>19.44</v>
      </c>
      <c r="V145" s="114">
        <f t="shared" si="103"/>
        <v>19.44</v>
      </c>
      <c r="W145" s="114">
        <f t="shared" si="103"/>
        <v>19.44</v>
      </c>
      <c r="X145" s="114">
        <f t="shared" si="103"/>
        <v>19.44</v>
      </c>
      <c r="Y145" s="114">
        <f t="shared" si="103"/>
        <v>19.44</v>
      </c>
      <c r="Z145" s="114">
        <f t="shared" si="103"/>
        <v>19.44</v>
      </c>
      <c r="AA145" s="114">
        <f t="shared" si="103"/>
        <v>19.44</v>
      </c>
      <c r="AB145" s="116">
        <f t="shared" si="101"/>
        <v>233.28</v>
      </c>
      <c r="AG145" s="27"/>
    </row>
    <row r="146" ht="19.5" customHeight="1" outlineLevel="1">
      <c r="B146" s="117" t="s">
        <v>67</v>
      </c>
      <c r="C146" s="154">
        <f t="shared" si="104"/>
        <v>18</v>
      </c>
      <c r="D146" s="155">
        <f t="shared" ref="D146:N146" si="105">IF(SUM($C82:D82)&lt;2225,D82*30%,D82*15.1%)</f>
        <v>18</v>
      </c>
      <c r="E146" s="155">
        <f t="shared" si="105"/>
        <v>18</v>
      </c>
      <c r="F146" s="155">
        <f t="shared" si="105"/>
        <v>18</v>
      </c>
      <c r="G146" s="155">
        <f t="shared" si="105"/>
        <v>18</v>
      </c>
      <c r="H146" s="155">
        <f t="shared" si="105"/>
        <v>18</v>
      </c>
      <c r="I146" s="155">
        <f t="shared" si="105"/>
        <v>18</v>
      </c>
      <c r="J146" s="155">
        <f t="shared" si="105"/>
        <v>18</v>
      </c>
      <c r="K146" s="155">
        <f t="shared" si="105"/>
        <v>18</v>
      </c>
      <c r="L146" s="155">
        <f t="shared" si="105"/>
        <v>18</v>
      </c>
      <c r="M146" s="155">
        <f t="shared" si="105"/>
        <v>18</v>
      </c>
      <c r="N146" s="155">
        <f t="shared" si="105"/>
        <v>18</v>
      </c>
      <c r="O146" s="115">
        <f t="shared" si="99"/>
        <v>216</v>
      </c>
      <c r="P146" s="114">
        <f t="shared" ref="P146:AA146" si="106">IF(SUM($P82:P82)&lt;2225,P82*30%,P82*15.1%)</f>
        <v>19.44</v>
      </c>
      <c r="Q146" s="114">
        <f t="shared" si="106"/>
        <v>19.44</v>
      </c>
      <c r="R146" s="114">
        <f t="shared" si="106"/>
        <v>19.44</v>
      </c>
      <c r="S146" s="114">
        <f t="shared" si="106"/>
        <v>19.44</v>
      </c>
      <c r="T146" s="114">
        <f t="shared" si="106"/>
        <v>19.44</v>
      </c>
      <c r="U146" s="114">
        <f t="shared" si="106"/>
        <v>19.44</v>
      </c>
      <c r="V146" s="114">
        <f t="shared" si="106"/>
        <v>19.44</v>
      </c>
      <c r="W146" s="114">
        <f t="shared" si="106"/>
        <v>19.44</v>
      </c>
      <c r="X146" s="114">
        <f t="shared" si="106"/>
        <v>19.44</v>
      </c>
      <c r="Y146" s="114">
        <f t="shared" si="106"/>
        <v>19.44</v>
      </c>
      <c r="Z146" s="114">
        <f t="shared" si="106"/>
        <v>19.44</v>
      </c>
      <c r="AA146" s="114">
        <f t="shared" si="106"/>
        <v>19.44</v>
      </c>
      <c r="AB146" s="116">
        <f t="shared" si="101"/>
        <v>233.28</v>
      </c>
      <c r="AG146" s="27"/>
    </row>
    <row r="147" ht="19.5" customHeight="1" outlineLevel="1">
      <c r="B147" s="117" t="s">
        <v>68</v>
      </c>
      <c r="C147" s="154">
        <f t="shared" ref="C147:N147" si="107">IF(SUM($C83:C83)&lt;2225,C83*30%,C83*15.1%)</f>
        <v>24</v>
      </c>
      <c r="D147" s="155">
        <f t="shared" si="107"/>
        <v>24</v>
      </c>
      <c r="E147" s="155">
        <f t="shared" si="107"/>
        <v>24</v>
      </c>
      <c r="F147" s="155">
        <f t="shared" si="107"/>
        <v>24</v>
      </c>
      <c r="G147" s="155">
        <f t="shared" si="107"/>
        <v>24</v>
      </c>
      <c r="H147" s="155">
        <f t="shared" si="107"/>
        <v>24</v>
      </c>
      <c r="I147" s="155">
        <f t="shared" si="107"/>
        <v>24</v>
      </c>
      <c r="J147" s="155">
        <f t="shared" si="107"/>
        <v>24</v>
      </c>
      <c r="K147" s="155">
        <f t="shared" si="107"/>
        <v>24</v>
      </c>
      <c r="L147" s="155">
        <f t="shared" si="107"/>
        <v>24</v>
      </c>
      <c r="M147" s="155">
        <f t="shared" si="107"/>
        <v>24</v>
      </c>
      <c r="N147" s="155">
        <f t="shared" si="107"/>
        <v>24</v>
      </c>
      <c r="O147" s="115">
        <f t="shared" si="99"/>
        <v>288</v>
      </c>
      <c r="P147" s="114">
        <f t="shared" ref="P147:AA147" si="108">IF(SUM($P83:P83)&lt;2225,P83*30%,P83*15.1%)</f>
        <v>25.92</v>
      </c>
      <c r="Q147" s="114">
        <f t="shared" si="108"/>
        <v>25.92</v>
      </c>
      <c r="R147" s="114">
        <f t="shared" si="108"/>
        <v>25.92</v>
      </c>
      <c r="S147" s="114">
        <f t="shared" si="108"/>
        <v>25.92</v>
      </c>
      <c r="T147" s="114">
        <f t="shared" si="108"/>
        <v>25.92</v>
      </c>
      <c r="U147" s="114">
        <f t="shared" si="108"/>
        <v>25.92</v>
      </c>
      <c r="V147" s="114">
        <f t="shared" si="108"/>
        <v>25.92</v>
      </c>
      <c r="W147" s="114">
        <f t="shared" si="108"/>
        <v>25.92</v>
      </c>
      <c r="X147" s="114">
        <f t="shared" si="108"/>
        <v>25.92</v>
      </c>
      <c r="Y147" s="114">
        <f t="shared" si="108"/>
        <v>25.92</v>
      </c>
      <c r="Z147" s="114">
        <f t="shared" si="108"/>
        <v>25.92</v>
      </c>
      <c r="AA147" s="114">
        <f t="shared" si="108"/>
        <v>25.92</v>
      </c>
      <c r="AB147" s="116">
        <f t="shared" si="101"/>
        <v>311.04</v>
      </c>
      <c r="AG147" s="27"/>
    </row>
    <row r="148" ht="19.5" customHeight="1" outlineLevel="1">
      <c r="B148" s="118" t="s">
        <v>58</v>
      </c>
      <c r="C148" s="154">
        <f t="shared" ref="C148:N148" si="109">IF(SUM($C84:C84)&lt;2225,C84*30%,C84*15.1%)</f>
        <v>24</v>
      </c>
      <c r="D148" s="155">
        <f t="shared" si="109"/>
        <v>24</v>
      </c>
      <c r="E148" s="155">
        <f t="shared" si="109"/>
        <v>24</v>
      </c>
      <c r="F148" s="155">
        <f t="shared" si="109"/>
        <v>24</v>
      </c>
      <c r="G148" s="155">
        <f t="shared" si="109"/>
        <v>24</v>
      </c>
      <c r="H148" s="155">
        <f t="shared" si="109"/>
        <v>24</v>
      </c>
      <c r="I148" s="155">
        <f t="shared" si="109"/>
        <v>24</v>
      </c>
      <c r="J148" s="155">
        <f t="shared" si="109"/>
        <v>24</v>
      </c>
      <c r="K148" s="155">
        <f t="shared" si="109"/>
        <v>24</v>
      </c>
      <c r="L148" s="155">
        <f t="shared" si="109"/>
        <v>24</v>
      </c>
      <c r="M148" s="155">
        <f t="shared" si="109"/>
        <v>24</v>
      </c>
      <c r="N148" s="155">
        <f t="shared" si="109"/>
        <v>24</v>
      </c>
      <c r="O148" s="119">
        <f t="shared" si="99"/>
        <v>288</v>
      </c>
      <c r="P148" s="114">
        <f t="shared" ref="P148:AA148" si="110">IF(SUM($P84:P84)&lt;2225,P84*30%,P84*15.1%)</f>
        <v>25.92</v>
      </c>
      <c r="Q148" s="114">
        <f t="shared" si="110"/>
        <v>25.92</v>
      </c>
      <c r="R148" s="114">
        <f t="shared" si="110"/>
        <v>25.92</v>
      </c>
      <c r="S148" s="114">
        <f t="shared" si="110"/>
        <v>25.92</v>
      </c>
      <c r="T148" s="114">
        <f t="shared" si="110"/>
        <v>25.92</v>
      </c>
      <c r="U148" s="114">
        <f t="shared" si="110"/>
        <v>25.92</v>
      </c>
      <c r="V148" s="114">
        <f t="shared" si="110"/>
        <v>25.92</v>
      </c>
      <c r="W148" s="114">
        <f t="shared" si="110"/>
        <v>25.92</v>
      </c>
      <c r="X148" s="114">
        <f t="shared" si="110"/>
        <v>25.92</v>
      </c>
      <c r="Y148" s="114">
        <f t="shared" si="110"/>
        <v>25.92</v>
      </c>
      <c r="Z148" s="114">
        <f t="shared" si="110"/>
        <v>25.92</v>
      </c>
      <c r="AA148" s="114">
        <f t="shared" si="110"/>
        <v>25.92</v>
      </c>
      <c r="AB148" s="120">
        <f t="shared" si="101"/>
        <v>311.04</v>
      </c>
      <c r="AG148" s="27"/>
    </row>
    <row r="149" ht="19.5" customHeight="1">
      <c r="B149" s="75" t="s">
        <v>3</v>
      </c>
      <c r="C149" s="121">
        <f t="shared" ref="C149:N149" si="111">SUM(C150:C153)</f>
        <v>105</v>
      </c>
      <c r="D149" s="156">
        <f t="shared" si="111"/>
        <v>105</v>
      </c>
      <c r="E149" s="156">
        <f t="shared" si="111"/>
        <v>105</v>
      </c>
      <c r="F149" s="156">
        <f t="shared" si="111"/>
        <v>105</v>
      </c>
      <c r="G149" s="156">
        <f t="shared" si="111"/>
        <v>105</v>
      </c>
      <c r="H149" s="156">
        <f t="shared" si="111"/>
        <v>105</v>
      </c>
      <c r="I149" s="156">
        <f t="shared" si="111"/>
        <v>105</v>
      </c>
      <c r="J149" s="156">
        <f t="shared" si="111"/>
        <v>105</v>
      </c>
      <c r="K149" s="156">
        <f t="shared" si="111"/>
        <v>105</v>
      </c>
      <c r="L149" s="156">
        <f t="shared" si="111"/>
        <v>105</v>
      </c>
      <c r="M149" s="156">
        <f t="shared" si="111"/>
        <v>105</v>
      </c>
      <c r="N149" s="122">
        <f t="shared" si="111"/>
        <v>105</v>
      </c>
      <c r="O149" s="123">
        <f t="shared" si="99"/>
        <v>1260</v>
      </c>
      <c r="P149" s="122">
        <f t="shared" ref="P149:AA149" si="112">SUM(P150:P153)</f>
        <v>113.4</v>
      </c>
      <c r="Q149" s="122">
        <f t="shared" si="112"/>
        <v>113.4</v>
      </c>
      <c r="R149" s="122">
        <f t="shared" si="112"/>
        <v>113.4</v>
      </c>
      <c r="S149" s="122">
        <f t="shared" si="112"/>
        <v>113.4</v>
      </c>
      <c r="T149" s="122">
        <f t="shared" si="112"/>
        <v>113.4</v>
      </c>
      <c r="U149" s="122">
        <f t="shared" si="112"/>
        <v>113.4</v>
      </c>
      <c r="V149" s="122">
        <f t="shared" si="112"/>
        <v>113.4</v>
      </c>
      <c r="W149" s="122">
        <f t="shared" si="112"/>
        <v>113.4</v>
      </c>
      <c r="X149" s="122">
        <f t="shared" si="112"/>
        <v>113.4</v>
      </c>
      <c r="Y149" s="122">
        <f t="shared" si="112"/>
        <v>113.4</v>
      </c>
      <c r="Z149" s="122">
        <f t="shared" si="112"/>
        <v>113.4</v>
      </c>
      <c r="AA149" s="122">
        <f t="shared" si="112"/>
        <v>113.4</v>
      </c>
      <c r="AB149" s="124">
        <f t="shared" si="101"/>
        <v>1360.8</v>
      </c>
      <c r="AG149" s="27"/>
    </row>
    <row r="150" ht="19.5" customHeight="1" outlineLevel="1">
      <c r="B150" s="48" t="s">
        <v>64</v>
      </c>
      <c r="C150" s="154">
        <f t="shared" ref="C150:N150" si="113">IF(SUM($C86:C86)&lt;2225,C86*30%,C86*15.1%)</f>
        <v>30</v>
      </c>
      <c r="D150" s="157">
        <f t="shared" si="113"/>
        <v>30</v>
      </c>
      <c r="E150" s="157">
        <f t="shared" si="113"/>
        <v>30</v>
      </c>
      <c r="F150" s="157">
        <f t="shared" si="113"/>
        <v>30</v>
      </c>
      <c r="G150" s="157">
        <f t="shared" si="113"/>
        <v>30</v>
      </c>
      <c r="H150" s="157">
        <f t="shared" si="113"/>
        <v>30</v>
      </c>
      <c r="I150" s="157">
        <f t="shared" si="113"/>
        <v>30</v>
      </c>
      <c r="J150" s="157">
        <f t="shared" si="113"/>
        <v>30</v>
      </c>
      <c r="K150" s="157">
        <f t="shared" si="113"/>
        <v>30</v>
      </c>
      <c r="L150" s="157">
        <f t="shared" si="113"/>
        <v>30</v>
      </c>
      <c r="M150" s="157">
        <f t="shared" si="113"/>
        <v>30</v>
      </c>
      <c r="N150" s="158">
        <f t="shared" si="113"/>
        <v>30</v>
      </c>
      <c r="O150" s="127">
        <f t="shared" si="99"/>
        <v>360</v>
      </c>
      <c r="P150" s="114">
        <f t="shared" ref="P150:AA150" si="114">IF(SUM($P86:P86)&lt;2225,P86*30%,P86*15.1%)</f>
        <v>32.4</v>
      </c>
      <c r="Q150" s="114">
        <f t="shared" si="114"/>
        <v>32.4</v>
      </c>
      <c r="R150" s="114">
        <f t="shared" si="114"/>
        <v>32.4</v>
      </c>
      <c r="S150" s="114">
        <f t="shared" si="114"/>
        <v>32.4</v>
      </c>
      <c r="T150" s="114">
        <f t="shared" si="114"/>
        <v>32.4</v>
      </c>
      <c r="U150" s="114">
        <f t="shared" si="114"/>
        <v>32.4</v>
      </c>
      <c r="V150" s="114">
        <f t="shared" si="114"/>
        <v>32.4</v>
      </c>
      <c r="W150" s="114">
        <f t="shared" si="114"/>
        <v>32.4</v>
      </c>
      <c r="X150" s="114">
        <f t="shared" si="114"/>
        <v>32.4</v>
      </c>
      <c r="Y150" s="114">
        <f t="shared" si="114"/>
        <v>32.4</v>
      </c>
      <c r="Z150" s="114">
        <f t="shared" si="114"/>
        <v>32.4</v>
      </c>
      <c r="AA150" s="114">
        <f t="shared" si="114"/>
        <v>32.4</v>
      </c>
      <c r="AB150" s="128">
        <f t="shared" si="101"/>
        <v>388.8</v>
      </c>
      <c r="AG150" s="27"/>
    </row>
    <row r="151" ht="19.5" customHeight="1" outlineLevel="1">
      <c r="B151" s="54" t="s">
        <v>66</v>
      </c>
      <c r="C151" s="154">
        <f t="shared" ref="C151:N151" si="115">IF(SUM($C87:C87)&lt;2225,C87*30%,C87*15.1%)</f>
        <v>30</v>
      </c>
      <c r="D151" s="157">
        <f t="shared" si="115"/>
        <v>30</v>
      </c>
      <c r="E151" s="157">
        <f t="shared" si="115"/>
        <v>30</v>
      </c>
      <c r="F151" s="157">
        <f t="shared" si="115"/>
        <v>30</v>
      </c>
      <c r="G151" s="157">
        <f t="shared" si="115"/>
        <v>30</v>
      </c>
      <c r="H151" s="157">
        <f t="shared" si="115"/>
        <v>30</v>
      </c>
      <c r="I151" s="157">
        <f t="shared" si="115"/>
        <v>30</v>
      </c>
      <c r="J151" s="157">
        <f t="shared" si="115"/>
        <v>30</v>
      </c>
      <c r="K151" s="157">
        <f t="shared" si="115"/>
        <v>30</v>
      </c>
      <c r="L151" s="157">
        <f t="shared" si="115"/>
        <v>30</v>
      </c>
      <c r="M151" s="157">
        <f t="shared" si="115"/>
        <v>30</v>
      </c>
      <c r="N151" s="158">
        <f t="shared" si="115"/>
        <v>30</v>
      </c>
      <c r="O151" s="115">
        <f t="shared" si="99"/>
        <v>360</v>
      </c>
      <c r="P151" s="114">
        <f t="shared" ref="P151:AA151" si="116">IF(SUM($P87:P87)&lt;2225,P87*30%,P87*15.1%)</f>
        <v>32.4</v>
      </c>
      <c r="Q151" s="114">
        <f t="shared" si="116"/>
        <v>32.4</v>
      </c>
      <c r="R151" s="114">
        <f t="shared" si="116"/>
        <v>32.4</v>
      </c>
      <c r="S151" s="114">
        <f t="shared" si="116"/>
        <v>32.4</v>
      </c>
      <c r="T151" s="114">
        <f t="shared" si="116"/>
        <v>32.4</v>
      </c>
      <c r="U151" s="114">
        <f t="shared" si="116"/>
        <v>32.4</v>
      </c>
      <c r="V151" s="114">
        <f t="shared" si="116"/>
        <v>32.4</v>
      </c>
      <c r="W151" s="114">
        <f t="shared" si="116"/>
        <v>32.4</v>
      </c>
      <c r="X151" s="114">
        <f t="shared" si="116"/>
        <v>32.4</v>
      </c>
      <c r="Y151" s="114">
        <f t="shared" si="116"/>
        <v>32.4</v>
      </c>
      <c r="Z151" s="114">
        <f t="shared" si="116"/>
        <v>32.4</v>
      </c>
      <c r="AA151" s="114">
        <f t="shared" si="116"/>
        <v>32.4</v>
      </c>
      <c r="AB151" s="116">
        <f t="shared" si="101"/>
        <v>388.8</v>
      </c>
      <c r="AG151" s="27"/>
    </row>
    <row r="152" ht="19.5" customHeight="1" outlineLevel="1">
      <c r="B152" s="54" t="s">
        <v>67</v>
      </c>
      <c r="C152" s="154">
        <f t="shared" ref="C152:N152" si="117">IF(SUM($C88:C88)&lt;2225,C88*30%,C88*15.1%)</f>
        <v>21</v>
      </c>
      <c r="D152" s="157">
        <f t="shared" si="117"/>
        <v>21</v>
      </c>
      <c r="E152" s="157">
        <f t="shared" si="117"/>
        <v>21</v>
      </c>
      <c r="F152" s="157">
        <f t="shared" si="117"/>
        <v>21</v>
      </c>
      <c r="G152" s="157">
        <f t="shared" si="117"/>
        <v>21</v>
      </c>
      <c r="H152" s="157">
        <f t="shared" si="117"/>
        <v>21</v>
      </c>
      <c r="I152" s="157">
        <f t="shared" si="117"/>
        <v>21</v>
      </c>
      <c r="J152" s="157">
        <f t="shared" si="117"/>
        <v>21</v>
      </c>
      <c r="K152" s="157">
        <f t="shared" si="117"/>
        <v>21</v>
      </c>
      <c r="L152" s="157">
        <f t="shared" si="117"/>
        <v>21</v>
      </c>
      <c r="M152" s="157">
        <f t="shared" si="117"/>
        <v>21</v>
      </c>
      <c r="N152" s="158">
        <f t="shared" si="117"/>
        <v>21</v>
      </c>
      <c r="O152" s="115">
        <f t="shared" si="99"/>
        <v>252</v>
      </c>
      <c r="P152" s="114">
        <f t="shared" ref="P152:AA152" si="118">IF(SUM($P88:P88)&lt;2225,P88*30%,P88*15.1%)</f>
        <v>22.68</v>
      </c>
      <c r="Q152" s="114">
        <f t="shared" si="118"/>
        <v>22.68</v>
      </c>
      <c r="R152" s="114">
        <f t="shared" si="118"/>
        <v>22.68</v>
      </c>
      <c r="S152" s="114">
        <f t="shared" si="118"/>
        <v>22.68</v>
      </c>
      <c r="T152" s="114">
        <f t="shared" si="118"/>
        <v>22.68</v>
      </c>
      <c r="U152" s="114">
        <f t="shared" si="118"/>
        <v>22.68</v>
      </c>
      <c r="V152" s="114">
        <f t="shared" si="118"/>
        <v>22.68</v>
      </c>
      <c r="W152" s="114">
        <f t="shared" si="118"/>
        <v>22.68</v>
      </c>
      <c r="X152" s="114">
        <f t="shared" si="118"/>
        <v>22.68</v>
      </c>
      <c r="Y152" s="114">
        <f t="shared" si="118"/>
        <v>22.68</v>
      </c>
      <c r="Z152" s="114">
        <f t="shared" si="118"/>
        <v>22.68</v>
      </c>
      <c r="AA152" s="114">
        <f t="shared" si="118"/>
        <v>22.68</v>
      </c>
      <c r="AB152" s="116">
        <f t="shared" si="101"/>
        <v>272.16</v>
      </c>
      <c r="AG152" s="27"/>
    </row>
    <row r="153" ht="19.5" customHeight="1" outlineLevel="1">
      <c r="B153" s="54" t="s">
        <v>58</v>
      </c>
      <c r="C153" s="154">
        <f t="shared" ref="C153:N153" si="119">IF(SUM($C89:C89)&lt;2225,C89*30%,C89*15.1%)</f>
        <v>24</v>
      </c>
      <c r="D153" s="159">
        <f t="shared" si="119"/>
        <v>24</v>
      </c>
      <c r="E153" s="159">
        <f t="shared" si="119"/>
        <v>24</v>
      </c>
      <c r="F153" s="159">
        <f t="shared" si="119"/>
        <v>24</v>
      </c>
      <c r="G153" s="159">
        <f t="shared" si="119"/>
        <v>24</v>
      </c>
      <c r="H153" s="159">
        <f t="shared" si="119"/>
        <v>24</v>
      </c>
      <c r="I153" s="159">
        <f t="shared" si="119"/>
        <v>24</v>
      </c>
      <c r="J153" s="159">
        <f t="shared" si="119"/>
        <v>24</v>
      </c>
      <c r="K153" s="159">
        <f t="shared" si="119"/>
        <v>24</v>
      </c>
      <c r="L153" s="159">
        <f t="shared" si="119"/>
        <v>24</v>
      </c>
      <c r="M153" s="159">
        <f t="shared" si="119"/>
        <v>24</v>
      </c>
      <c r="N153" s="160">
        <f t="shared" si="119"/>
        <v>24</v>
      </c>
      <c r="O153" s="115">
        <f t="shared" si="99"/>
        <v>288</v>
      </c>
      <c r="P153" s="114">
        <f t="shared" ref="P153:AA153" si="120">IF(SUM($P89:P89)&lt;2225,P89*30%,P89*15.1%)</f>
        <v>25.92</v>
      </c>
      <c r="Q153" s="114">
        <f t="shared" si="120"/>
        <v>25.92</v>
      </c>
      <c r="R153" s="114">
        <f t="shared" si="120"/>
        <v>25.92</v>
      </c>
      <c r="S153" s="114">
        <f t="shared" si="120"/>
        <v>25.92</v>
      </c>
      <c r="T153" s="114">
        <f t="shared" si="120"/>
        <v>25.92</v>
      </c>
      <c r="U153" s="114">
        <f t="shared" si="120"/>
        <v>25.92</v>
      </c>
      <c r="V153" s="114">
        <f t="shared" si="120"/>
        <v>25.92</v>
      </c>
      <c r="W153" s="114">
        <f t="shared" si="120"/>
        <v>25.92</v>
      </c>
      <c r="X153" s="114">
        <f t="shared" si="120"/>
        <v>25.92</v>
      </c>
      <c r="Y153" s="114">
        <f t="shared" si="120"/>
        <v>25.92</v>
      </c>
      <c r="Z153" s="114">
        <f t="shared" si="120"/>
        <v>25.92</v>
      </c>
      <c r="AA153" s="114">
        <f t="shared" si="120"/>
        <v>25.92</v>
      </c>
      <c r="AB153" s="116">
        <f t="shared" si="101"/>
        <v>311.04</v>
      </c>
      <c r="AG153" s="27"/>
    </row>
    <row r="154" ht="19.5" customHeight="1">
      <c r="B154" s="75" t="s">
        <v>103</v>
      </c>
      <c r="C154" s="161">
        <f t="shared" ref="C154:N154" si="121">IF(SUM($C90:C90)&lt;2225,C90*30%,C90*15.1%)</f>
        <v>12</v>
      </c>
      <c r="D154" s="162">
        <f t="shared" si="121"/>
        <v>12</v>
      </c>
      <c r="E154" s="162">
        <f t="shared" si="121"/>
        <v>12</v>
      </c>
      <c r="F154" s="162">
        <f t="shared" si="121"/>
        <v>12</v>
      </c>
      <c r="G154" s="162">
        <f t="shared" si="121"/>
        <v>12</v>
      </c>
      <c r="H154" s="162">
        <f t="shared" si="121"/>
        <v>12</v>
      </c>
      <c r="I154" s="162">
        <f t="shared" si="121"/>
        <v>12</v>
      </c>
      <c r="J154" s="162">
        <f t="shared" si="121"/>
        <v>12</v>
      </c>
      <c r="K154" s="162">
        <f t="shared" si="121"/>
        <v>12</v>
      </c>
      <c r="L154" s="162">
        <f t="shared" si="121"/>
        <v>12</v>
      </c>
      <c r="M154" s="162">
        <f t="shared" si="121"/>
        <v>12</v>
      </c>
      <c r="N154" s="162">
        <f t="shared" si="121"/>
        <v>12</v>
      </c>
      <c r="O154" s="163">
        <f t="shared" si="99"/>
        <v>144</v>
      </c>
      <c r="P154" s="149">
        <f t="shared" ref="P154:AA154" si="122">P90*30%</f>
        <v>12.96</v>
      </c>
      <c r="Q154" s="149">
        <f t="shared" si="122"/>
        <v>12.96</v>
      </c>
      <c r="R154" s="149">
        <f t="shared" si="122"/>
        <v>12.96</v>
      </c>
      <c r="S154" s="149">
        <f t="shared" si="122"/>
        <v>12.96</v>
      </c>
      <c r="T154" s="149">
        <f t="shared" si="122"/>
        <v>12.96</v>
      </c>
      <c r="U154" s="149">
        <f t="shared" si="122"/>
        <v>12.96</v>
      </c>
      <c r="V154" s="149">
        <f t="shared" si="122"/>
        <v>12.96</v>
      </c>
      <c r="W154" s="149">
        <f t="shared" si="122"/>
        <v>12.96</v>
      </c>
      <c r="X154" s="149">
        <f t="shared" si="122"/>
        <v>12.96</v>
      </c>
      <c r="Y154" s="149">
        <f t="shared" si="122"/>
        <v>12.96</v>
      </c>
      <c r="Z154" s="149">
        <f t="shared" si="122"/>
        <v>12.96</v>
      </c>
      <c r="AA154" s="149">
        <f t="shared" si="122"/>
        <v>12.96</v>
      </c>
      <c r="AB154" s="151">
        <f t="shared" si="101"/>
        <v>155.52</v>
      </c>
      <c r="AG154" s="27"/>
    </row>
    <row r="155" ht="40.5" customHeight="1">
      <c r="AG155" s="27"/>
    </row>
    <row r="156" ht="36.0" customHeight="1">
      <c r="B156" s="91" t="s">
        <v>110</v>
      </c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104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6"/>
      <c r="AD156" s="147" t="s">
        <v>111</v>
      </c>
      <c r="AF156" s="26" t="s">
        <v>9</v>
      </c>
      <c r="AG156" s="27" t="str">
        <f>IF(AF156="Нет", " ", "Сумма аренды указана на листе Аналитика. С 2027 года учтите рост аренды с учётом инфляции")</f>
        <v> </v>
      </c>
    </row>
    <row r="157" ht="19.5" customHeight="1">
      <c r="B157" s="96"/>
      <c r="C157" s="97" t="s">
        <v>72</v>
      </c>
      <c r="D157" s="97" t="s">
        <v>73</v>
      </c>
      <c r="E157" s="97" t="s">
        <v>74</v>
      </c>
      <c r="F157" s="97" t="s">
        <v>75</v>
      </c>
      <c r="G157" s="98">
        <v>46143.0</v>
      </c>
      <c r="H157" s="97" t="s">
        <v>76</v>
      </c>
      <c r="I157" s="97" t="s">
        <v>77</v>
      </c>
      <c r="J157" s="97" t="s">
        <v>78</v>
      </c>
      <c r="K157" s="97" t="s">
        <v>79</v>
      </c>
      <c r="L157" s="97" t="s">
        <v>80</v>
      </c>
      <c r="M157" s="97" t="s">
        <v>81</v>
      </c>
      <c r="N157" s="97" t="s">
        <v>82</v>
      </c>
      <c r="O157" s="99">
        <v>2026.0</v>
      </c>
      <c r="P157" s="97" t="s">
        <v>83</v>
      </c>
      <c r="Q157" s="97" t="s">
        <v>84</v>
      </c>
      <c r="R157" s="97" t="s">
        <v>85</v>
      </c>
      <c r="S157" s="97" t="s">
        <v>86</v>
      </c>
      <c r="T157" s="98">
        <v>46508.0</v>
      </c>
      <c r="U157" s="97" t="s">
        <v>87</v>
      </c>
      <c r="V157" s="97" t="s">
        <v>88</v>
      </c>
      <c r="W157" s="97" t="s">
        <v>89</v>
      </c>
      <c r="X157" s="97" t="s">
        <v>90</v>
      </c>
      <c r="Y157" s="97" t="s">
        <v>91</v>
      </c>
      <c r="Z157" s="97" t="s">
        <v>92</v>
      </c>
      <c r="AA157" s="97" t="s">
        <v>93</v>
      </c>
      <c r="AB157" s="100">
        <v>2027.0</v>
      </c>
      <c r="AF157" s="26" t="s">
        <v>9</v>
      </c>
      <c r="AG157" s="27" t="str">
        <f>IF(AF157="Нет", " ", "Чтобы распределить расходы на мебель на 2 года, нужно их поделить на 24 месяца")</f>
        <v> </v>
      </c>
    </row>
    <row r="158" ht="9.75" customHeight="1">
      <c r="B158" s="106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6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6"/>
      <c r="AF158" s="26"/>
      <c r="AG158" s="27"/>
    </row>
    <row r="159" ht="19.5" customHeight="1">
      <c r="B159" s="75" t="s">
        <v>112</v>
      </c>
      <c r="C159" s="108">
        <f t="shared" ref="C159:N159" si="123">C160+C161</f>
        <v>56.25</v>
      </c>
      <c r="D159" s="109">
        <f t="shared" si="123"/>
        <v>56.25</v>
      </c>
      <c r="E159" s="109">
        <f t="shared" si="123"/>
        <v>56.25</v>
      </c>
      <c r="F159" s="109">
        <f t="shared" si="123"/>
        <v>56.25</v>
      </c>
      <c r="G159" s="109">
        <f t="shared" si="123"/>
        <v>56.25</v>
      </c>
      <c r="H159" s="109">
        <f t="shared" si="123"/>
        <v>56.25</v>
      </c>
      <c r="I159" s="109">
        <f t="shared" si="123"/>
        <v>56.25</v>
      </c>
      <c r="J159" s="109">
        <f t="shared" si="123"/>
        <v>56.25</v>
      </c>
      <c r="K159" s="109">
        <f t="shared" si="123"/>
        <v>56.25</v>
      </c>
      <c r="L159" s="109">
        <f t="shared" si="123"/>
        <v>56.25</v>
      </c>
      <c r="M159" s="109">
        <f t="shared" si="123"/>
        <v>56.25</v>
      </c>
      <c r="N159" s="109">
        <f t="shared" si="123"/>
        <v>56.25</v>
      </c>
      <c r="O159" s="110">
        <f t="shared" ref="O159:O161" si="125">SUM(C159:N159)</f>
        <v>675</v>
      </c>
      <c r="P159" s="109">
        <f t="shared" ref="P159:AA159" si="124">P160+P161</f>
        <v>59.75</v>
      </c>
      <c r="Q159" s="109">
        <f t="shared" si="124"/>
        <v>59.75</v>
      </c>
      <c r="R159" s="109">
        <f t="shared" si="124"/>
        <v>59.75</v>
      </c>
      <c r="S159" s="109">
        <f t="shared" si="124"/>
        <v>59.75</v>
      </c>
      <c r="T159" s="109">
        <f t="shared" si="124"/>
        <v>59.75</v>
      </c>
      <c r="U159" s="109">
        <f t="shared" si="124"/>
        <v>59.75</v>
      </c>
      <c r="V159" s="109">
        <f t="shared" si="124"/>
        <v>59.75</v>
      </c>
      <c r="W159" s="109">
        <f t="shared" si="124"/>
        <v>59.75</v>
      </c>
      <c r="X159" s="109">
        <f t="shared" si="124"/>
        <v>59.75</v>
      </c>
      <c r="Y159" s="109">
        <f t="shared" si="124"/>
        <v>59.75</v>
      </c>
      <c r="Z159" s="109">
        <f t="shared" si="124"/>
        <v>59.75</v>
      </c>
      <c r="AA159" s="109">
        <f t="shared" si="124"/>
        <v>59.75</v>
      </c>
      <c r="AB159" s="111">
        <f t="shared" ref="AB159:AB161" si="126">SUM(P159:AA159)</f>
        <v>717</v>
      </c>
      <c r="AG159" s="27"/>
    </row>
    <row r="160" ht="19.5" customHeight="1">
      <c r="B160" s="112" t="s">
        <v>113</v>
      </c>
      <c r="C160" s="113">
        <f>'Аналитика'!$M$5</f>
        <v>50</v>
      </c>
      <c r="D160" s="114">
        <v>50.0</v>
      </c>
      <c r="E160" s="114">
        <v>50.0</v>
      </c>
      <c r="F160" s="114">
        <v>50.0</v>
      </c>
      <c r="G160" s="114">
        <v>50.0</v>
      </c>
      <c r="H160" s="114">
        <v>50.0</v>
      </c>
      <c r="I160" s="114">
        <v>50.0</v>
      </c>
      <c r="J160" s="114">
        <v>50.0</v>
      </c>
      <c r="K160" s="114">
        <v>50.0</v>
      </c>
      <c r="L160" s="114">
        <v>50.0</v>
      </c>
      <c r="M160" s="114">
        <v>50.0</v>
      </c>
      <c r="N160" s="114">
        <v>50.0</v>
      </c>
      <c r="O160" s="115">
        <f t="shared" si="125"/>
        <v>600</v>
      </c>
      <c r="P160" s="114">
        <f>'Аналитика'!$M$5*(1+'Аналитика'!$M$4)</f>
        <v>53.5</v>
      </c>
      <c r="Q160" s="114">
        <f>'Аналитика'!$M$5*(1+'Аналитика'!$M$4)</f>
        <v>53.5</v>
      </c>
      <c r="R160" s="114">
        <f>'Аналитика'!$M$5*(1+'Аналитика'!$M$4)</f>
        <v>53.5</v>
      </c>
      <c r="S160" s="114">
        <f>'Аналитика'!$M$5*(1+'Аналитика'!$M$4)</f>
        <v>53.5</v>
      </c>
      <c r="T160" s="114">
        <f>'Аналитика'!$M$5*(1+'Аналитика'!$M$4)</f>
        <v>53.5</v>
      </c>
      <c r="U160" s="114">
        <f>'Аналитика'!$M$5*(1+'Аналитика'!$M$4)</f>
        <v>53.5</v>
      </c>
      <c r="V160" s="114">
        <f>'Аналитика'!$M$5*(1+'Аналитика'!$M$4)</f>
        <v>53.5</v>
      </c>
      <c r="W160" s="114">
        <f>'Аналитика'!$M$5*(1+'Аналитика'!$M$4)</f>
        <v>53.5</v>
      </c>
      <c r="X160" s="114">
        <f>'Аналитика'!$M$5*(1+'Аналитика'!$M$4)</f>
        <v>53.5</v>
      </c>
      <c r="Y160" s="114">
        <f>'Аналитика'!$M$5*(1+'Аналитика'!$M$4)</f>
        <v>53.5</v>
      </c>
      <c r="Z160" s="114">
        <f>'Аналитика'!$M$5*(1+'Аналитика'!$M$4)</f>
        <v>53.5</v>
      </c>
      <c r="AA160" s="114">
        <f>'Аналитика'!$M$5*(1+'Аналитика'!$M$4)</f>
        <v>53.5</v>
      </c>
      <c r="AB160" s="116">
        <f t="shared" si="126"/>
        <v>642</v>
      </c>
      <c r="AG160" s="27"/>
    </row>
    <row r="161" ht="19.5" customHeight="1">
      <c r="B161" s="112" t="s">
        <v>114</v>
      </c>
      <c r="C161" s="129">
        <f>'Аналитика'!$M$6/24</f>
        <v>6.25</v>
      </c>
      <c r="D161" s="130">
        <v>6.25</v>
      </c>
      <c r="E161" s="130">
        <v>6.25</v>
      </c>
      <c r="F161" s="130">
        <v>6.25</v>
      </c>
      <c r="G161" s="130">
        <v>6.25</v>
      </c>
      <c r="H161" s="130">
        <v>6.25</v>
      </c>
      <c r="I161" s="130">
        <v>6.25</v>
      </c>
      <c r="J161" s="130">
        <v>6.25</v>
      </c>
      <c r="K161" s="130">
        <v>6.25</v>
      </c>
      <c r="L161" s="130">
        <v>6.25</v>
      </c>
      <c r="M161" s="130">
        <v>6.25</v>
      </c>
      <c r="N161" s="130">
        <v>6.25</v>
      </c>
      <c r="O161" s="131">
        <f t="shared" si="125"/>
        <v>75</v>
      </c>
      <c r="P161" s="130">
        <f>'Аналитика'!$M$6/24</f>
        <v>6.25</v>
      </c>
      <c r="Q161" s="130">
        <f>'Аналитика'!$M$6/24</f>
        <v>6.25</v>
      </c>
      <c r="R161" s="130">
        <f>'Аналитика'!$M$6/24</f>
        <v>6.25</v>
      </c>
      <c r="S161" s="130">
        <f>'Аналитика'!$M$6/24</f>
        <v>6.25</v>
      </c>
      <c r="T161" s="130">
        <f>'Аналитика'!$M$6/24</f>
        <v>6.25</v>
      </c>
      <c r="U161" s="130">
        <f>'Аналитика'!$M$6/24</f>
        <v>6.25</v>
      </c>
      <c r="V161" s="130">
        <f>'Аналитика'!$M$6/24</f>
        <v>6.25</v>
      </c>
      <c r="W161" s="130">
        <f>'Аналитика'!$M$6/24</f>
        <v>6.25</v>
      </c>
      <c r="X161" s="130">
        <f>'Аналитика'!$M$6/24</f>
        <v>6.25</v>
      </c>
      <c r="Y161" s="130">
        <f>'Аналитика'!$M$6/24</f>
        <v>6.25</v>
      </c>
      <c r="Z161" s="130">
        <f>'Аналитика'!$M$6/24</f>
        <v>6.25</v>
      </c>
      <c r="AA161" s="130">
        <f>'Аналитика'!$M$6/24</f>
        <v>6.25</v>
      </c>
      <c r="AB161" s="132">
        <f t="shared" si="126"/>
        <v>75</v>
      </c>
      <c r="AG161" s="27"/>
    </row>
    <row r="162" ht="40.5" customHeight="1">
      <c r="AG162" s="27"/>
    </row>
    <row r="163" ht="36.0" customHeight="1">
      <c r="B163" s="91" t="s">
        <v>115</v>
      </c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104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6"/>
      <c r="AF163" s="26" t="s">
        <v>9</v>
      </c>
      <c r="AG163" s="27" t="str">
        <f>IF(AF163="Нет", " ", "Ожидаемые расходы на рекламу указаны на листе Аналитика. С 2027 года учтите рост расходов с учётом инфляции")</f>
        <v> </v>
      </c>
    </row>
    <row r="164" ht="19.5" customHeight="1">
      <c r="B164" s="96"/>
      <c r="C164" s="97" t="s">
        <v>72</v>
      </c>
      <c r="D164" s="97" t="s">
        <v>73</v>
      </c>
      <c r="E164" s="97" t="s">
        <v>74</v>
      </c>
      <c r="F164" s="97" t="s">
        <v>75</v>
      </c>
      <c r="G164" s="98">
        <v>46143.0</v>
      </c>
      <c r="H164" s="97" t="s">
        <v>76</v>
      </c>
      <c r="I164" s="97" t="s">
        <v>77</v>
      </c>
      <c r="J164" s="97" t="s">
        <v>78</v>
      </c>
      <c r="K164" s="97" t="s">
        <v>79</v>
      </c>
      <c r="L164" s="97" t="s">
        <v>80</v>
      </c>
      <c r="M164" s="97" t="s">
        <v>81</v>
      </c>
      <c r="N164" s="97" t="s">
        <v>82</v>
      </c>
      <c r="O164" s="99">
        <v>2026.0</v>
      </c>
      <c r="P164" s="97" t="s">
        <v>83</v>
      </c>
      <c r="Q164" s="97" t="s">
        <v>84</v>
      </c>
      <c r="R164" s="97" t="s">
        <v>85</v>
      </c>
      <c r="S164" s="97" t="s">
        <v>86</v>
      </c>
      <c r="T164" s="98">
        <v>46508.0</v>
      </c>
      <c r="U164" s="97" t="s">
        <v>87</v>
      </c>
      <c r="V164" s="97" t="s">
        <v>88</v>
      </c>
      <c r="W164" s="97" t="s">
        <v>89</v>
      </c>
      <c r="X164" s="97" t="s">
        <v>90</v>
      </c>
      <c r="Y164" s="97" t="s">
        <v>91</v>
      </c>
      <c r="Z164" s="97" t="s">
        <v>92</v>
      </c>
      <c r="AA164" s="97" t="s">
        <v>93</v>
      </c>
      <c r="AB164" s="100">
        <v>2027.0</v>
      </c>
      <c r="AG164" s="27"/>
    </row>
    <row r="165" ht="9.75" customHeight="1">
      <c r="B165" s="106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6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6"/>
      <c r="AG165" s="27"/>
    </row>
    <row r="166" ht="19.5" customHeight="1">
      <c r="B166" s="75" t="s">
        <v>2</v>
      </c>
      <c r="C166" s="164">
        <f>SUM('Аналитика'!C17:C22)</f>
        <v>300</v>
      </c>
      <c r="D166" s="153">
        <v>300.0</v>
      </c>
      <c r="E166" s="153">
        <v>300.0</v>
      </c>
      <c r="F166" s="153">
        <v>300.0</v>
      </c>
      <c r="G166" s="153">
        <v>300.0</v>
      </c>
      <c r="H166" s="153">
        <v>300.0</v>
      </c>
      <c r="I166" s="153">
        <v>300.0</v>
      </c>
      <c r="J166" s="153">
        <v>300.0</v>
      </c>
      <c r="K166" s="153">
        <v>300.0</v>
      </c>
      <c r="L166" s="153">
        <v>300.0</v>
      </c>
      <c r="M166" s="153">
        <v>300.0</v>
      </c>
      <c r="N166" s="153">
        <v>300.0</v>
      </c>
      <c r="O166" s="165">
        <f t="shared" ref="O166:O167" si="127">SUM(C166:N166)</f>
        <v>3600</v>
      </c>
      <c r="P166" s="153">
        <f>$N$166*(1+'Аналитика'!$M$4)</f>
        <v>321</v>
      </c>
      <c r="Q166" s="153">
        <f>$N$166*(1+'Аналитика'!$M$4)</f>
        <v>321</v>
      </c>
      <c r="R166" s="153">
        <f>$N$166*(1+'Аналитика'!$M$4)</f>
        <v>321</v>
      </c>
      <c r="S166" s="153">
        <f>$N$166*(1+'Аналитика'!$M$4)</f>
        <v>321</v>
      </c>
      <c r="T166" s="153">
        <f>$N$166*(1+'Аналитика'!$M$4)</f>
        <v>321</v>
      </c>
      <c r="U166" s="153">
        <f>$N$166*(1+'Аналитика'!$M$4)</f>
        <v>321</v>
      </c>
      <c r="V166" s="153">
        <f>$N$166*(1+'Аналитика'!$M$4)</f>
        <v>321</v>
      </c>
      <c r="W166" s="153">
        <f>$N$166*(1+'Аналитика'!$M$4)</f>
        <v>321</v>
      </c>
      <c r="X166" s="153">
        <f>$N$166*(1+'Аналитика'!$M$4)</f>
        <v>321</v>
      </c>
      <c r="Y166" s="153">
        <f>$N$166*(1+'Аналитика'!$M$4)</f>
        <v>321</v>
      </c>
      <c r="Z166" s="153">
        <f>$N$166*(1+'Аналитика'!$M$4)</f>
        <v>321</v>
      </c>
      <c r="AA166" s="153">
        <f>$N$166*(1+'Аналитика'!$M$4)</f>
        <v>321</v>
      </c>
      <c r="AB166" s="166">
        <f t="shared" ref="AB166:AB167" si="128">SUM(P166:AA166)</f>
        <v>3852</v>
      </c>
      <c r="AG166" s="27"/>
    </row>
    <row r="167" ht="19.5" customHeight="1">
      <c r="B167" s="75" t="s">
        <v>3</v>
      </c>
      <c r="C167" s="167">
        <f>SUM('Аналитика'!D17:D22)</f>
        <v>300</v>
      </c>
      <c r="D167" s="168">
        <v>300.0</v>
      </c>
      <c r="E167" s="168">
        <v>300.0</v>
      </c>
      <c r="F167" s="168">
        <v>300.0</v>
      </c>
      <c r="G167" s="168">
        <v>300.0</v>
      </c>
      <c r="H167" s="168">
        <v>300.0</v>
      </c>
      <c r="I167" s="168">
        <v>300.0</v>
      </c>
      <c r="J167" s="168">
        <v>300.0</v>
      </c>
      <c r="K167" s="168">
        <v>300.0</v>
      </c>
      <c r="L167" s="168">
        <v>300.0</v>
      </c>
      <c r="M167" s="168">
        <v>300.0</v>
      </c>
      <c r="N167" s="168">
        <v>300.0</v>
      </c>
      <c r="O167" s="169">
        <f t="shared" si="127"/>
        <v>3600</v>
      </c>
      <c r="P167" s="168">
        <f>$N$167*(1+'Аналитика'!$M$4)</f>
        <v>321</v>
      </c>
      <c r="Q167" s="168">
        <f>$N$167*(1+'Аналитика'!$M$4)</f>
        <v>321</v>
      </c>
      <c r="R167" s="168">
        <f>$N$167*(1+'Аналитика'!$M$4)</f>
        <v>321</v>
      </c>
      <c r="S167" s="168">
        <f>$N$167*(1+'Аналитика'!$M$4)</f>
        <v>321</v>
      </c>
      <c r="T167" s="168">
        <f>$N$167*(1+'Аналитика'!$M$4)</f>
        <v>321</v>
      </c>
      <c r="U167" s="168">
        <f>$N$167*(1+'Аналитика'!$M$4)</f>
        <v>321</v>
      </c>
      <c r="V167" s="168">
        <f>$N$167*(1+'Аналитика'!$M$4)</f>
        <v>321</v>
      </c>
      <c r="W167" s="168">
        <f>$N$167*(1+'Аналитика'!$M$4)</f>
        <v>321</v>
      </c>
      <c r="X167" s="168">
        <f>$N$167*(1+'Аналитика'!$M$4)</f>
        <v>321</v>
      </c>
      <c r="Y167" s="168">
        <f>$N$167*(1+'Аналитика'!$M$4)</f>
        <v>321</v>
      </c>
      <c r="Z167" s="168">
        <f>$N$167*(1+'Аналитика'!$M$4)</f>
        <v>321</v>
      </c>
      <c r="AA167" s="168">
        <f>$N$167*(1+'Аналитика'!$M$4)</f>
        <v>321</v>
      </c>
      <c r="AB167" s="170">
        <f t="shared" si="128"/>
        <v>3852</v>
      </c>
      <c r="AG167" s="27"/>
    </row>
    <row r="168" ht="40.5" customHeight="1"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3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3"/>
      <c r="AG168" s="27"/>
    </row>
    <row r="169" ht="36.0" customHeight="1">
      <c r="B169" s="91" t="s">
        <v>116</v>
      </c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104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6"/>
      <c r="AD169" s="174" t="s">
        <v>117</v>
      </c>
      <c r="AF169" s="26" t="s">
        <v>9</v>
      </c>
      <c r="AG169" s="27" t="str">
        <f>IF(AF169="Нет", " ", "Расходы на оборудование указаны на листе Аналитика. Сделайте расчёт с учётом количества штатных единиц.")</f>
        <v> </v>
      </c>
    </row>
    <row r="170" ht="19.5" customHeight="1">
      <c r="B170" s="96"/>
      <c r="C170" s="97" t="s">
        <v>72</v>
      </c>
      <c r="D170" s="97" t="s">
        <v>73</v>
      </c>
      <c r="E170" s="97" t="s">
        <v>74</v>
      </c>
      <c r="F170" s="97" t="s">
        <v>75</v>
      </c>
      <c r="G170" s="98">
        <v>46143.0</v>
      </c>
      <c r="H170" s="97" t="s">
        <v>76</v>
      </c>
      <c r="I170" s="97" t="s">
        <v>77</v>
      </c>
      <c r="J170" s="97" t="s">
        <v>78</v>
      </c>
      <c r="K170" s="97" t="s">
        <v>79</v>
      </c>
      <c r="L170" s="97" t="s">
        <v>80</v>
      </c>
      <c r="M170" s="97" t="s">
        <v>81</v>
      </c>
      <c r="N170" s="97" t="s">
        <v>82</v>
      </c>
      <c r="O170" s="99">
        <v>2026.0</v>
      </c>
      <c r="P170" s="97" t="s">
        <v>83</v>
      </c>
      <c r="Q170" s="97" t="s">
        <v>84</v>
      </c>
      <c r="R170" s="97" t="s">
        <v>85</v>
      </c>
      <c r="S170" s="97" t="s">
        <v>86</v>
      </c>
      <c r="T170" s="98">
        <v>46508.0</v>
      </c>
      <c r="U170" s="97" t="s">
        <v>87</v>
      </c>
      <c r="V170" s="97" t="s">
        <v>88</v>
      </c>
      <c r="W170" s="97" t="s">
        <v>89</v>
      </c>
      <c r="X170" s="97" t="s">
        <v>90</v>
      </c>
      <c r="Y170" s="97" t="s">
        <v>91</v>
      </c>
      <c r="Z170" s="97" t="s">
        <v>92</v>
      </c>
      <c r="AA170" s="97" t="s">
        <v>93</v>
      </c>
      <c r="AB170" s="100">
        <v>2027.0</v>
      </c>
      <c r="AF170" s="26"/>
      <c r="AG170" s="27"/>
    </row>
    <row r="171" ht="9.75" customHeight="1">
      <c r="B171" s="106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6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6"/>
      <c r="AF171" s="26"/>
      <c r="AG171" s="27"/>
    </row>
    <row r="172" ht="19.5" customHeight="1">
      <c r="B172" s="75" t="s">
        <v>2</v>
      </c>
      <c r="C172" s="164">
        <f>'Аналитика'!$M$7*'Расчёты'!$AB$95/24</f>
        <v>20.83333333</v>
      </c>
      <c r="D172" s="153">
        <f>'Аналитика'!$M$7*'Расчёты'!$AB$95/24</f>
        <v>20.83333333</v>
      </c>
      <c r="E172" s="153">
        <f>'Аналитика'!$M$7*'Расчёты'!$AB$95/24</f>
        <v>20.83333333</v>
      </c>
      <c r="F172" s="153">
        <f>'Аналитика'!$M$7*'Расчёты'!$AB$95/24</f>
        <v>20.83333333</v>
      </c>
      <c r="G172" s="153">
        <f>'Аналитика'!$M$7*'Расчёты'!$AB$95/24</f>
        <v>20.83333333</v>
      </c>
      <c r="H172" s="153">
        <f>'Аналитика'!$M$7*'Расчёты'!$AB$95/24</f>
        <v>20.83333333</v>
      </c>
      <c r="I172" s="153">
        <f>'Аналитика'!$M$7*'Расчёты'!$AB$95/24</f>
        <v>20.83333333</v>
      </c>
      <c r="J172" s="153">
        <f>'Аналитика'!$M$7*'Расчёты'!$AB$95/24</f>
        <v>20.83333333</v>
      </c>
      <c r="K172" s="153">
        <f>'Аналитика'!$M$7*'Расчёты'!$AB$95/24</f>
        <v>20.83333333</v>
      </c>
      <c r="L172" s="153">
        <f>'Аналитика'!$M$7*'Расчёты'!$AB$95/24</f>
        <v>20.83333333</v>
      </c>
      <c r="M172" s="153">
        <f>'Аналитика'!$M$7*'Расчёты'!$AB$95/24</f>
        <v>20.83333333</v>
      </c>
      <c r="N172" s="153">
        <f>'Аналитика'!$M$7*'Расчёты'!$AB$95/24</f>
        <v>20.83333333</v>
      </c>
      <c r="O172" s="165">
        <f t="shared" ref="O172:O174" si="129">SUM(C172:N172)</f>
        <v>250</v>
      </c>
      <c r="P172" s="153">
        <f>'Аналитика'!$M$7*'Расчёты'!$AB$95/24</f>
        <v>20.83333333</v>
      </c>
      <c r="Q172" s="153">
        <f>'Аналитика'!$M$7*'Расчёты'!$AB$95/24</f>
        <v>20.83333333</v>
      </c>
      <c r="R172" s="153">
        <f>'Аналитика'!$M$7*'Расчёты'!$AB$95/24</f>
        <v>20.83333333</v>
      </c>
      <c r="S172" s="153">
        <f>'Аналитика'!$M$7*'Расчёты'!$AB$95/24</f>
        <v>20.83333333</v>
      </c>
      <c r="T172" s="153">
        <f>'Аналитика'!$M$7*'Расчёты'!$AB$95/24</f>
        <v>20.83333333</v>
      </c>
      <c r="U172" s="153">
        <f>'Аналитика'!$M$7*'Расчёты'!$AB$95/24</f>
        <v>20.83333333</v>
      </c>
      <c r="V172" s="153">
        <f>'Аналитика'!$M$7*'Расчёты'!$AB$95/24</f>
        <v>20.83333333</v>
      </c>
      <c r="W172" s="153">
        <f>'Аналитика'!$M$7*'Расчёты'!$AB$95/24</f>
        <v>20.83333333</v>
      </c>
      <c r="X172" s="153">
        <f>'Аналитика'!$M$7*'Расчёты'!$AB$95/24</f>
        <v>20.83333333</v>
      </c>
      <c r="Y172" s="153">
        <f>'Аналитика'!$M$7*'Расчёты'!$AB$95/24</f>
        <v>20.83333333</v>
      </c>
      <c r="Z172" s="153">
        <f>'Аналитика'!$M$7*'Расчёты'!$AB$95/24</f>
        <v>20.83333333</v>
      </c>
      <c r="AA172" s="153">
        <f>'Аналитика'!$M$7*'Расчёты'!$AB$95/24</f>
        <v>20.83333333</v>
      </c>
      <c r="AB172" s="166">
        <f t="shared" ref="AB172:AB174" si="130">SUM(P172:AA172)</f>
        <v>250</v>
      </c>
      <c r="AG172" s="27"/>
    </row>
    <row r="173" ht="19.5" customHeight="1">
      <c r="B173" s="75" t="s">
        <v>3</v>
      </c>
      <c r="C173" s="175">
        <f>'Аналитика'!$M$7*'Расчёты'!$AB$101/24</f>
        <v>62.5</v>
      </c>
      <c r="D173" s="176">
        <f>'Аналитика'!$M$7*'Расчёты'!$AB$101/24</f>
        <v>62.5</v>
      </c>
      <c r="E173" s="176">
        <f>'Аналитика'!$M$7*'Расчёты'!$AB$101/24</f>
        <v>62.5</v>
      </c>
      <c r="F173" s="176">
        <f>'Аналитика'!$M$7*'Расчёты'!$AB$101/24</f>
        <v>62.5</v>
      </c>
      <c r="G173" s="176">
        <f>'Аналитика'!$M$7*'Расчёты'!$AB$101/24</f>
        <v>62.5</v>
      </c>
      <c r="H173" s="176">
        <f>'Аналитика'!$M$7*'Расчёты'!$AB$101/24</f>
        <v>62.5</v>
      </c>
      <c r="I173" s="176">
        <f>'Аналитика'!$M$7*'Расчёты'!$AB$101/24</f>
        <v>62.5</v>
      </c>
      <c r="J173" s="176">
        <f>'Аналитика'!$M$7*'Расчёты'!$AB$101/24</f>
        <v>62.5</v>
      </c>
      <c r="K173" s="176">
        <f>'Аналитика'!$M$7*'Расчёты'!$AB$101/24</f>
        <v>62.5</v>
      </c>
      <c r="L173" s="176">
        <f>'Аналитика'!$M$7*'Расчёты'!$AB$101/24</f>
        <v>62.5</v>
      </c>
      <c r="M173" s="176">
        <f>'Аналитика'!$M$7*'Расчёты'!$AB$101/24</f>
        <v>62.5</v>
      </c>
      <c r="N173" s="176">
        <f>'Аналитика'!$M$7*'Расчёты'!$AB$101/24</f>
        <v>62.5</v>
      </c>
      <c r="O173" s="177">
        <f t="shared" si="129"/>
        <v>750</v>
      </c>
      <c r="P173" s="176">
        <f>'Аналитика'!$M$7*'Расчёты'!$AB$101/24</f>
        <v>62.5</v>
      </c>
      <c r="Q173" s="176">
        <f>'Аналитика'!$M$7*'Расчёты'!$AB$101/24</f>
        <v>62.5</v>
      </c>
      <c r="R173" s="176">
        <f>'Аналитика'!$M$7*'Расчёты'!$AB$101/24</f>
        <v>62.5</v>
      </c>
      <c r="S173" s="176">
        <f>'Аналитика'!$M$7*'Расчёты'!$AB$101/24</f>
        <v>62.5</v>
      </c>
      <c r="T173" s="176">
        <f>'Аналитика'!$M$7*'Расчёты'!$AB$101/24</f>
        <v>62.5</v>
      </c>
      <c r="U173" s="176">
        <f>'Аналитика'!$M$7*'Расчёты'!$AB$101/24</f>
        <v>62.5</v>
      </c>
      <c r="V173" s="176">
        <f>'Аналитика'!$M$7*'Расчёты'!$AB$101/24</f>
        <v>62.5</v>
      </c>
      <c r="W173" s="176">
        <f>'Аналитика'!$M$7*'Расчёты'!$AB$101/24</f>
        <v>62.5</v>
      </c>
      <c r="X173" s="176">
        <f>'Аналитика'!$M$7*'Расчёты'!$AB$101/24</f>
        <v>62.5</v>
      </c>
      <c r="Y173" s="176">
        <f>'Аналитика'!$M$7*'Расчёты'!$AB$101/24</f>
        <v>62.5</v>
      </c>
      <c r="Z173" s="176">
        <f>'Аналитика'!$M$7*'Расчёты'!$AB$101/24</f>
        <v>62.5</v>
      </c>
      <c r="AA173" s="176">
        <f>'Аналитика'!$M$7*'Расчёты'!$AB$101/24</f>
        <v>62.5</v>
      </c>
      <c r="AB173" s="178">
        <f t="shared" si="130"/>
        <v>750</v>
      </c>
      <c r="AG173" s="27"/>
    </row>
    <row r="174" ht="19.5" customHeight="1">
      <c r="B174" s="75" t="s">
        <v>118</v>
      </c>
      <c r="C174" s="167">
        <f>'Аналитика'!$M$7*'Расчёты'!$AB$106/24</f>
        <v>4.166666667</v>
      </c>
      <c r="D174" s="168">
        <f>'Аналитика'!$M$7*'Расчёты'!$AB$106/24</f>
        <v>4.166666667</v>
      </c>
      <c r="E174" s="168">
        <f>'Аналитика'!$M$7*'Расчёты'!$AB$106/24</f>
        <v>4.166666667</v>
      </c>
      <c r="F174" s="168">
        <f>'Аналитика'!$M$7*'Расчёты'!$AB$106/24</f>
        <v>4.166666667</v>
      </c>
      <c r="G174" s="168">
        <f>'Аналитика'!$M$7*'Расчёты'!$AB$106/24</f>
        <v>4.166666667</v>
      </c>
      <c r="H174" s="168">
        <f>'Аналитика'!$M$7*'Расчёты'!$AB$106/24</f>
        <v>4.166666667</v>
      </c>
      <c r="I174" s="168">
        <f>'Аналитика'!$M$7*'Расчёты'!$AB$106/24</f>
        <v>4.166666667</v>
      </c>
      <c r="J174" s="168">
        <f>'Аналитика'!$M$7*'Расчёты'!$AB$106/24</f>
        <v>4.166666667</v>
      </c>
      <c r="K174" s="168">
        <f>'Аналитика'!$M$7*'Расчёты'!$AB$106/24</f>
        <v>4.166666667</v>
      </c>
      <c r="L174" s="168">
        <f>'Аналитика'!$M$7*'Расчёты'!$AB$106/24</f>
        <v>4.166666667</v>
      </c>
      <c r="M174" s="168">
        <f>'Аналитика'!$M$7*'Расчёты'!$AB$106/24</f>
        <v>4.166666667</v>
      </c>
      <c r="N174" s="168">
        <f>'Аналитика'!$M$7*'Расчёты'!$AB$106/24</f>
        <v>4.166666667</v>
      </c>
      <c r="O174" s="169">
        <f t="shared" si="129"/>
        <v>50</v>
      </c>
      <c r="P174" s="168">
        <f>'Аналитика'!$M$7*'Расчёты'!$AB$106/24</f>
        <v>4.166666667</v>
      </c>
      <c r="Q174" s="168">
        <f>'Аналитика'!$M$7*'Расчёты'!$AB$106/24</f>
        <v>4.166666667</v>
      </c>
      <c r="R174" s="168">
        <f>'Аналитика'!$M$7*'Расчёты'!$AB$106/24</f>
        <v>4.166666667</v>
      </c>
      <c r="S174" s="168">
        <f>'Аналитика'!$M$7*'Расчёты'!$AB$106/24</f>
        <v>4.166666667</v>
      </c>
      <c r="T174" s="168">
        <f>'Аналитика'!$M$7*'Расчёты'!$AB$106/24</f>
        <v>4.166666667</v>
      </c>
      <c r="U174" s="168">
        <f>'Аналитика'!$M$7*'Расчёты'!$AB$106/24</f>
        <v>4.166666667</v>
      </c>
      <c r="V174" s="168">
        <f>'Аналитика'!$M$7*'Расчёты'!$AB$106/24</f>
        <v>4.166666667</v>
      </c>
      <c r="W174" s="168">
        <f>'Аналитика'!$M$7*'Расчёты'!$AB$106/24</f>
        <v>4.166666667</v>
      </c>
      <c r="X174" s="168">
        <f>'Аналитика'!$M$7*'Расчёты'!$AB$106/24</f>
        <v>4.166666667</v>
      </c>
      <c r="Y174" s="168">
        <f>'Аналитика'!$M$7*'Расчёты'!$AB$106/24</f>
        <v>4.166666667</v>
      </c>
      <c r="Z174" s="168">
        <f>'Аналитика'!$M$7*'Расчёты'!$AB$106/24</f>
        <v>4.166666667</v>
      </c>
      <c r="AA174" s="168">
        <f>'Аналитика'!$M$7*'Расчёты'!$AB$106/24</f>
        <v>4.166666667</v>
      </c>
      <c r="AB174" s="170">
        <f t="shared" si="130"/>
        <v>50</v>
      </c>
      <c r="AG174" s="27"/>
    </row>
    <row r="175" ht="40.5" customHeight="1">
      <c r="AG175" s="27"/>
    </row>
    <row r="176" ht="36.0" customHeight="1">
      <c r="B176" s="91" t="s">
        <v>119</v>
      </c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104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6"/>
      <c r="AD176" s="179"/>
      <c r="AF176" s="26" t="s">
        <v>9</v>
      </c>
      <c r="AG176" s="27" t="str">
        <f>IF(AF176="Нет", " ", "Расходы на софт указаны на листе Аналитика. Сделайте расчёт с учётом количества штатных единиц. С 2027 года учтите рост расходов с учётом инфляции")</f>
        <v> </v>
      </c>
    </row>
    <row r="177" ht="19.5" customHeight="1">
      <c r="B177" s="96"/>
      <c r="C177" s="97" t="s">
        <v>72</v>
      </c>
      <c r="D177" s="97" t="s">
        <v>73</v>
      </c>
      <c r="E177" s="97" t="s">
        <v>74</v>
      </c>
      <c r="F177" s="97" t="s">
        <v>75</v>
      </c>
      <c r="G177" s="98">
        <v>46143.0</v>
      </c>
      <c r="H177" s="97" t="s">
        <v>76</v>
      </c>
      <c r="I177" s="97" t="s">
        <v>77</v>
      </c>
      <c r="J177" s="97" t="s">
        <v>78</v>
      </c>
      <c r="K177" s="97" t="s">
        <v>79</v>
      </c>
      <c r="L177" s="97" t="s">
        <v>80</v>
      </c>
      <c r="M177" s="97" t="s">
        <v>81</v>
      </c>
      <c r="N177" s="97" t="s">
        <v>82</v>
      </c>
      <c r="O177" s="99">
        <v>2026.0</v>
      </c>
      <c r="P177" s="97" t="s">
        <v>83</v>
      </c>
      <c r="Q177" s="97" t="s">
        <v>84</v>
      </c>
      <c r="R177" s="97" t="s">
        <v>85</v>
      </c>
      <c r="S177" s="97" t="s">
        <v>86</v>
      </c>
      <c r="T177" s="98">
        <v>46508.0</v>
      </c>
      <c r="U177" s="97" t="s">
        <v>87</v>
      </c>
      <c r="V177" s="97" t="s">
        <v>88</v>
      </c>
      <c r="W177" s="97" t="s">
        <v>89</v>
      </c>
      <c r="X177" s="97" t="s">
        <v>90</v>
      </c>
      <c r="Y177" s="97" t="s">
        <v>91</v>
      </c>
      <c r="Z177" s="97" t="s">
        <v>92</v>
      </c>
      <c r="AA177" s="97" t="s">
        <v>93</v>
      </c>
      <c r="AB177" s="100">
        <v>2027.0</v>
      </c>
      <c r="AF177" s="26"/>
      <c r="AG177" s="27"/>
    </row>
    <row r="178" ht="9.75" customHeight="1">
      <c r="B178" s="106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6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6"/>
      <c r="AF178" s="26"/>
      <c r="AG178" s="27"/>
    </row>
    <row r="179" ht="19.5" customHeight="1">
      <c r="B179" s="75" t="s">
        <v>2</v>
      </c>
      <c r="C179" s="108">
        <f t="shared" ref="C179:N179" si="131">SUM(C180:C183)</f>
        <v>50</v>
      </c>
      <c r="D179" s="109">
        <f t="shared" si="131"/>
        <v>50</v>
      </c>
      <c r="E179" s="109">
        <f t="shared" si="131"/>
        <v>50</v>
      </c>
      <c r="F179" s="109">
        <f t="shared" si="131"/>
        <v>50</v>
      </c>
      <c r="G179" s="109">
        <f t="shared" si="131"/>
        <v>50</v>
      </c>
      <c r="H179" s="109">
        <f t="shared" si="131"/>
        <v>50</v>
      </c>
      <c r="I179" s="109">
        <f t="shared" si="131"/>
        <v>50</v>
      </c>
      <c r="J179" s="109">
        <f t="shared" si="131"/>
        <v>50</v>
      </c>
      <c r="K179" s="109">
        <f t="shared" si="131"/>
        <v>50</v>
      </c>
      <c r="L179" s="109">
        <f t="shared" si="131"/>
        <v>50</v>
      </c>
      <c r="M179" s="109">
        <f t="shared" si="131"/>
        <v>50</v>
      </c>
      <c r="N179" s="109">
        <f t="shared" si="131"/>
        <v>50</v>
      </c>
      <c r="O179" s="110">
        <f t="shared" ref="O179:O191" si="133">SUM(C179:N179)</f>
        <v>600</v>
      </c>
      <c r="P179" s="109">
        <f t="shared" ref="P179:AA179" si="132">SUM(P180:P183)</f>
        <v>53.5</v>
      </c>
      <c r="Q179" s="109">
        <f t="shared" si="132"/>
        <v>53.5</v>
      </c>
      <c r="R179" s="109">
        <f t="shared" si="132"/>
        <v>53.5</v>
      </c>
      <c r="S179" s="109">
        <f t="shared" si="132"/>
        <v>53.5</v>
      </c>
      <c r="T179" s="109">
        <f t="shared" si="132"/>
        <v>53.5</v>
      </c>
      <c r="U179" s="109">
        <f t="shared" si="132"/>
        <v>53.5</v>
      </c>
      <c r="V179" s="109">
        <f t="shared" si="132"/>
        <v>53.5</v>
      </c>
      <c r="W179" s="109">
        <f t="shared" si="132"/>
        <v>53.5</v>
      </c>
      <c r="X179" s="109">
        <f t="shared" si="132"/>
        <v>53.5</v>
      </c>
      <c r="Y179" s="109">
        <f t="shared" si="132"/>
        <v>53.5</v>
      </c>
      <c r="Z179" s="109">
        <f t="shared" si="132"/>
        <v>53.5</v>
      </c>
      <c r="AA179" s="109">
        <f t="shared" si="132"/>
        <v>53.5</v>
      </c>
      <c r="AB179" s="111">
        <f t="shared" ref="AB179:AB191" si="134">SUM(P179:AA179)</f>
        <v>642</v>
      </c>
      <c r="AG179" s="27"/>
    </row>
    <row r="180" ht="19.5" customHeight="1">
      <c r="B180" s="112" t="s">
        <v>120</v>
      </c>
      <c r="C180" s="113">
        <f>'Аналитика'!M11/12*'Расчёты'!$C$95</f>
        <v>12.5</v>
      </c>
      <c r="D180" s="114">
        <f>'Аналитика'!M11/12*'Расчёты'!$D$95</f>
        <v>12.5</v>
      </c>
      <c r="E180" s="114">
        <f>'Аналитика'!$M$11/12*'Расчёты'!E95</f>
        <v>12.5</v>
      </c>
      <c r="F180" s="114">
        <f>'Аналитика'!$M$11/12*'Расчёты'!F95</f>
        <v>12.5</v>
      </c>
      <c r="G180" s="114">
        <f>'Аналитика'!$M$11/12*'Расчёты'!G95</f>
        <v>12.5</v>
      </c>
      <c r="H180" s="114">
        <f>'Аналитика'!$M$11/12*'Расчёты'!H95</f>
        <v>12.5</v>
      </c>
      <c r="I180" s="114">
        <f>'Аналитика'!$M$11/12*'Расчёты'!I95</f>
        <v>12.5</v>
      </c>
      <c r="J180" s="114">
        <f>'Аналитика'!$M$11/12*'Расчёты'!J95</f>
        <v>12.5</v>
      </c>
      <c r="K180" s="114">
        <f>'Аналитика'!$M$11/12*'Расчёты'!K95</f>
        <v>12.5</v>
      </c>
      <c r="L180" s="114">
        <f>'Аналитика'!$M$11/12*'Расчёты'!L95</f>
        <v>12.5</v>
      </c>
      <c r="M180" s="114">
        <f>'Аналитика'!$M$11/12*'Расчёты'!M95</f>
        <v>12.5</v>
      </c>
      <c r="N180" s="114">
        <f>'Аналитика'!$M$11/12*'Расчёты'!N95</f>
        <v>12.5</v>
      </c>
      <c r="O180" s="115">
        <f t="shared" si="133"/>
        <v>150</v>
      </c>
      <c r="P180" s="114">
        <f>'Аналитика'!$M$11*(1+'Аналитика'!$M$4)/12*'Расчёты'!P95</f>
        <v>13.375</v>
      </c>
      <c r="Q180" s="114">
        <f>'Аналитика'!$M$11*(1+'Аналитика'!$M$4)/12*'Расчёты'!Q95</f>
        <v>13.375</v>
      </c>
      <c r="R180" s="114">
        <f>'Аналитика'!$M$11*(1+'Аналитика'!$M$4)/12*'Расчёты'!R95</f>
        <v>13.375</v>
      </c>
      <c r="S180" s="114">
        <f>'Аналитика'!$M$11*(1+'Аналитика'!$M$4)/12*'Расчёты'!S95</f>
        <v>13.375</v>
      </c>
      <c r="T180" s="114">
        <f>'Аналитика'!$M$11*(1+'Аналитика'!$M$4)/12*'Расчёты'!T95</f>
        <v>13.375</v>
      </c>
      <c r="U180" s="114">
        <f>'Аналитика'!$M$11*(1+'Аналитика'!$M$4)/12*'Расчёты'!U95</f>
        <v>13.375</v>
      </c>
      <c r="V180" s="114">
        <f>'Аналитика'!$M$11*(1+'Аналитика'!$M$4)/12*'Расчёты'!V95</f>
        <v>13.375</v>
      </c>
      <c r="W180" s="114">
        <f>'Аналитика'!$M$11*(1+'Аналитика'!$M$4)/12*'Расчёты'!W95</f>
        <v>13.375</v>
      </c>
      <c r="X180" s="114">
        <f>'Аналитика'!$M$11*(1+'Аналитика'!$M$4)/12*'Расчёты'!X95</f>
        <v>13.375</v>
      </c>
      <c r="Y180" s="114">
        <f>'Аналитика'!$M$11*(1+'Аналитика'!$M$4)/12*'Расчёты'!Y95</f>
        <v>13.375</v>
      </c>
      <c r="Z180" s="114">
        <f>'Аналитика'!$M$11*(1+'Аналитика'!$M$4)/12*'Расчёты'!Z95</f>
        <v>13.375</v>
      </c>
      <c r="AA180" s="114">
        <f>'Аналитика'!$M$11*(1+'Аналитика'!$M$4)/12*'Расчёты'!AA95</f>
        <v>13.375</v>
      </c>
      <c r="AB180" s="116">
        <f t="shared" si="134"/>
        <v>160.5</v>
      </c>
      <c r="AG180" s="27"/>
    </row>
    <row r="181" ht="19.5" customHeight="1">
      <c r="B181" s="117" t="s">
        <v>121</v>
      </c>
      <c r="C181" s="113">
        <f>'Аналитика'!M12/12*'Расчёты'!$C$95</f>
        <v>5.833333333</v>
      </c>
      <c r="D181" s="114">
        <f>'Аналитика'!M12/12*'Расчёты'!$D$95</f>
        <v>5.833333333</v>
      </c>
      <c r="E181" s="114">
        <f>'Аналитика'!$M$12/12*'Расчёты'!E95</f>
        <v>5.833333333</v>
      </c>
      <c r="F181" s="114">
        <f>'Аналитика'!$M$12/12*'Расчёты'!F95</f>
        <v>5.833333333</v>
      </c>
      <c r="G181" s="114">
        <f>'Аналитика'!$M$12/12*'Расчёты'!G95</f>
        <v>5.833333333</v>
      </c>
      <c r="H181" s="114">
        <f>'Аналитика'!$M$12/12*'Расчёты'!H95</f>
        <v>5.833333333</v>
      </c>
      <c r="I181" s="114">
        <f>'Аналитика'!$M$12/12*'Расчёты'!I95</f>
        <v>5.833333333</v>
      </c>
      <c r="J181" s="114">
        <f>'Аналитика'!$M$12/12*'Расчёты'!J95</f>
        <v>5.833333333</v>
      </c>
      <c r="K181" s="114">
        <f>'Аналитика'!$M$12/12*'Расчёты'!K95</f>
        <v>5.833333333</v>
      </c>
      <c r="L181" s="114">
        <f>'Аналитика'!$M$12/12*'Расчёты'!L95</f>
        <v>5.833333333</v>
      </c>
      <c r="M181" s="114">
        <f>'Аналитика'!$M$12/12*'Расчёты'!M95</f>
        <v>5.833333333</v>
      </c>
      <c r="N181" s="114">
        <f>'Аналитика'!$M$12/12*'Расчёты'!N95</f>
        <v>5.833333333</v>
      </c>
      <c r="O181" s="115">
        <f t="shared" si="133"/>
        <v>70</v>
      </c>
      <c r="P181" s="114">
        <f>'Аналитика'!$M$12*(1+'Аналитика'!$M$4)/12*'Расчёты'!P95</f>
        <v>6.241666667</v>
      </c>
      <c r="Q181" s="114">
        <f>'Аналитика'!$M$12*(1+'Аналитика'!$M$4)/12*'Расчёты'!Q95</f>
        <v>6.241666667</v>
      </c>
      <c r="R181" s="114">
        <f>'Аналитика'!$M$12*(1+'Аналитика'!$M$4)/12*'Расчёты'!R95</f>
        <v>6.241666667</v>
      </c>
      <c r="S181" s="114">
        <f>'Аналитика'!$M$12*(1+'Аналитика'!$M$4)/12*'Расчёты'!S95</f>
        <v>6.241666667</v>
      </c>
      <c r="T181" s="114">
        <f>'Аналитика'!$M$12*(1+'Аналитика'!$M$4)/12*'Расчёты'!T95</f>
        <v>6.241666667</v>
      </c>
      <c r="U181" s="114">
        <f>'Аналитика'!$M$12*(1+'Аналитика'!$M$4)/12*'Расчёты'!U95</f>
        <v>6.241666667</v>
      </c>
      <c r="V181" s="114">
        <f>'Аналитика'!$M$12*(1+'Аналитика'!$M$4)/12*'Расчёты'!V95</f>
        <v>6.241666667</v>
      </c>
      <c r="W181" s="114">
        <f>'Аналитика'!$M$12*(1+'Аналитика'!$M$4)/12*'Расчёты'!W95</f>
        <v>6.241666667</v>
      </c>
      <c r="X181" s="114">
        <f>'Аналитика'!$M$12*(1+'Аналитика'!$M$4)/12*'Расчёты'!X95</f>
        <v>6.241666667</v>
      </c>
      <c r="Y181" s="114">
        <f>'Аналитика'!$M$12*(1+'Аналитика'!$M$4)/12*'Расчёты'!Y95</f>
        <v>6.241666667</v>
      </c>
      <c r="Z181" s="114">
        <f>'Аналитика'!$M$12*(1+'Аналитика'!$M$4)/12*'Расчёты'!Z95</f>
        <v>6.241666667</v>
      </c>
      <c r="AA181" s="114">
        <f>'Аналитика'!$M$12*(1+'Аналитика'!$M$4)/12*'Расчёты'!AA95</f>
        <v>6.241666667</v>
      </c>
      <c r="AB181" s="116">
        <f t="shared" si="134"/>
        <v>74.9</v>
      </c>
      <c r="AG181" s="27"/>
    </row>
    <row r="182" ht="19.5" customHeight="1">
      <c r="B182" s="117" t="s">
        <v>122</v>
      </c>
      <c r="C182" s="113">
        <f>'Аналитика'!M13/12*'Расчёты'!$C$95</f>
        <v>4.166666667</v>
      </c>
      <c r="D182" s="114">
        <f>'Аналитика'!M13/12*'Расчёты'!D$95</f>
        <v>4.166666667</v>
      </c>
      <c r="E182" s="114">
        <f>'Аналитика'!$M$13/12*'Расчёты'!E95</f>
        <v>4.166666667</v>
      </c>
      <c r="F182" s="114">
        <f>'Аналитика'!$M$13/12*'Расчёты'!F95</f>
        <v>4.166666667</v>
      </c>
      <c r="G182" s="114">
        <f>'Аналитика'!$M$13/12*'Расчёты'!G95</f>
        <v>4.166666667</v>
      </c>
      <c r="H182" s="114">
        <f>'Аналитика'!$M$13/12*'Расчёты'!H95</f>
        <v>4.166666667</v>
      </c>
      <c r="I182" s="114">
        <f>'Аналитика'!$M$13/12*'Расчёты'!I95</f>
        <v>4.166666667</v>
      </c>
      <c r="J182" s="114">
        <f>'Аналитика'!$M$13/12*'Расчёты'!J95</f>
        <v>4.166666667</v>
      </c>
      <c r="K182" s="114">
        <f>'Аналитика'!$M$13/12*'Расчёты'!K95</f>
        <v>4.166666667</v>
      </c>
      <c r="L182" s="114">
        <f>'Аналитика'!$M$13/12*'Расчёты'!L95</f>
        <v>4.166666667</v>
      </c>
      <c r="M182" s="114">
        <f>'Аналитика'!$M$13/12*'Расчёты'!M95</f>
        <v>4.166666667</v>
      </c>
      <c r="N182" s="114">
        <f>'Аналитика'!$M$13/12*'Расчёты'!N95</f>
        <v>4.166666667</v>
      </c>
      <c r="O182" s="115">
        <f t="shared" si="133"/>
        <v>50</v>
      </c>
      <c r="P182" s="114">
        <f>'Аналитика'!$M$13*(1+'Аналитика'!$M$4)/12*'Расчёты'!P95</f>
        <v>4.458333333</v>
      </c>
      <c r="Q182" s="114">
        <f>'Аналитика'!$M$13*(1+'Аналитика'!$M$4)/12*'Расчёты'!Q95</f>
        <v>4.458333333</v>
      </c>
      <c r="R182" s="114">
        <f>'Аналитика'!$M$13*(1+'Аналитика'!$M$4)/12*'Расчёты'!R95</f>
        <v>4.458333333</v>
      </c>
      <c r="S182" s="114">
        <f>'Аналитика'!$M$13*(1+'Аналитика'!$M$4)/12*'Расчёты'!S95</f>
        <v>4.458333333</v>
      </c>
      <c r="T182" s="114">
        <f>'Аналитика'!$M$13*(1+'Аналитика'!$M$4)/12*'Расчёты'!T95</f>
        <v>4.458333333</v>
      </c>
      <c r="U182" s="114">
        <f>'Аналитика'!$M$13*(1+'Аналитика'!$M$4)/12*'Расчёты'!U95</f>
        <v>4.458333333</v>
      </c>
      <c r="V182" s="114">
        <f>'Аналитика'!$M$13*(1+'Аналитика'!$M$4)/12*'Расчёты'!V95</f>
        <v>4.458333333</v>
      </c>
      <c r="W182" s="114">
        <f>'Аналитика'!$M$13*(1+'Аналитика'!$M$4)/12*'Расчёты'!W95</f>
        <v>4.458333333</v>
      </c>
      <c r="X182" s="114">
        <f>'Аналитика'!$M$13*(1+'Аналитика'!$M$4)/12*'Расчёты'!X95</f>
        <v>4.458333333</v>
      </c>
      <c r="Y182" s="114">
        <f>'Аналитика'!$M$13*(1+'Аналитика'!$M$4)/12*'Расчёты'!Y95</f>
        <v>4.458333333</v>
      </c>
      <c r="Z182" s="114">
        <f>'Аналитика'!$M$13*(1+'Аналитика'!$M$4)/12*'Расчёты'!Z95</f>
        <v>4.458333333</v>
      </c>
      <c r="AA182" s="114">
        <f>'Аналитика'!$M$13*(1+'Аналитика'!$M$4)/12*'Расчёты'!AA95</f>
        <v>4.458333333</v>
      </c>
      <c r="AB182" s="116">
        <f t="shared" si="134"/>
        <v>53.5</v>
      </c>
      <c r="AG182" s="27"/>
    </row>
    <row r="183" ht="19.5" customHeight="1">
      <c r="B183" s="117" t="s">
        <v>123</v>
      </c>
      <c r="C183" s="113">
        <f>'Аналитика'!M14/12*'Расчёты'!$C$95</f>
        <v>27.5</v>
      </c>
      <c r="D183" s="114">
        <f>'Аналитика'!M14/12*'Расчёты'!$D$95</f>
        <v>27.5</v>
      </c>
      <c r="E183" s="114">
        <f>'Аналитика'!$M$14/12*'Расчёты'!E95</f>
        <v>27.5</v>
      </c>
      <c r="F183" s="114">
        <f>'Аналитика'!$M$14/12*'Расчёты'!F95</f>
        <v>27.5</v>
      </c>
      <c r="G183" s="114">
        <f>'Аналитика'!$M$14/12*'Расчёты'!G95</f>
        <v>27.5</v>
      </c>
      <c r="H183" s="114">
        <f>'Аналитика'!$M$14/12*'Расчёты'!H95</f>
        <v>27.5</v>
      </c>
      <c r="I183" s="114">
        <f>'Аналитика'!$M$14/12*'Расчёты'!I95</f>
        <v>27.5</v>
      </c>
      <c r="J183" s="114">
        <f>'Аналитика'!$M$14/12*'Расчёты'!J95</f>
        <v>27.5</v>
      </c>
      <c r="K183" s="114">
        <f>'Аналитика'!$M$14/12*'Расчёты'!K95</f>
        <v>27.5</v>
      </c>
      <c r="L183" s="114">
        <f>'Аналитика'!$M$14/12*'Расчёты'!L95</f>
        <v>27.5</v>
      </c>
      <c r="M183" s="114">
        <f>'Аналитика'!$M$14/12*'Расчёты'!M95</f>
        <v>27.5</v>
      </c>
      <c r="N183" s="114">
        <f>'Аналитика'!$M$14/12*'Расчёты'!N95</f>
        <v>27.5</v>
      </c>
      <c r="O183" s="115">
        <f t="shared" si="133"/>
        <v>330</v>
      </c>
      <c r="P183" s="114">
        <f>'Аналитика'!$M$14*(1+'Аналитика'!$M$4)/12*'Расчёты'!P95</f>
        <v>29.425</v>
      </c>
      <c r="Q183" s="114">
        <f>'Аналитика'!$M$14*(1+'Аналитика'!$M$4)/12*'Расчёты'!Q95</f>
        <v>29.425</v>
      </c>
      <c r="R183" s="114">
        <f>'Аналитика'!$M$14*(1+'Аналитика'!$M$4)/12*'Расчёты'!R95</f>
        <v>29.425</v>
      </c>
      <c r="S183" s="114">
        <f>'Аналитика'!$M$14*(1+'Аналитика'!$M$4)/12*'Расчёты'!S95</f>
        <v>29.425</v>
      </c>
      <c r="T183" s="114">
        <f>'Аналитика'!$M$14*(1+'Аналитика'!$M$4)/12*'Расчёты'!T95</f>
        <v>29.425</v>
      </c>
      <c r="U183" s="114">
        <f>'Аналитика'!$M$14*(1+'Аналитика'!$M$4)/12*'Расчёты'!U95</f>
        <v>29.425</v>
      </c>
      <c r="V183" s="114">
        <f>'Аналитика'!$M$14*(1+'Аналитика'!$M$4)/12*'Расчёты'!V95</f>
        <v>29.425</v>
      </c>
      <c r="W183" s="114">
        <f>'Аналитика'!$M$14*(1+'Аналитика'!$M$4)/12*'Расчёты'!W95</f>
        <v>29.425</v>
      </c>
      <c r="X183" s="114">
        <f>'Аналитика'!$M$14*(1+'Аналитика'!$M$4)/12*'Расчёты'!X95</f>
        <v>29.425</v>
      </c>
      <c r="Y183" s="114">
        <f>'Аналитика'!$M$14*(1+'Аналитика'!$M$4)/12*'Расчёты'!Y95</f>
        <v>29.425</v>
      </c>
      <c r="Z183" s="114">
        <f>'Аналитика'!$M$14*(1+'Аналитика'!$M$4)/12*'Расчёты'!Z95</f>
        <v>29.425</v>
      </c>
      <c r="AA183" s="114">
        <f>'Аналитика'!$M$14*(1+'Аналитика'!$M$4)/12*'Расчёты'!AA95</f>
        <v>29.425</v>
      </c>
      <c r="AB183" s="116">
        <f t="shared" si="134"/>
        <v>353.1</v>
      </c>
      <c r="AG183" s="27"/>
    </row>
    <row r="184" ht="19.5" customHeight="1">
      <c r="B184" s="75" t="s">
        <v>3</v>
      </c>
      <c r="C184" s="121">
        <f t="shared" ref="C184:N184" si="135">SUM(C185:C188)</f>
        <v>40</v>
      </c>
      <c r="D184" s="122">
        <f t="shared" si="135"/>
        <v>50</v>
      </c>
      <c r="E184" s="122">
        <f t="shared" si="135"/>
        <v>50</v>
      </c>
      <c r="F184" s="122">
        <f t="shared" si="135"/>
        <v>60</v>
      </c>
      <c r="G184" s="122">
        <f t="shared" si="135"/>
        <v>70</v>
      </c>
      <c r="H184" s="122">
        <f t="shared" si="135"/>
        <v>80</v>
      </c>
      <c r="I184" s="122">
        <f t="shared" si="135"/>
        <v>80</v>
      </c>
      <c r="J184" s="122">
        <f t="shared" si="135"/>
        <v>90</v>
      </c>
      <c r="K184" s="122">
        <f t="shared" si="135"/>
        <v>100</v>
      </c>
      <c r="L184" s="122">
        <f t="shared" si="135"/>
        <v>110</v>
      </c>
      <c r="M184" s="122">
        <f t="shared" si="135"/>
        <v>110</v>
      </c>
      <c r="N184" s="122">
        <f t="shared" si="135"/>
        <v>120</v>
      </c>
      <c r="O184" s="123">
        <f t="shared" si="133"/>
        <v>960</v>
      </c>
      <c r="P184" s="122">
        <f t="shared" ref="P184:AA184" si="136">SUM(P185:P188)</f>
        <v>128.4</v>
      </c>
      <c r="Q184" s="122">
        <f t="shared" si="136"/>
        <v>139.1</v>
      </c>
      <c r="R184" s="122">
        <f t="shared" si="136"/>
        <v>139.1</v>
      </c>
      <c r="S184" s="122">
        <f t="shared" si="136"/>
        <v>139.1</v>
      </c>
      <c r="T184" s="122">
        <f t="shared" si="136"/>
        <v>139.1</v>
      </c>
      <c r="U184" s="122">
        <f t="shared" si="136"/>
        <v>139.1</v>
      </c>
      <c r="V184" s="122">
        <f t="shared" si="136"/>
        <v>149.8</v>
      </c>
      <c r="W184" s="122">
        <f t="shared" si="136"/>
        <v>149.8</v>
      </c>
      <c r="X184" s="122">
        <f t="shared" si="136"/>
        <v>149.8</v>
      </c>
      <c r="Y184" s="122">
        <f t="shared" si="136"/>
        <v>149.8</v>
      </c>
      <c r="Z184" s="122">
        <f t="shared" si="136"/>
        <v>149.8</v>
      </c>
      <c r="AA184" s="122">
        <f t="shared" si="136"/>
        <v>160.5</v>
      </c>
      <c r="AB184" s="124">
        <f t="shared" si="134"/>
        <v>1733.4</v>
      </c>
      <c r="AG184" s="27"/>
    </row>
    <row r="185" ht="19.5" customHeight="1">
      <c r="B185" s="48" t="s">
        <v>120</v>
      </c>
      <c r="C185" s="125">
        <f>'Аналитика'!M11/12*'Расчёты'!$C$101</f>
        <v>10</v>
      </c>
      <c r="D185" s="126">
        <f>'Аналитика'!$M$11/12*'Расчёты'!D101</f>
        <v>12.5</v>
      </c>
      <c r="E185" s="126">
        <f>'Аналитика'!$M$11/12*'Расчёты'!E101</f>
        <v>12.5</v>
      </c>
      <c r="F185" s="126">
        <f>'Аналитика'!$M$11/12*'Расчёты'!F101</f>
        <v>15</v>
      </c>
      <c r="G185" s="126">
        <f>'Аналитика'!$M$11/12*'Расчёты'!G101</f>
        <v>17.5</v>
      </c>
      <c r="H185" s="126">
        <f>'Аналитика'!$M$11/12*'Расчёты'!H101</f>
        <v>20</v>
      </c>
      <c r="I185" s="126">
        <f>'Аналитика'!$M$11/12*'Расчёты'!I101</f>
        <v>20</v>
      </c>
      <c r="J185" s="126">
        <f>'Аналитика'!$M$11/12*'Расчёты'!J101</f>
        <v>22.5</v>
      </c>
      <c r="K185" s="126">
        <f>'Аналитика'!$M$11/12*'Расчёты'!K101</f>
        <v>25</v>
      </c>
      <c r="L185" s="126">
        <f>'Аналитика'!$M$11/12*'Расчёты'!L101</f>
        <v>27.5</v>
      </c>
      <c r="M185" s="126">
        <f>'Аналитика'!$M$11/12*'Расчёты'!M101</f>
        <v>27.5</v>
      </c>
      <c r="N185" s="126">
        <f>'Аналитика'!$M$11/12*'Расчёты'!N101</f>
        <v>30</v>
      </c>
      <c r="O185" s="127">
        <f t="shared" si="133"/>
        <v>240</v>
      </c>
      <c r="P185" s="126">
        <f>'Аналитика'!$M$11*(1+'Аналитика'!$M$4)/12*'Расчёты'!P101</f>
        <v>32.1</v>
      </c>
      <c r="Q185" s="126">
        <f>'Аналитика'!$M$11*(1+'Аналитика'!$M$4)/12*'Расчёты'!Q101</f>
        <v>34.775</v>
      </c>
      <c r="R185" s="126">
        <f>'Аналитика'!$M$11*(1+'Аналитика'!$M$4)/12*'Расчёты'!R101</f>
        <v>34.775</v>
      </c>
      <c r="S185" s="126">
        <f>'Аналитика'!$M$11*(1+'Аналитика'!$M$4)/12*'Расчёты'!S101</f>
        <v>34.775</v>
      </c>
      <c r="T185" s="126">
        <f>'Аналитика'!$M$11*(1+'Аналитика'!$M$4)/12*'Расчёты'!T101</f>
        <v>34.775</v>
      </c>
      <c r="U185" s="126">
        <f>'Аналитика'!$M$11*(1+'Аналитика'!$M$4)/12*'Расчёты'!U101</f>
        <v>34.775</v>
      </c>
      <c r="V185" s="126">
        <f>'Аналитика'!$M$11*(1+'Аналитика'!$M$4)/12*'Расчёты'!V101</f>
        <v>37.45</v>
      </c>
      <c r="W185" s="126">
        <f>'Аналитика'!$M$11*(1+'Аналитика'!$M$4)/12*'Расчёты'!W101</f>
        <v>37.45</v>
      </c>
      <c r="X185" s="126">
        <f>'Аналитика'!$M$11*(1+'Аналитика'!$M$4)/12*'Расчёты'!X101</f>
        <v>37.45</v>
      </c>
      <c r="Y185" s="126">
        <f>'Аналитика'!$M$11*(1+'Аналитика'!$M$4)/12*'Расчёты'!Y101</f>
        <v>37.45</v>
      </c>
      <c r="Z185" s="126">
        <f>'Аналитика'!$M$11*(1+'Аналитика'!$M$4)/12*'Расчёты'!Z101</f>
        <v>37.45</v>
      </c>
      <c r="AA185" s="126">
        <f>'Аналитика'!$M$11*(1+'Аналитика'!$M$4)/12*'Расчёты'!AA101</f>
        <v>40.125</v>
      </c>
      <c r="AB185" s="128">
        <f t="shared" si="134"/>
        <v>433.35</v>
      </c>
      <c r="AG185" s="27"/>
    </row>
    <row r="186" ht="19.5" customHeight="1">
      <c r="B186" s="54" t="s">
        <v>121</v>
      </c>
      <c r="C186" s="125">
        <f>'Аналитика'!M12/12*'Расчёты'!$C$101</f>
        <v>4.666666667</v>
      </c>
      <c r="D186" s="114">
        <f>'Аналитика'!$M$12/12*'Расчёты'!D101</f>
        <v>5.833333333</v>
      </c>
      <c r="E186" s="114">
        <f>'Аналитика'!$M$12/12*'Расчёты'!E101</f>
        <v>5.833333333</v>
      </c>
      <c r="F186" s="114">
        <f>'Аналитика'!$M$12/12*'Расчёты'!F101</f>
        <v>7</v>
      </c>
      <c r="G186" s="114">
        <f>'Аналитика'!$M$12/12*'Расчёты'!G101</f>
        <v>8.166666667</v>
      </c>
      <c r="H186" s="114">
        <f>'Аналитика'!$M$12/12*'Расчёты'!H101</f>
        <v>9.333333333</v>
      </c>
      <c r="I186" s="114">
        <f>'Аналитика'!$M$12/12*'Расчёты'!I101</f>
        <v>9.333333333</v>
      </c>
      <c r="J186" s="114">
        <f>'Аналитика'!$M$12/12*'Расчёты'!J101</f>
        <v>10.5</v>
      </c>
      <c r="K186" s="114">
        <f>'Аналитика'!$M$12/12*'Расчёты'!K101</f>
        <v>11.66666667</v>
      </c>
      <c r="L186" s="114">
        <f>'Аналитика'!$M$12/12*'Расчёты'!L101</f>
        <v>12.83333333</v>
      </c>
      <c r="M186" s="114">
        <f>'Аналитика'!$M$12/12*'Расчёты'!M101</f>
        <v>12.83333333</v>
      </c>
      <c r="N186" s="114">
        <f>'Аналитика'!$M$12/12*'Расчёты'!N101</f>
        <v>14</v>
      </c>
      <c r="O186" s="115">
        <f t="shared" si="133"/>
        <v>112</v>
      </c>
      <c r="P186" s="114">
        <f>'Аналитика'!$M$12*(1+'Аналитика'!$M$4)/12*'Расчёты'!P101</f>
        <v>14.98</v>
      </c>
      <c r="Q186" s="114">
        <f>'Аналитика'!$M$12*(1+'Аналитика'!$M$4)/12*'Расчёты'!Q101</f>
        <v>16.22833333</v>
      </c>
      <c r="R186" s="114">
        <f>'Аналитика'!$M$12*(1+'Аналитика'!$M$4)/12*'Расчёты'!R101</f>
        <v>16.22833333</v>
      </c>
      <c r="S186" s="114">
        <f>'Аналитика'!$M$12*(1+'Аналитика'!$M$4)/12*'Расчёты'!S101</f>
        <v>16.22833333</v>
      </c>
      <c r="T186" s="114">
        <f>'Аналитика'!$M$12*(1+'Аналитика'!$M$4)/12*'Расчёты'!T101</f>
        <v>16.22833333</v>
      </c>
      <c r="U186" s="114">
        <f>'Аналитика'!$M$12*(1+'Аналитика'!$M$4)/12*'Расчёты'!U101</f>
        <v>16.22833333</v>
      </c>
      <c r="V186" s="114">
        <f>'Аналитика'!$M$12*(1+'Аналитика'!$M$4)/12*'Расчёты'!V101</f>
        <v>17.47666667</v>
      </c>
      <c r="W186" s="114">
        <f>'Аналитика'!$M$12*(1+'Аналитика'!$M$4)/12*'Расчёты'!W101</f>
        <v>17.47666667</v>
      </c>
      <c r="X186" s="114">
        <f>'Аналитика'!$M$12*(1+'Аналитика'!$M$4)/12*'Расчёты'!X101</f>
        <v>17.47666667</v>
      </c>
      <c r="Y186" s="114">
        <f>'Аналитика'!$M$12*(1+'Аналитика'!$M$4)/12*'Расчёты'!Y101</f>
        <v>17.47666667</v>
      </c>
      <c r="Z186" s="114">
        <f>'Аналитика'!$M$12*(1+'Аналитика'!$M$4)/12*'Расчёты'!Z101</f>
        <v>17.47666667</v>
      </c>
      <c r="AA186" s="114">
        <f>'Аналитика'!$M$12*(1+'Аналитика'!$M$4)/12*'Расчёты'!AA101</f>
        <v>18.725</v>
      </c>
      <c r="AB186" s="116">
        <f t="shared" si="134"/>
        <v>202.23</v>
      </c>
      <c r="AG186" s="27"/>
    </row>
    <row r="187" ht="19.5" customHeight="1">
      <c r="B187" s="54" t="s">
        <v>122</v>
      </c>
      <c r="C187" s="125">
        <f>'Аналитика'!M13/12*'Расчёты'!$C$101</f>
        <v>3.333333333</v>
      </c>
      <c r="D187" s="114">
        <f>'Аналитика'!$M$13/12*'Расчёты'!D101</f>
        <v>4.166666667</v>
      </c>
      <c r="E187" s="114">
        <f>'Аналитика'!$M$13/12*'Расчёты'!E101</f>
        <v>4.166666667</v>
      </c>
      <c r="F187" s="114">
        <f>'Аналитика'!$M$13/12*'Расчёты'!F101</f>
        <v>5</v>
      </c>
      <c r="G187" s="114">
        <f>'Аналитика'!$M$13/12*'Расчёты'!G101</f>
        <v>5.833333333</v>
      </c>
      <c r="H187" s="114">
        <f>'Аналитика'!$M$13/12*'Расчёты'!H101</f>
        <v>6.666666667</v>
      </c>
      <c r="I187" s="114">
        <f>'Аналитика'!$M$13/12*'Расчёты'!I101</f>
        <v>6.666666667</v>
      </c>
      <c r="J187" s="114">
        <f>'Аналитика'!$M$13/12*'Расчёты'!J101</f>
        <v>7.5</v>
      </c>
      <c r="K187" s="114">
        <f>'Аналитика'!$M$13/12*'Расчёты'!K101</f>
        <v>8.333333333</v>
      </c>
      <c r="L187" s="114">
        <f>'Аналитика'!$M$13/12*'Расчёты'!L101</f>
        <v>9.166666667</v>
      </c>
      <c r="M187" s="114">
        <f>'Аналитика'!$M$13/12*'Расчёты'!M101</f>
        <v>9.166666667</v>
      </c>
      <c r="N187" s="114">
        <f>'Аналитика'!$M$13/12*'Расчёты'!N101</f>
        <v>10</v>
      </c>
      <c r="O187" s="115">
        <f t="shared" si="133"/>
        <v>80</v>
      </c>
      <c r="P187" s="114">
        <f>'Аналитика'!$M$13*(1+'Аналитика'!$M$4)/12*'Расчёты'!P101</f>
        <v>10.7</v>
      </c>
      <c r="Q187" s="114">
        <f>'Аналитика'!$M$13*(1+'Аналитика'!$M$4)/12*'Расчёты'!Q101</f>
        <v>11.59166667</v>
      </c>
      <c r="R187" s="114">
        <f>'Аналитика'!$M$13*(1+'Аналитика'!$M$4)/12*'Расчёты'!R101</f>
        <v>11.59166667</v>
      </c>
      <c r="S187" s="114">
        <f>'Аналитика'!$M$13*(1+'Аналитика'!$M$4)/12*'Расчёты'!S101</f>
        <v>11.59166667</v>
      </c>
      <c r="T187" s="114">
        <f>'Аналитика'!$M$13*(1+'Аналитика'!$M$4)/12*'Расчёты'!T101</f>
        <v>11.59166667</v>
      </c>
      <c r="U187" s="114">
        <f>'Аналитика'!$M$13*(1+'Аналитика'!$M$4)/12*'Расчёты'!U101</f>
        <v>11.59166667</v>
      </c>
      <c r="V187" s="114">
        <f>'Аналитика'!$M$13*(1+'Аналитика'!$M$4)/12*'Расчёты'!V101</f>
        <v>12.48333333</v>
      </c>
      <c r="W187" s="114">
        <f>'Аналитика'!$M$13*(1+'Аналитика'!$M$4)/12*'Расчёты'!W101</f>
        <v>12.48333333</v>
      </c>
      <c r="X187" s="114">
        <f>'Аналитика'!$M$13*(1+'Аналитика'!$M$4)/12*'Расчёты'!X101</f>
        <v>12.48333333</v>
      </c>
      <c r="Y187" s="114">
        <f>'Аналитика'!$M$13*(1+'Аналитика'!$M$4)/12*'Расчёты'!Y101</f>
        <v>12.48333333</v>
      </c>
      <c r="Z187" s="114">
        <f>'Аналитика'!$M$13*(1+'Аналитика'!$M$4)/12*'Расчёты'!Z101</f>
        <v>12.48333333</v>
      </c>
      <c r="AA187" s="114">
        <f>'Аналитика'!$M$13*(1+'Аналитика'!$M$4)/12*'Расчёты'!AA101</f>
        <v>13.375</v>
      </c>
      <c r="AB187" s="116">
        <f t="shared" si="134"/>
        <v>144.45</v>
      </c>
      <c r="AG187" s="27"/>
    </row>
    <row r="188" ht="19.5" customHeight="1">
      <c r="B188" s="54" t="s">
        <v>124</v>
      </c>
      <c r="C188" s="113">
        <f>'Аналитика'!$M$15/12*'Расчёты'!C101</f>
        <v>22</v>
      </c>
      <c r="D188" s="114">
        <f>'Аналитика'!$M$15/12*'Расчёты'!D101</f>
        <v>27.5</v>
      </c>
      <c r="E188" s="114">
        <f>'Аналитика'!$M$15/12*'Расчёты'!E101</f>
        <v>27.5</v>
      </c>
      <c r="F188" s="114">
        <f>'Аналитика'!$M$15/12*'Расчёты'!F101</f>
        <v>33</v>
      </c>
      <c r="G188" s="114">
        <f>'Аналитика'!$M$15/12*'Расчёты'!G101</f>
        <v>38.5</v>
      </c>
      <c r="H188" s="114">
        <f>'Аналитика'!$M$15/12*'Расчёты'!H101</f>
        <v>44</v>
      </c>
      <c r="I188" s="114">
        <f>'Аналитика'!$M$15/12*'Расчёты'!I101</f>
        <v>44</v>
      </c>
      <c r="J188" s="114">
        <f>'Аналитика'!$M$15/12*'Расчёты'!J101</f>
        <v>49.5</v>
      </c>
      <c r="K188" s="114">
        <f>'Аналитика'!$M$15/12*'Расчёты'!K101</f>
        <v>55</v>
      </c>
      <c r="L188" s="114">
        <f>'Аналитика'!$M$15/12*'Расчёты'!L101</f>
        <v>60.5</v>
      </c>
      <c r="M188" s="114">
        <f>'Аналитика'!$M$15/12*'Расчёты'!M101</f>
        <v>60.5</v>
      </c>
      <c r="N188" s="114">
        <f>'Аналитика'!$M$15/12*'Расчёты'!N101</f>
        <v>66</v>
      </c>
      <c r="O188" s="115">
        <f t="shared" si="133"/>
        <v>528</v>
      </c>
      <c r="P188" s="114">
        <f>'Аналитика'!$M$15*(1+'Аналитика'!$M$4)/12*'Расчёты'!P101</f>
        <v>70.62</v>
      </c>
      <c r="Q188" s="114">
        <f>'Аналитика'!$M$15*(1+'Аналитика'!$M$4)/12*'Расчёты'!Q101</f>
        <v>76.505</v>
      </c>
      <c r="R188" s="114">
        <f>'Аналитика'!$M$15*(1+'Аналитика'!$M$4)/12*'Расчёты'!R101</f>
        <v>76.505</v>
      </c>
      <c r="S188" s="114">
        <f>'Аналитика'!$M$15*(1+'Аналитика'!$M$4)/12*'Расчёты'!S101</f>
        <v>76.505</v>
      </c>
      <c r="T188" s="114">
        <f>'Аналитика'!$M$15*(1+'Аналитика'!$M$4)/12*'Расчёты'!T101</f>
        <v>76.505</v>
      </c>
      <c r="U188" s="114">
        <f>'Аналитика'!$M$15*(1+'Аналитика'!$M$4)/12*'Расчёты'!U101</f>
        <v>76.505</v>
      </c>
      <c r="V188" s="114">
        <f>'Аналитика'!$M$15*(1+'Аналитика'!$M$4)/12*'Расчёты'!V101</f>
        <v>82.39</v>
      </c>
      <c r="W188" s="114">
        <f>'Аналитика'!$M$15*(1+'Аналитика'!$M$4)/12*'Расчёты'!W101</f>
        <v>82.39</v>
      </c>
      <c r="X188" s="114">
        <f>'Аналитика'!$M$15*(1+'Аналитика'!$M$4)/12*'Расчёты'!X101</f>
        <v>82.39</v>
      </c>
      <c r="Y188" s="114">
        <f>'Аналитика'!$M$15*(1+'Аналитика'!$M$4)/12*'Расчёты'!Y101</f>
        <v>82.39</v>
      </c>
      <c r="Z188" s="114">
        <f>'Аналитика'!$M$15*(1+'Аналитика'!$M$4)/12*'Расчёты'!Z101</f>
        <v>82.39</v>
      </c>
      <c r="AA188" s="114">
        <f>'Аналитика'!$M$15*(1+'Аналитика'!$M$4)/12*'Расчёты'!AA101</f>
        <v>88.275</v>
      </c>
      <c r="AB188" s="116">
        <f t="shared" si="134"/>
        <v>953.37</v>
      </c>
      <c r="AG188" s="27"/>
    </row>
    <row r="189" ht="19.5" customHeight="1">
      <c r="B189" s="75" t="s">
        <v>118</v>
      </c>
      <c r="C189" s="121">
        <f t="shared" ref="C189:N189" si="137">SUM(C190:C191)</f>
        <v>3.333333333</v>
      </c>
      <c r="D189" s="122">
        <f t="shared" si="137"/>
        <v>3.333333333</v>
      </c>
      <c r="E189" s="122">
        <f t="shared" si="137"/>
        <v>3.333333333</v>
      </c>
      <c r="F189" s="122">
        <f t="shared" si="137"/>
        <v>3.333333333</v>
      </c>
      <c r="G189" s="122">
        <f t="shared" si="137"/>
        <v>3.333333333</v>
      </c>
      <c r="H189" s="122">
        <f t="shared" si="137"/>
        <v>3.333333333</v>
      </c>
      <c r="I189" s="122">
        <f t="shared" si="137"/>
        <v>3.333333333</v>
      </c>
      <c r="J189" s="122">
        <f t="shared" si="137"/>
        <v>3.333333333</v>
      </c>
      <c r="K189" s="122">
        <f t="shared" si="137"/>
        <v>3.333333333</v>
      </c>
      <c r="L189" s="122">
        <f t="shared" si="137"/>
        <v>3.333333333</v>
      </c>
      <c r="M189" s="122">
        <f t="shared" si="137"/>
        <v>3.333333333</v>
      </c>
      <c r="N189" s="122">
        <f t="shared" si="137"/>
        <v>3.333333333</v>
      </c>
      <c r="O189" s="123">
        <f t="shared" si="133"/>
        <v>40</v>
      </c>
      <c r="P189" s="122">
        <f t="shared" ref="P189:AA189" si="138">SUM(P190:P191)</f>
        <v>3.566666667</v>
      </c>
      <c r="Q189" s="122">
        <f t="shared" si="138"/>
        <v>3.566666667</v>
      </c>
      <c r="R189" s="122">
        <f t="shared" si="138"/>
        <v>3.566666667</v>
      </c>
      <c r="S189" s="122">
        <f t="shared" si="138"/>
        <v>3.566666667</v>
      </c>
      <c r="T189" s="122">
        <f t="shared" si="138"/>
        <v>3.566666667</v>
      </c>
      <c r="U189" s="122">
        <f t="shared" si="138"/>
        <v>3.566666667</v>
      </c>
      <c r="V189" s="122">
        <f t="shared" si="138"/>
        <v>3.566666667</v>
      </c>
      <c r="W189" s="122">
        <f t="shared" si="138"/>
        <v>3.566666667</v>
      </c>
      <c r="X189" s="122">
        <f t="shared" si="138"/>
        <v>3.566666667</v>
      </c>
      <c r="Y189" s="122">
        <f t="shared" si="138"/>
        <v>3.566666667</v>
      </c>
      <c r="Z189" s="122">
        <f t="shared" si="138"/>
        <v>3.566666667</v>
      </c>
      <c r="AA189" s="122">
        <f t="shared" si="138"/>
        <v>3.566666667</v>
      </c>
      <c r="AB189" s="124">
        <f t="shared" si="134"/>
        <v>42.8</v>
      </c>
      <c r="AG189" s="27"/>
    </row>
    <row r="190" ht="19.5" customHeight="1">
      <c r="B190" s="48" t="s">
        <v>125</v>
      </c>
      <c r="C190" s="125">
        <f>'Аналитика'!$M$10/12*'Расчёты'!C106</f>
        <v>0.8333333333</v>
      </c>
      <c r="D190" s="126">
        <f>'Аналитика'!$M$10/12*'Расчёты'!D106</f>
        <v>0.8333333333</v>
      </c>
      <c r="E190" s="126">
        <f>'Аналитика'!$M$10/12*'Расчёты'!E106</f>
        <v>0.8333333333</v>
      </c>
      <c r="F190" s="126">
        <f>'Аналитика'!$M$10/12*'Расчёты'!F106</f>
        <v>0.8333333333</v>
      </c>
      <c r="G190" s="126">
        <f>'Аналитика'!$M$10/12*'Расчёты'!G106</f>
        <v>0.8333333333</v>
      </c>
      <c r="H190" s="126">
        <f>'Аналитика'!$M$10/12*'Расчёты'!H106</f>
        <v>0.8333333333</v>
      </c>
      <c r="I190" s="126">
        <f>'Аналитика'!$M$10/12*'Расчёты'!I106</f>
        <v>0.8333333333</v>
      </c>
      <c r="J190" s="126">
        <f>'Аналитика'!$M$10/12*'Расчёты'!J106</f>
        <v>0.8333333333</v>
      </c>
      <c r="K190" s="126">
        <f>'Аналитика'!$M$10/12*'Расчёты'!K106</f>
        <v>0.8333333333</v>
      </c>
      <c r="L190" s="126">
        <f>'Аналитика'!$M$10/12*'Расчёты'!L106</f>
        <v>0.8333333333</v>
      </c>
      <c r="M190" s="126">
        <f>'Аналитика'!$M$10/12*'Расчёты'!M106</f>
        <v>0.8333333333</v>
      </c>
      <c r="N190" s="126">
        <f>'Аналитика'!$M$10/12*'Расчёты'!N106</f>
        <v>0.8333333333</v>
      </c>
      <c r="O190" s="127">
        <f t="shared" si="133"/>
        <v>10</v>
      </c>
      <c r="P190" s="126">
        <f>'Аналитика'!$M$10*(1+'Аналитика'!$M$4)/12*'Расчёты'!P106</f>
        <v>0.8916666667</v>
      </c>
      <c r="Q190" s="126">
        <f>'Аналитика'!$M$10*(1+'Аналитика'!$M$4)/12*'Расчёты'!Q106</f>
        <v>0.8916666667</v>
      </c>
      <c r="R190" s="126">
        <f>'Аналитика'!$M$10*(1+'Аналитика'!$M$4)/12*'Расчёты'!R106</f>
        <v>0.8916666667</v>
      </c>
      <c r="S190" s="126">
        <f>'Аналитика'!$M$10*(1+'Аналитика'!$M$4)/12*'Расчёты'!S106</f>
        <v>0.8916666667</v>
      </c>
      <c r="T190" s="126">
        <f>'Аналитика'!$M$10*(1+'Аналитика'!$M$4)/12*'Расчёты'!T106</f>
        <v>0.8916666667</v>
      </c>
      <c r="U190" s="126">
        <f>'Аналитика'!$M$10*(1+'Аналитика'!$M$4)/12*'Расчёты'!U106</f>
        <v>0.8916666667</v>
      </c>
      <c r="V190" s="126">
        <f>'Аналитика'!$M$10*(1+'Аналитика'!$M$4)/12*'Расчёты'!V106</f>
        <v>0.8916666667</v>
      </c>
      <c r="W190" s="126">
        <f>'Аналитика'!$M$10*(1+'Аналитика'!$M$4)/12*'Расчёты'!W106</f>
        <v>0.8916666667</v>
      </c>
      <c r="X190" s="126">
        <f>'Аналитика'!$M$10*(1+'Аналитика'!$M$4)/12*'Расчёты'!X106</f>
        <v>0.8916666667</v>
      </c>
      <c r="Y190" s="126">
        <f>'Аналитика'!$M$10*(1+'Аналитика'!$M$4)/12*'Расчёты'!Y106</f>
        <v>0.8916666667</v>
      </c>
      <c r="Z190" s="126">
        <f>'Аналитика'!$M$10*(1+'Аналитика'!$M$4)/12*'Расчёты'!Z106</f>
        <v>0.8916666667</v>
      </c>
      <c r="AA190" s="126">
        <f>'Аналитика'!$M$10*(1+'Аналитика'!$M$4)/12*'Расчёты'!AA106</f>
        <v>0.8916666667</v>
      </c>
      <c r="AB190" s="128">
        <f t="shared" si="134"/>
        <v>10.7</v>
      </c>
      <c r="AG190" s="27"/>
    </row>
    <row r="191" ht="19.5" customHeight="1">
      <c r="B191" s="54" t="s">
        <v>120</v>
      </c>
      <c r="C191" s="129">
        <f>'Аналитика'!$M$11/12*'Расчёты'!C106</f>
        <v>2.5</v>
      </c>
      <c r="D191" s="130">
        <f>'Аналитика'!$M$11/12*'Расчёты'!D106</f>
        <v>2.5</v>
      </c>
      <c r="E191" s="130">
        <f>'Аналитика'!$M$11/12*'Расчёты'!E106</f>
        <v>2.5</v>
      </c>
      <c r="F191" s="130">
        <f>'Аналитика'!$M$11/12*'Расчёты'!F106</f>
        <v>2.5</v>
      </c>
      <c r="G191" s="130">
        <f>'Аналитика'!$M$11/12*'Расчёты'!G106</f>
        <v>2.5</v>
      </c>
      <c r="H191" s="130">
        <f>'Аналитика'!$M$11/12*'Расчёты'!H106</f>
        <v>2.5</v>
      </c>
      <c r="I191" s="130">
        <f>'Аналитика'!$M$11/12*'Расчёты'!I106</f>
        <v>2.5</v>
      </c>
      <c r="J191" s="130">
        <f>'Аналитика'!$M$11/12*'Расчёты'!J106</f>
        <v>2.5</v>
      </c>
      <c r="K191" s="130">
        <f>'Аналитика'!$M$11/12*'Расчёты'!K106</f>
        <v>2.5</v>
      </c>
      <c r="L191" s="130">
        <f>'Аналитика'!$M$11/12*'Расчёты'!L106</f>
        <v>2.5</v>
      </c>
      <c r="M191" s="130">
        <f>'Аналитика'!$M$11/12*'Расчёты'!M106</f>
        <v>2.5</v>
      </c>
      <c r="N191" s="130">
        <f>'Аналитика'!$M$11/12*'Расчёты'!N106</f>
        <v>2.5</v>
      </c>
      <c r="O191" s="131">
        <f t="shared" si="133"/>
        <v>30</v>
      </c>
      <c r="P191" s="130">
        <f>'Аналитика'!$M$11*(1+'Аналитика'!$M$4)/12*'Расчёты'!P106</f>
        <v>2.675</v>
      </c>
      <c r="Q191" s="130">
        <f>'Аналитика'!$M$11*(1+'Аналитика'!$M$4)/12*'Расчёты'!Q106</f>
        <v>2.675</v>
      </c>
      <c r="R191" s="130">
        <f>'Аналитика'!$M$11*(1+'Аналитика'!$M$4)/12*'Расчёты'!R106</f>
        <v>2.675</v>
      </c>
      <c r="S191" s="130">
        <f>'Аналитика'!$M$11*(1+'Аналитика'!$M$4)/12*'Расчёты'!S106</f>
        <v>2.675</v>
      </c>
      <c r="T191" s="130">
        <f>'Аналитика'!$M$11*(1+'Аналитика'!$M$4)/12*'Расчёты'!T106</f>
        <v>2.675</v>
      </c>
      <c r="U191" s="130">
        <f>'Аналитика'!$M$11*(1+'Аналитика'!$M$4)/12*'Расчёты'!U106</f>
        <v>2.675</v>
      </c>
      <c r="V191" s="130">
        <f>'Аналитика'!$M$11*(1+'Аналитика'!$M$4)/12*'Расчёты'!V106</f>
        <v>2.675</v>
      </c>
      <c r="W191" s="130">
        <f>'Аналитика'!$M$11*(1+'Аналитика'!$M$4)/12*'Расчёты'!W106</f>
        <v>2.675</v>
      </c>
      <c r="X191" s="130">
        <f>'Аналитика'!$M$11*(1+'Аналитика'!$M$4)/12*'Расчёты'!X106</f>
        <v>2.675</v>
      </c>
      <c r="Y191" s="130">
        <f>'Аналитика'!$M$11*(1+'Аналитика'!$M$4)/12*'Расчёты'!Y106</f>
        <v>2.675</v>
      </c>
      <c r="Z191" s="130">
        <f>'Аналитика'!$M$11*(1+'Аналитика'!$M$4)/12*'Расчёты'!Z106</f>
        <v>2.675</v>
      </c>
      <c r="AA191" s="130">
        <f>'Аналитика'!$M$11*(1+'Аналитика'!$M$4)/12*'Расчёты'!AA106</f>
        <v>2.675</v>
      </c>
      <c r="AB191" s="132">
        <f t="shared" si="134"/>
        <v>32.1</v>
      </c>
      <c r="AG191" s="27"/>
    </row>
    <row r="192" ht="19.5" customHeight="1">
      <c r="AG192" s="27"/>
    </row>
    <row r="193" ht="19.5" customHeight="1">
      <c r="AG193" s="27"/>
    </row>
    <row r="194" ht="15.75" customHeight="1">
      <c r="AG194" s="27"/>
    </row>
    <row r="195" ht="15.75" customHeight="1">
      <c r="AG195" s="27"/>
    </row>
    <row r="196" ht="15.75" customHeight="1">
      <c r="AG196" s="27"/>
    </row>
    <row r="197" ht="15.75" customHeight="1">
      <c r="AG197" s="27"/>
    </row>
    <row r="198" ht="15.75" customHeight="1">
      <c r="AG198" s="27"/>
    </row>
    <row r="199" ht="15.75" customHeight="1">
      <c r="AG199" s="27"/>
    </row>
    <row r="200" ht="15.75" customHeight="1">
      <c r="AG200" s="27"/>
    </row>
    <row r="201" ht="15.75" customHeight="1">
      <c r="AG201" s="27"/>
    </row>
    <row r="202" ht="15.75" customHeight="1">
      <c r="AG202" s="27"/>
    </row>
    <row r="203" ht="15.75" customHeight="1">
      <c r="AG203" s="27"/>
    </row>
    <row r="204" ht="15.75" customHeight="1">
      <c r="AG204" s="27"/>
    </row>
    <row r="205" ht="15.75" customHeight="1">
      <c r="AG205" s="27"/>
    </row>
    <row r="206" ht="15.75" customHeight="1">
      <c r="AG206" s="27"/>
    </row>
    <row r="207" ht="15.75" customHeight="1">
      <c r="AG207" s="27"/>
    </row>
    <row r="208" ht="15.75" customHeight="1">
      <c r="AG208" s="27"/>
    </row>
    <row r="209" ht="15.75" customHeight="1">
      <c r="AG209" s="27"/>
    </row>
    <row r="210" ht="15.75" customHeight="1">
      <c r="AG210" s="27"/>
    </row>
    <row r="211" ht="15.75" customHeight="1">
      <c r="AG211" s="27"/>
    </row>
    <row r="212" ht="15.75" customHeight="1">
      <c r="AG212" s="27"/>
    </row>
    <row r="213" ht="15.75" customHeight="1">
      <c r="AG213" s="27"/>
    </row>
    <row r="214" ht="15.75" customHeight="1">
      <c r="AG214" s="27"/>
    </row>
    <row r="215" ht="15.75" customHeight="1">
      <c r="AG215" s="27"/>
    </row>
    <row r="216" ht="15.75" customHeight="1">
      <c r="AG216" s="27"/>
    </row>
    <row r="217" ht="15.75" customHeight="1">
      <c r="AG217" s="27"/>
    </row>
    <row r="218" ht="15.75" customHeight="1">
      <c r="AG218" s="27"/>
    </row>
    <row r="219" ht="15.75" customHeight="1">
      <c r="AG219" s="27"/>
    </row>
    <row r="220" ht="15.75" customHeight="1">
      <c r="AG220" s="27"/>
    </row>
    <row r="221" ht="15.75" customHeight="1">
      <c r="AG221" s="27"/>
    </row>
    <row r="222" ht="15.75" customHeight="1">
      <c r="AG222" s="27"/>
    </row>
    <row r="223" ht="15.75" customHeight="1">
      <c r="AG223" s="27"/>
    </row>
    <row r="224" ht="15.75" customHeight="1">
      <c r="AG224" s="27"/>
    </row>
    <row r="225" ht="15.75" customHeight="1">
      <c r="AG225" s="27"/>
    </row>
    <row r="226" ht="15.75" customHeight="1">
      <c r="AG226" s="27"/>
    </row>
    <row r="227" ht="15.75" customHeight="1">
      <c r="AG227" s="27"/>
    </row>
    <row r="228" ht="15.75" customHeight="1">
      <c r="AG228" s="27"/>
    </row>
    <row r="229" ht="15.75" customHeight="1">
      <c r="AG229" s="27"/>
    </row>
    <row r="230" ht="15.75" customHeight="1">
      <c r="AG230" s="27"/>
    </row>
    <row r="231" ht="15.75" customHeight="1">
      <c r="AG231" s="27"/>
    </row>
    <row r="232" ht="15.75" customHeight="1">
      <c r="AG232" s="27"/>
    </row>
    <row r="233" ht="15.75" customHeight="1">
      <c r="AG233" s="27"/>
    </row>
    <row r="234" ht="15.75" customHeight="1">
      <c r="AG234" s="27"/>
    </row>
    <row r="235" ht="15.75" customHeight="1">
      <c r="AG235" s="27"/>
    </row>
    <row r="236" ht="15.75" customHeight="1">
      <c r="AG236" s="27"/>
    </row>
    <row r="237" ht="15.75" customHeight="1">
      <c r="AG237" s="27"/>
    </row>
    <row r="238" ht="15.75" customHeight="1">
      <c r="AG238" s="27"/>
    </row>
    <row r="239" ht="15.75" customHeight="1">
      <c r="AG239" s="27"/>
    </row>
    <row r="240" ht="15.75" customHeight="1">
      <c r="AG240" s="27"/>
    </row>
    <row r="241" ht="15.75" customHeight="1">
      <c r="AG241" s="27"/>
    </row>
    <row r="242" ht="15.75" customHeight="1">
      <c r="AG242" s="27"/>
    </row>
    <row r="243" ht="15.75" customHeight="1">
      <c r="AG243" s="27"/>
    </row>
    <row r="244" ht="15.75" customHeight="1">
      <c r="AG244" s="27"/>
    </row>
    <row r="245" ht="15.75" customHeight="1">
      <c r="AG245" s="27"/>
    </row>
    <row r="246" ht="15.75" customHeight="1">
      <c r="AG246" s="27"/>
    </row>
    <row r="247" ht="15.75" customHeight="1">
      <c r="AG247" s="27"/>
    </row>
    <row r="248" ht="15.75" customHeight="1">
      <c r="AG248" s="27"/>
    </row>
    <row r="249" ht="15.75" customHeight="1">
      <c r="AG249" s="27"/>
    </row>
    <row r="250" ht="15.75" customHeight="1">
      <c r="AG250" s="27"/>
    </row>
    <row r="251" ht="15.75" customHeight="1">
      <c r="AG251" s="27"/>
    </row>
    <row r="252" ht="15.75" customHeight="1">
      <c r="AG252" s="27"/>
    </row>
    <row r="253" ht="15.75" customHeight="1">
      <c r="AG253" s="27"/>
    </row>
    <row r="254" ht="15.75" customHeight="1">
      <c r="AG254" s="27"/>
    </row>
    <row r="255" ht="15.75" customHeight="1">
      <c r="AG255" s="27"/>
    </row>
    <row r="256" ht="15.75" customHeight="1">
      <c r="AG256" s="27"/>
    </row>
    <row r="257" ht="15.75" customHeight="1">
      <c r="AG257" s="27"/>
    </row>
    <row r="258" ht="15.75" customHeight="1">
      <c r="AG258" s="27"/>
    </row>
    <row r="259" ht="15.75" customHeight="1">
      <c r="AG259" s="27"/>
    </row>
    <row r="260" ht="15.75" customHeight="1">
      <c r="AG260" s="27"/>
    </row>
    <row r="261" ht="15.75" customHeight="1">
      <c r="AG261" s="27"/>
    </row>
    <row r="262" ht="15.75" customHeight="1">
      <c r="AG262" s="27"/>
    </row>
    <row r="263" ht="15.75" customHeight="1">
      <c r="AG263" s="27"/>
    </row>
    <row r="264" ht="15.75" customHeight="1">
      <c r="AG264" s="27"/>
    </row>
    <row r="265" ht="15.75" customHeight="1">
      <c r="AG265" s="27"/>
    </row>
    <row r="266" ht="15.75" customHeight="1">
      <c r="AG266" s="27"/>
    </row>
    <row r="267" ht="15.75" customHeight="1">
      <c r="AG267" s="27"/>
    </row>
    <row r="268" ht="15.75" customHeight="1">
      <c r="AG268" s="27"/>
    </row>
    <row r="269" ht="15.75" customHeight="1">
      <c r="AG269" s="27"/>
    </row>
    <row r="270" ht="15.75" customHeight="1">
      <c r="AG270" s="27"/>
    </row>
    <row r="271" ht="15.75" customHeight="1">
      <c r="AG271" s="27"/>
    </row>
    <row r="272" ht="15.75" customHeight="1">
      <c r="AG272" s="27"/>
    </row>
    <row r="273" ht="15.75" customHeight="1">
      <c r="AG273" s="27"/>
    </row>
    <row r="274" ht="15.75" customHeight="1">
      <c r="AG274" s="27"/>
    </row>
    <row r="275" ht="15.75" customHeight="1">
      <c r="AG275" s="27"/>
    </row>
    <row r="276" ht="15.75" customHeight="1">
      <c r="AG276" s="27"/>
    </row>
    <row r="277" ht="15.75" customHeight="1">
      <c r="AG277" s="27"/>
    </row>
    <row r="278" ht="15.75" customHeight="1">
      <c r="AG278" s="27"/>
    </row>
    <row r="279" ht="15.75" customHeight="1">
      <c r="AG279" s="27"/>
    </row>
    <row r="280" ht="15.75" customHeight="1">
      <c r="AG280" s="27"/>
    </row>
    <row r="281" ht="15.75" customHeight="1">
      <c r="AG281" s="27"/>
    </row>
    <row r="282" ht="15.75" customHeight="1">
      <c r="AG282" s="27"/>
    </row>
    <row r="283" ht="15.75" customHeight="1">
      <c r="AG283" s="27"/>
    </row>
    <row r="284" ht="15.75" customHeight="1">
      <c r="AG284" s="27"/>
    </row>
    <row r="285" ht="15.75" customHeight="1">
      <c r="AG285" s="27"/>
    </row>
    <row r="286" ht="15.75" customHeight="1">
      <c r="AG286" s="27"/>
    </row>
    <row r="287" ht="15.75" customHeight="1">
      <c r="AG287" s="27"/>
    </row>
    <row r="288" ht="15.75" customHeight="1">
      <c r="AG288" s="27"/>
    </row>
    <row r="289" ht="15.75" customHeight="1">
      <c r="AG289" s="27"/>
    </row>
    <row r="290" ht="15.75" customHeight="1">
      <c r="AG290" s="27"/>
    </row>
    <row r="291" ht="15.75" customHeight="1">
      <c r="AG291" s="27"/>
    </row>
    <row r="292" ht="15.75" customHeight="1">
      <c r="AG292" s="27"/>
    </row>
    <row r="293" ht="15.75" customHeight="1">
      <c r="AG293" s="27"/>
    </row>
    <row r="294" ht="15.75" customHeight="1">
      <c r="AG294" s="27"/>
    </row>
    <row r="295" ht="15.75" customHeight="1">
      <c r="AG295" s="27"/>
    </row>
    <row r="296" ht="15.75" customHeight="1">
      <c r="AG296" s="27"/>
    </row>
    <row r="297" ht="15.75" customHeight="1">
      <c r="AG297" s="27"/>
    </row>
    <row r="298" ht="15.75" customHeight="1">
      <c r="AG298" s="27"/>
    </row>
    <row r="299" ht="15.75" customHeight="1">
      <c r="AG299" s="27"/>
    </row>
    <row r="300" ht="15.75" customHeight="1">
      <c r="AG300" s="27"/>
    </row>
    <row r="301" ht="15.75" customHeight="1">
      <c r="AG301" s="27"/>
    </row>
    <row r="302" ht="15.75" customHeight="1">
      <c r="AG302" s="27"/>
    </row>
    <row r="303" ht="15.75" customHeight="1">
      <c r="AG303" s="27"/>
    </row>
    <row r="304" ht="15.75" customHeight="1">
      <c r="AG304" s="27"/>
    </row>
    <row r="305" ht="15.75" customHeight="1">
      <c r="AG305" s="27"/>
    </row>
    <row r="306" ht="15.75" customHeight="1">
      <c r="AG306" s="27"/>
    </row>
    <row r="307" ht="15.75" customHeight="1">
      <c r="AG307" s="27"/>
    </row>
    <row r="308" ht="15.75" customHeight="1">
      <c r="AG308" s="27"/>
    </row>
    <row r="309" ht="15.75" customHeight="1">
      <c r="AG309" s="27"/>
    </row>
    <row r="310" ht="15.75" customHeight="1">
      <c r="AG310" s="27"/>
    </row>
    <row r="311" ht="15.75" customHeight="1">
      <c r="AG311" s="27"/>
    </row>
    <row r="312" ht="15.75" customHeight="1">
      <c r="AG312" s="27"/>
    </row>
    <row r="313" ht="15.75" customHeight="1">
      <c r="AG313" s="27"/>
    </row>
    <row r="314" ht="15.75" customHeight="1">
      <c r="AG314" s="27"/>
    </row>
    <row r="315" ht="15.75" customHeight="1">
      <c r="AG315" s="27"/>
    </row>
    <row r="316" ht="15.75" customHeight="1">
      <c r="AG316" s="27"/>
    </row>
    <row r="317" ht="15.75" customHeight="1">
      <c r="AG317" s="27"/>
    </row>
    <row r="318" ht="15.75" customHeight="1">
      <c r="AG318" s="27"/>
    </row>
    <row r="319" ht="15.75" customHeight="1">
      <c r="AG319" s="27"/>
    </row>
    <row r="320" ht="15.75" customHeight="1">
      <c r="AG320" s="27"/>
    </row>
    <row r="321" ht="15.75" customHeight="1">
      <c r="AG321" s="27"/>
    </row>
    <row r="322" ht="15.75" customHeight="1">
      <c r="AG322" s="27"/>
    </row>
    <row r="323" ht="15.75" customHeight="1">
      <c r="AG323" s="27"/>
    </row>
    <row r="324" ht="15.75" customHeight="1">
      <c r="AG324" s="27"/>
    </row>
    <row r="325" ht="15.75" customHeight="1">
      <c r="AG325" s="27"/>
    </row>
    <row r="326" ht="15.75" customHeight="1">
      <c r="AG326" s="27"/>
    </row>
    <row r="327" ht="15.75" customHeight="1">
      <c r="AG327" s="27"/>
    </row>
    <row r="328" ht="15.75" customHeight="1">
      <c r="AG328" s="27"/>
    </row>
    <row r="329" ht="15.75" customHeight="1">
      <c r="AG329" s="27"/>
    </row>
    <row r="330" ht="15.75" customHeight="1">
      <c r="AG330" s="27"/>
    </row>
    <row r="331" ht="15.75" customHeight="1">
      <c r="AG331" s="27"/>
    </row>
    <row r="332" ht="15.75" customHeight="1">
      <c r="AG332" s="27"/>
    </row>
    <row r="333" ht="15.75" customHeight="1">
      <c r="AG333" s="27"/>
    </row>
    <row r="334" ht="15.75" customHeight="1">
      <c r="AG334" s="27"/>
    </row>
    <row r="335" ht="15.75" customHeight="1">
      <c r="AG335" s="27"/>
    </row>
    <row r="336" ht="15.75" customHeight="1">
      <c r="AG336" s="27"/>
    </row>
    <row r="337" ht="15.75" customHeight="1">
      <c r="AG337" s="27"/>
    </row>
    <row r="338" ht="15.75" customHeight="1">
      <c r="AG338" s="27"/>
    </row>
    <row r="339" ht="15.75" customHeight="1">
      <c r="AG339" s="27"/>
    </row>
    <row r="340" ht="15.75" customHeight="1">
      <c r="AG340" s="27"/>
    </row>
    <row r="341" ht="15.75" customHeight="1">
      <c r="AG341" s="27"/>
    </row>
    <row r="342" ht="15.75" customHeight="1">
      <c r="AG342" s="27"/>
    </row>
    <row r="343" ht="15.75" customHeight="1">
      <c r="AG343" s="27"/>
    </row>
    <row r="344" ht="15.75" customHeight="1">
      <c r="AG344" s="27"/>
    </row>
    <row r="345" ht="15.75" customHeight="1">
      <c r="AG345" s="27"/>
    </row>
    <row r="346" ht="15.75" customHeight="1">
      <c r="AG346" s="27"/>
    </row>
    <row r="347" ht="15.75" customHeight="1">
      <c r="AG347" s="27"/>
    </row>
    <row r="348" ht="15.75" customHeight="1">
      <c r="AG348" s="27"/>
    </row>
    <row r="349" ht="15.75" customHeight="1">
      <c r="AG349" s="27"/>
    </row>
    <row r="350" ht="15.75" customHeight="1">
      <c r="AG350" s="27"/>
    </row>
    <row r="351" ht="15.75" customHeight="1">
      <c r="AG351" s="27"/>
    </row>
    <row r="352" ht="15.75" customHeight="1">
      <c r="AG352" s="27"/>
    </row>
    <row r="353" ht="15.75" customHeight="1">
      <c r="AG353" s="27"/>
    </row>
    <row r="354" ht="15.75" customHeight="1">
      <c r="AG354" s="27"/>
    </row>
    <row r="355" ht="15.75" customHeight="1">
      <c r="AG355" s="27"/>
    </row>
    <row r="356" ht="15.75" customHeight="1">
      <c r="AG356" s="27"/>
    </row>
    <row r="357" ht="15.75" customHeight="1">
      <c r="AG357" s="27"/>
    </row>
    <row r="358" ht="15.75" customHeight="1">
      <c r="AG358" s="27"/>
    </row>
    <row r="359" ht="15.75" customHeight="1">
      <c r="AG359" s="27"/>
    </row>
    <row r="360" ht="15.75" customHeight="1">
      <c r="AG360" s="27"/>
    </row>
    <row r="361" ht="15.75" customHeight="1">
      <c r="AG361" s="27"/>
    </row>
    <row r="362" ht="15.75" customHeight="1">
      <c r="AG362" s="27"/>
    </row>
    <row r="363" ht="15.75" customHeight="1">
      <c r="AG363" s="27"/>
    </row>
    <row r="364" ht="15.75" customHeight="1">
      <c r="AG364" s="27"/>
    </row>
    <row r="365" ht="15.75" customHeight="1">
      <c r="AG365" s="27"/>
    </row>
    <row r="366" ht="15.75" customHeight="1">
      <c r="AG366" s="27"/>
    </row>
    <row r="367" ht="15.75" customHeight="1">
      <c r="AG367" s="27"/>
    </row>
    <row r="368" ht="15.75" customHeight="1">
      <c r="AG368" s="27"/>
    </row>
    <row r="369" ht="15.75" customHeight="1">
      <c r="AG369" s="27"/>
    </row>
    <row r="370" ht="15.75" customHeight="1">
      <c r="AG370" s="27"/>
    </row>
    <row r="371" ht="15.75" customHeight="1">
      <c r="AG371" s="27"/>
    </row>
    <row r="372" ht="15.75" customHeight="1">
      <c r="AG372" s="27"/>
    </row>
    <row r="373" ht="15.75" customHeight="1">
      <c r="AG373" s="27"/>
    </row>
    <row r="374" ht="15.75" customHeight="1">
      <c r="AG374" s="27"/>
    </row>
    <row r="375" ht="15.75" customHeight="1">
      <c r="AG375" s="27"/>
    </row>
    <row r="376" ht="15.75" customHeight="1">
      <c r="AG376" s="27"/>
    </row>
    <row r="377" ht="15.75" customHeight="1">
      <c r="AG377" s="27"/>
    </row>
    <row r="378" ht="15.75" customHeight="1">
      <c r="AG378" s="27"/>
    </row>
    <row r="379" ht="15.75" customHeight="1">
      <c r="AG379" s="27"/>
    </row>
    <row r="380" ht="15.75" customHeight="1">
      <c r="AG380" s="27"/>
    </row>
    <row r="381" ht="15.75" customHeight="1">
      <c r="AG381" s="27"/>
    </row>
    <row r="382" ht="15.75" customHeight="1">
      <c r="AG382" s="27"/>
    </row>
    <row r="383" ht="15.75" customHeight="1">
      <c r="AG383" s="27"/>
    </row>
    <row r="384" ht="15.75" customHeight="1">
      <c r="AG384" s="27"/>
    </row>
    <row r="385" ht="15.75" customHeight="1">
      <c r="AG385" s="27"/>
    </row>
    <row r="386" ht="15.75" customHeight="1">
      <c r="AG386" s="27"/>
    </row>
    <row r="387" ht="15.75" customHeight="1">
      <c r="AG387" s="27"/>
    </row>
    <row r="388" ht="15.75" customHeight="1">
      <c r="AG388" s="27"/>
    </row>
    <row r="389" ht="15.75" customHeight="1">
      <c r="AG389" s="27"/>
    </row>
    <row r="390" ht="15.75" customHeight="1">
      <c r="AG390" s="27"/>
    </row>
    <row r="391" ht="15.75" customHeight="1">
      <c r="AG391" s="27"/>
    </row>
    <row r="392" ht="15.75" customHeight="1">
      <c r="AG392" s="27"/>
    </row>
    <row r="393" ht="15.75" customHeight="1">
      <c r="AG393" s="27"/>
    </row>
    <row r="394" ht="15.75" customHeight="1">
      <c r="AG394" s="27"/>
    </row>
    <row r="395" ht="15.75" customHeight="1">
      <c r="AG395" s="27"/>
    </row>
    <row r="396" ht="15.75" customHeight="1">
      <c r="AG396" s="27"/>
    </row>
    <row r="397" ht="15.75" customHeight="1">
      <c r="AG397" s="27"/>
    </row>
    <row r="398" ht="15.75" customHeight="1">
      <c r="AG398" s="27"/>
    </row>
    <row r="399" ht="15.75" customHeight="1">
      <c r="AG399" s="27"/>
    </row>
    <row r="400" ht="15.75" customHeight="1">
      <c r="AG400" s="27"/>
    </row>
    <row r="401" ht="15.75" customHeight="1">
      <c r="AG401" s="27"/>
    </row>
    <row r="402" ht="15.75" customHeight="1">
      <c r="AG402" s="27"/>
    </row>
    <row r="403" ht="15.75" customHeight="1">
      <c r="AG403" s="27"/>
    </row>
    <row r="404" ht="15.75" customHeight="1">
      <c r="AG404" s="27"/>
    </row>
    <row r="405" ht="15.75" customHeight="1">
      <c r="AG405" s="27"/>
    </row>
    <row r="406" ht="15.75" customHeight="1">
      <c r="AG406" s="27"/>
    </row>
    <row r="407" ht="15.75" customHeight="1">
      <c r="AG407" s="27"/>
    </row>
    <row r="408" ht="15.75" customHeight="1">
      <c r="AG408" s="27"/>
    </row>
    <row r="409" ht="15.75" customHeight="1">
      <c r="AG409" s="27"/>
    </row>
    <row r="410" ht="15.75" customHeight="1">
      <c r="AG410" s="27"/>
    </row>
    <row r="411" ht="15.75" customHeight="1">
      <c r="AG411" s="27"/>
    </row>
    <row r="412" ht="15.75" customHeight="1">
      <c r="AG412" s="27"/>
    </row>
    <row r="413" ht="15.75" customHeight="1">
      <c r="AG413" s="27"/>
    </row>
    <row r="414" ht="15.75" customHeight="1">
      <c r="AG414" s="27"/>
    </row>
    <row r="415" ht="15.75" customHeight="1">
      <c r="AG415" s="27"/>
    </row>
    <row r="416" ht="15.75" customHeight="1">
      <c r="AG416" s="27"/>
    </row>
    <row r="417" ht="15.75" customHeight="1">
      <c r="AG417" s="27"/>
    </row>
    <row r="418" ht="15.75" customHeight="1">
      <c r="AG418" s="27"/>
    </row>
    <row r="419" ht="15.75" customHeight="1">
      <c r="AG419" s="27"/>
    </row>
    <row r="420" ht="15.75" customHeight="1">
      <c r="AG420" s="27"/>
    </row>
    <row r="421" ht="15.75" customHeight="1">
      <c r="AG421" s="27"/>
    </row>
    <row r="422" ht="15.75" customHeight="1">
      <c r="AG422" s="27"/>
    </row>
    <row r="423" ht="15.75" customHeight="1">
      <c r="AG423" s="27"/>
    </row>
    <row r="424" ht="15.75" customHeight="1">
      <c r="AG424" s="27"/>
    </row>
    <row r="425" ht="15.75" customHeight="1">
      <c r="AG425" s="27"/>
    </row>
    <row r="426" ht="15.75" customHeight="1">
      <c r="AG426" s="27"/>
    </row>
    <row r="427" ht="15.75" customHeight="1">
      <c r="AG427" s="27"/>
    </row>
    <row r="428" ht="15.75" customHeight="1">
      <c r="AG428" s="27"/>
    </row>
    <row r="429" ht="15.75" customHeight="1">
      <c r="AG429" s="27"/>
    </row>
    <row r="430" ht="15.75" customHeight="1">
      <c r="AG430" s="27"/>
    </row>
    <row r="431" ht="15.75" customHeight="1">
      <c r="AG431" s="27"/>
    </row>
    <row r="432" ht="15.75" customHeight="1">
      <c r="AG432" s="27"/>
    </row>
    <row r="433" ht="15.75" customHeight="1">
      <c r="AG433" s="27"/>
    </row>
    <row r="434" ht="15.75" customHeight="1">
      <c r="AG434" s="27"/>
    </row>
    <row r="435" ht="15.75" customHeight="1">
      <c r="AG435" s="27"/>
    </row>
    <row r="436" ht="15.75" customHeight="1">
      <c r="AG436" s="27"/>
    </row>
    <row r="437" ht="15.75" customHeight="1">
      <c r="AG437" s="27"/>
    </row>
    <row r="438" ht="15.75" customHeight="1">
      <c r="AG438" s="27"/>
    </row>
    <row r="439" ht="15.75" customHeight="1">
      <c r="AG439" s="27"/>
    </row>
    <row r="440" ht="15.75" customHeight="1">
      <c r="AG440" s="27"/>
    </row>
    <row r="441" ht="15.75" customHeight="1">
      <c r="AG441" s="27"/>
    </row>
    <row r="442" ht="15.75" customHeight="1">
      <c r="AG442" s="27"/>
    </row>
    <row r="443" ht="15.75" customHeight="1">
      <c r="AG443" s="27"/>
    </row>
    <row r="444" ht="15.75" customHeight="1">
      <c r="AG444" s="27"/>
    </row>
    <row r="445" ht="15.75" customHeight="1">
      <c r="AG445" s="27"/>
    </row>
    <row r="446" ht="15.75" customHeight="1">
      <c r="AG446" s="27"/>
    </row>
    <row r="447" ht="15.75" customHeight="1">
      <c r="AG447" s="27"/>
    </row>
    <row r="448" ht="15.75" customHeight="1">
      <c r="AG448" s="27"/>
    </row>
    <row r="449" ht="15.75" customHeight="1">
      <c r="AG449" s="27"/>
    </row>
    <row r="450" ht="15.75" customHeight="1">
      <c r="AG450" s="27"/>
    </row>
    <row r="451" ht="15.75" customHeight="1">
      <c r="AG451" s="27"/>
    </row>
    <row r="452" ht="15.75" customHeight="1">
      <c r="AG452" s="27"/>
    </row>
    <row r="453" ht="15.75" customHeight="1">
      <c r="AG453" s="27"/>
    </row>
    <row r="454" ht="15.75" customHeight="1">
      <c r="AG454" s="27"/>
    </row>
    <row r="455" ht="15.75" customHeight="1">
      <c r="AG455" s="27"/>
    </row>
    <row r="456" ht="15.75" customHeight="1">
      <c r="AG456" s="27"/>
    </row>
    <row r="457" ht="15.75" customHeight="1">
      <c r="AG457" s="27"/>
    </row>
    <row r="458" ht="15.75" customHeight="1">
      <c r="AG458" s="27"/>
    </row>
    <row r="459" ht="15.75" customHeight="1">
      <c r="AG459" s="27"/>
    </row>
    <row r="460" ht="15.75" customHeight="1">
      <c r="AG460" s="27"/>
    </row>
    <row r="461" ht="15.75" customHeight="1">
      <c r="AG461" s="27"/>
    </row>
    <row r="462" ht="15.75" customHeight="1">
      <c r="AG462" s="27"/>
    </row>
    <row r="463" ht="15.75" customHeight="1">
      <c r="AG463" s="27"/>
    </row>
    <row r="464" ht="15.75" customHeight="1">
      <c r="AG464" s="27"/>
    </row>
    <row r="465" ht="15.75" customHeight="1">
      <c r="AG465" s="27"/>
    </row>
    <row r="466" ht="15.75" customHeight="1">
      <c r="AG466" s="27"/>
    </row>
    <row r="467" ht="15.75" customHeight="1">
      <c r="AG467" s="27"/>
    </row>
    <row r="468" ht="15.75" customHeight="1">
      <c r="AG468" s="27"/>
    </row>
    <row r="469" ht="15.75" customHeight="1">
      <c r="AG469" s="27"/>
    </row>
    <row r="470" ht="15.75" customHeight="1">
      <c r="AG470" s="27"/>
    </row>
    <row r="471" ht="15.75" customHeight="1">
      <c r="AG471" s="27"/>
    </row>
    <row r="472" ht="15.75" customHeight="1">
      <c r="AG472" s="27"/>
    </row>
    <row r="473" ht="15.75" customHeight="1">
      <c r="AG473" s="27"/>
    </row>
    <row r="474" ht="15.75" customHeight="1">
      <c r="AG474" s="27"/>
    </row>
    <row r="475" ht="15.75" customHeight="1">
      <c r="AG475" s="27"/>
    </row>
    <row r="476" ht="15.75" customHeight="1">
      <c r="AG476" s="27"/>
    </row>
    <row r="477" ht="15.75" customHeight="1">
      <c r="AG477" s="27"/>
    </row>
    <row r="478" ht="15.75" customHeight="1">
      <c r="AG478" s="27"/>
    </row>
    <row r="479" ht="15.75" customHeight="1">
      <c r="AG479" s="27"/>
    </row>
    <row r="480" ht="15.75" customHeight="1">
      <c r="AG480" s="27"/>
    </row>
    <row r="481" ht="15.75" customHeight="1">
      <c r="AG481" s="27"/>
    </row>
    <row r="482" ht="15.75" customHeight="1">
      <c r="AG482" s="27"/>
    </row>
    <row r="483" ht="15.75" customHeight="1">
      <c r="AG483" s="27"/>
    </row>
    <row r="484" ht="15.75" customHeight="1">
      <c r="AG484" s="27"/>
    </row>
    <row r="485" ht="15.75" customHeight="1">
      <c r="AG485" s="27"/>
    </row>
    <row r="486" ht="15.75" customHeight="1">
      <c r="AG486" s="27"/>
    </row>
    <row r="487" ht="15.75" customHeight="1">
      <c r="AG487" s="27"/>
    </row>
    <row r="488" ht="15.75" customHeight="1">
      <c r="AG488" s="27"/>
    </row>
    <row r="489" ht="15.75" customHeight="1">
      <c r="AG489" s="27"/>
    </row>
    <row r="490" ht="15.75" customHeight="1">
      <c r="AG490" s="27"/>
    </row>
    <row r="491" ht="15.75" customHeight="1">
      <c r="AG491" s="27"/>
    </row>
    <row r="492" ht="15.75" customHeight="1">
      <c r="AG492" s="27"/>
    </row>
    <row r="493" ht="15.75" customHeight="1">
      <c r="AG493" s="27"/>
    </row>
    <row r="494" ht="15.75" customHeight="1">
      <c r="AG494" s="27"/>
    </row>
    <row r="495" ht="15.75" customHeight="1">
      <c r="AG495" s="27"/>
    </row>
    <row r="496" ht="15.75" customHeight="1">
      <c r="AG496" s="27"/>
    </row>
    <row r="497" ht="15.75" customHeight="1">
      <c r="AG497" s="27"/>
    </row>
    <row r="498" ht="15.75" customHeight="1">
      <c r="AG498" s="27"/>
    </row>
    <row r="499" ht="15.75" customHeight="1">
      <c r="AG499" s="27"/>
    </row>
    <row r="500" ht="15.75" customHeight="1">
      <c r="AG500" s="27"/>
    </row>
    <row r="501" ht="15.75" customHeight="1">
      <c r="AG501" s="27"/>
    </row>
    <row r="502" ht="15.75" customHeight="1">
      <c r="AG502" s="27"/>
    </row>
    <row r="503" ht="15.75" customHeight="1">
      <c r="AG503" s="27"/>
    </row>
    <row r="504" ht="15.75" customHeight="1">
      <c r="AG504" s="27"/>
    </row>
    <row r="505" ht="15.75" customHeight="1">
      <c r="AG505" s="27"/>
    </row>
    <row r="506" ht="15.75" customHeight="1">
      <c r="AG506" s="27"/>
    </row>
    <row r="507" ht="15.75" customHeight="1">
      <c r="AG507" s="27"/>
    </row>
    <row r="508" ht="15.75" customHeight="1">
      <c r="AG508" s="27"/>
    </row>
    <row r="509" ht="15.75" customHeight="1">
      <c r="AG509" s="27"/>
    </row>
    <row r="510" ht="15.75" customHeight="1">
      <c r="AG510" s="27"/>
    </row>
    <row r="511" ht="15.75" customHeight="1">
      <c r="AG511" s="27"/>
    </row>
    <row r="512" ht="15.75" customHeight="1">
      <c r="AG512" s="27"/>
    </row>
    <row r="513" ht="15.75" customHeight="1">
      <c r="AG513" s="27"/>
    </row>
    <row r="514" ht="15.75" customHeight="1">
      <c r="AG514" s="27"/>
    </row>
    <row r="515" ht="15.75" customHeight="1">
      <c r="AG515" s="27"/>
    </row>
    <row r="516" ht="15.75" customHeight="1">
      <c r="AG516" s="27"/>
    </row>
    <row r="517" ht="15.75" customHeight="1">
      <c r="AG517" s="27"/>
    </row>
    <row r="518" ht="15.75" customHeight="1">
      <c r="AG518" s="27"/>
    </row>
    <row r="519" ht="15.75" customHeight="1">
      <c r="AG519" s="27"/>
    </row>
    <row r="520" ht="15.75" customHeight="1">
      <c r="AG520" s="27"/>
    </row>
    <row r="521" ht="15.75" customHeight="1">
      <c r="AG521" s="27"/>
    </row>
    <row r="522" ht="15.75" customHeight="1">
      <c r="AG522" s="27"/>
    </row>
    <row r="523" ht="15.75" customHeight="1">
      <c r="AG523" s="27"/>
    </row>
    <row r="524" ht="15.75" customHeight="1">
      <c r="AG524" s="27"/>
    </row>
    <row r="525" ht="15.75" customHeight="1">
      <c r="AG525" s="27"/>
    </row>
    <row r="526" ht="15.75" customHeight="1">
      <c r="AG526" s="27"/>
    </row>
    <row r="527" ht="15.75" customHeight="1">
      <c r="AG527" s="27"/>
    </row>
    <row r="528" ht="15.75" customHeight="1">
      <c r="AG528" s="27"/>
    </row>
    <row r="529" ht="15.75" customHeight="1">
      <c r="AG529" s="27"/>
    </row>
    <row r="530" ht="15.75" customHeight="1">
      <c r="AG530" s="27"/>
    </row>
    <row r="531" ht="15.75" customHeight="1">
      <c r="AG531" s="27"/>
    </row>
    <row r="532" ht="15.75" customHeight="1">
      <c r="AG532" s="27"/>
    </row>
    <row r="533" ht="15.75" customHeight="1">
      <c r="AG533" s="27"/>
    </row>
    <row r="534" ht="15.75" customHeight="1">
      <c r="AG534" s="27"/>
    </row>
    <row r="535" ht="15.75" customHeight="1">
      <c r="AG535" s="27"/>
    </row>
    <row r="536" ht="15.75" customHeight="1">
      <c r="AG536" s="27"/>
    </row>
    <row r="537" ht="15.75" customHeight="1">
      <c r="AG537" s="27"/>
    </row>
    <row r="538" ht="15.75" customHeight="1">
      <c r="AG538" s="27"/>
    </row>
    <row r="539" ht="15.75" customHeight="1">
      <c r="AG539" s="27"/>
    </row>
    <row r="540" ht="15.75" customHeight="1">
      <c r="AG540" s="27"/>
    </row>
    <row r="541" ht="15.75" customHeight="1">
      <c r="AG541" s="27"/>
    </row>
    <row r="542" ht="15.75" customHeight="1">
      <c r="AG542" s="27"/>
    </row>
    <row r="543" ht="15.75" customHeight="1">
      <c r="AG543" s="27"/>
    </row>
    <row r="544" ht="15.75" customHeight="1">
      <c r="AG544" s="27"/>
    </row>
    <row r="545" ht="15.75" customHeight="1">
      <c r="AG545" s="27"/>
    </row>
    <row r="546" ht="15.75" customHeight="1">
      <c r="AG546" s="27"/>
    </row>
    <row r="547" ht="15.75" customHeight="1">
      <c r="AG547" s="27"/>
    </row>
    <row r="548" ht="15.75" customHeight="1">
      <c r="AG548" s="27"/>
    </row>
    <row r="549" ht="15.75" customHeight="1">
      <c r="AG549" s="27"/>
    </row>
    <row r="550" ht="15.75" customHeight="1">
      <c r="AG550" s="27"/>
    </row>
    <row r="551" ht="15.75" customHeight="1">
      <c r="AG551" s="27"/>
    </row>
    <row r="552" ht="15.75" customHeight="1">
      <c r="AG552" s="27"/>
    </row>
    <row r="553" ht="15.75" customHeight="1">
      <c r="AG553" s="27"/>
    </row>
    <row r="554" ht="15.75" customHeight="1">
      <c r="AG554" s="27"/>
    </row>
    <row r="555" ht="15.75" customHeight="1">
      <c r="AG555" s="27"/>
    </row>
    <row r="556" ht="15.75" customHeight="1">
      <c r="AG556" s="27"/>
    </row>
    <row r="557" ht="15.75" customHeight="1">
      <c r="AG557" s="27"/>
    </row>
    <row r="558" ht="15.75" customHeight="1">
      <c r="AG558" s="27"/>
    </row>
    <row r="559" ht="15.75" customHeight="1">
      <c r="AG559" s="27"/>
    </row>
    <row r="560" ht="15.75" customHeight="1">
      <c r="AG560" s="27"/>
    </row>
    <row r="561" ht="15.75" customHeight="1">
      <c r="AG561" s="27"/>
    </row>
    <row r="562" ht="15.75" customHeight="1">
      <c r="AG562" s="27"/>
    </row>
    <row r="563" ht="15.75" customHeight="1">
      <c r="AG563" s="27"/>
    </row>
    <row r="564" ht="15.75" customHeight="1">
      <c r="AG564" s="27"/>
    </row>
    <row r="565" ht="15.75" customHeight="1">
      <c r="AG565" s="27"/>
    </row>
    <row r="566" ht="15.75" customHeight="1">
      <c r="AG566" s="27"/>
    </row>
    <row r="567" ht="15.75" customHeight="1">
      <c r="AG567" s="27"/>
    </row>
    <row r="568" ht="15.75" customHeight="1">
      <c r="AG568" s="27"/>
    </row>
    <row r="569" ht="15.75" customHeight="1">
      <c r="AG569" s="27"/>
    </row>
    <row r="570" ht="15.75" customHeight="1">
      <c r="AG570" s="27"/>
    </row>
    <row r="571" ht="15.75" customHeight="1">
      <c r="AG571" s="27"/>
    </row>
    <row r="572" ht="15.75" customHeight="1">
      <c r="AG572" s="27"/>
    </row>
    <row r="573" ht="15.75" customHeight="1">
      <c r="AG573" s="27"/>
    </row>
    <row r="574" ht="15.75" customHeight="1">
      <c r="AG574" s="27"/>
    </row>
    <row r="575" ht="15.75" customHeight="1">
      <c r="AG575" s="27"/>
    </row>
    <row r="576" ht="15.75" customHeight="1">
      <c r="AG576" s="27"/>
    </row>
    <row r="577" ht="15.75" customHeight="1">
      <c r="AG577" s="27"/>
    </row>
    <row r="578" ht="15.75" customHeight="1">
      <c r="AG578" s="27"/>
    </row>
    <row r="579" ht="15.75" customHeight="1">
      <c r="AG579" s="27"/>
    </row>
    <row r="580" ht="15.75" customHeight="1">
      <c r="AG580" s="27"/>
    </row>
    <row r="581" ht="15.75" customHeight="1">
      <c r="AG581" s="27"/>
    </row>
    <row r="582" ht="15.75" customHeight="1">
      <c r="AG582" s="27"/>
    </row>
    <row r="583" ht="15.75" customHeight="1">
      <c r="AG583" s="27"/>
    </row>
    <row r="584" ht="15.75" customHeight="1">
      <c r="AG584" s="27"/>
    </row>
    <row r="585" ht="15.75" customHeight="1">
      <c r="AG585" s="27"/>
    </row>
    <row r="586" ht="15.75" customHeight="1">
      <c r="AG586" s="27"/>
    </row>
    <row r="587" ht="15.75" customHeight="1">
      <c r="AG587" s="27"/>
    </row>
    <row r="588" ht="15.75" customHeight="1">
      <c r="AG588" s="27"/>
    </row>
    <row r="589" ht="15.75" customHeight="1">
      <c r="AG589" s="27"/>
    </row>
    <row r="590" ht="15.75" customHeight="1">
      <c r="AG590" s="27"/>
    </row>
    <row r="591" ht="15.75" customHeight="1">
      <c r="AG591" s="27"/>
    </row>
    <row r="592" ht="15.75" customHeight="1">
      <c r="AG592" s="27"/>
    </row>
    <row r="593" ht="15.75" customHeight="1">
      <c r="AG593" s="27"/>
    </row>
    <row r="594" ht="15.75" customHeight="1">
      <c r="AG594" s="27"/>
    </row>
    <row r="595" ht="15.75" customHeight="1">
      <c r="AG595" s="27"/>
    </row>
    <row r="596" ht="15.75" customHeight="1">
      <c r="AG596" s="27"/>
    </row>
    <row r="597" ht="15.75" customHeight="1">
      <c r="AG597" s="27"/>
    </row>
    <row r="598" ht="15.75" customHeight="1">
      <c r="AG598" s="27"/>
    </row>
    <row r="599" ht="15.75" customHeight="1">
      <c r="AG599" s="27"/>
    </row>
    <row r="600" ht="15.75" customHeight="1">
      <c r="AG600" s="27"/>
    </row>
    <row r="601" ht="15.75" customHeight="1">
      <c r="AG601" s="27"/>
    </row>
    <row r="602" ht="15.75" customHeight="1">
      <c r="AG602" s="27"/>
    </row>
    <row r="603" ht="15.75" customHeight="1">
      <c r="AG603" s="27"/>
    </row>
    <row r="604" ht="15.75" customHeight="1">
      <c r="AG604" s="27"/>
    </row>
    <row r="605" ht="15.75" customHeight="1">
      <c r="AG605" s="27"/>
    </row>
    <row r="606" ht="15.75" customHeight="1">
      <c r="AG606" s="27"/>
    </row>
    <row r="607" ht="15.75" customHeight="1">
      <c r="AG607" s="27"/>
    </row>
    <row r="608" ht="15.75" customHeight="1">
      <c r="AG608" s="27"/>
    </row>
    <row r="609" ht="15.75" customHeight="1">
      <c r="AG609" s="27"/>
    </row>
    <row r="610" ht="15.75" customHeight="1">
      <c r="AG610" s="27"/>
    </row>
    <row r="611" ht="15.75" customHeight="1">
      <c r="AG611" s="27"/>
    </row>
    <row r="612" ht="15.75" customHeight="1">
      <c r="AG612" s="27"/>
    </row>
    <row r="613" ht="15.75" customHeight="1">
      <c r="AG613" s="27"/>
    </row>
    <row r="614" ht="15.75" customHeight="1">
      <c r="AG614" s="27"/>
    </row>
    <row r="615" ht="15.75" customHeight="1">
      <c r="AG615" s="27"/>
    </row>
    <row r="616" ht="15.75" customHeight="1">
      <c r="AG616" s="27"/>
    </row>
    <row r="617" ht="15.75" customHeight="1">
      <c r="AG617" s="27"/>
    </row>
    <row r="618" ht="15.75" customHeight="1">
      <c r="AG618" s="27"/>
    </row>
    <row r="619" ht="15.75" customHeight="1">
      <c r="AG619" s="27"/>
    </row>
    <row r="620" ht="15.75" customHeight="1">
      <c r="AG620" s="27"/>
    </row>
    <row r="621" ht="15.75" customHeight="1">
      <c r="AG621" s="27"/>
    </row>
    <row r="622" ht="15.75" customHeight="1">
      <c r="AG622" s="27"/>
    </row>
    <row r="623" ht="15.75" customHeight="1">
      <c r="AG623" s="27"/>
    </row>
    <row r="624" ht="15.75" customHeight="1">
      <c r="AG624" s="27"/>
    </row>
    <row r="625" ht="15.75" customHeight="1">
      <c r="AG625" s="27"/>
    </row>
    <row r="626" ht="15.75" customHeight="1">
      <c r="AG626" s="27"/>
    </row>
    <row r="627" ht="15.75" customHeight="1">
      <c r="AG627" s="27"/>
    </row>
    <row r="628" ht="15.75" customHeight="1">
      <c r="AG628" s="27"/>
    </row>
    <row r="629" ht="15.75" customHeight="1">
      <c r="AG629" s="27"/>
    </row>
    <row r="630" ht="15.75" customHeight="1">
      <c r="AG630" s="27"/>
    </row>
    <row r="631" ht="15.75" customHeight="1">
      <c r="AG631" s="27"/>
    </row>
    <row r="632" ht="15.75" customHeight="1">
      <c r="AG632" s="27"/>
    </row>
    <row r="633" ht="15.75" customHeight="1">
      <c r="AG633" s="27"/>
    </row>
    <row r="634" ht="15.75" customHeight="1">
      <c r="AG634" s="27"/>
    </row>
    <row r="635" ht="15.75" customHeight="1">
      <c r="AG635" s="27"/>
    </row>
    <row r="636" ht="15.75" customHeight="1">
      <c r="AG636" s="27"/>
    </row>
    <row r="637" ht="15.75" customHeight="1">
      <c r="AG637" s="27"/>
    </row>
    <row r="638" ht="15.75" customHeight="1">
      <c r="AG638" s="27"/>
    </row>
    <row r="639" ht="15.75" customHeight="1">
      <c r="AG639" s="27"/>
    </row>
    <row r="640" ht="15.75" customHeight="1">
      <c r="AG640" s="27"/>
    </row>
    <row r="641" ht="15.75" customHeight="1">
      <c r="AG641" s="27"/>
    </row>
    <row r="642" ht="15.75" customHeight="1">
      <c r="AG642" s="27"/>
    </row>
    <row r="643" ht="15.75" customHeight="1">
      <c r="AG643" s="27"/>
    </row>
    <row r="644" ht="15.75" customHeight="1">
      <c r="AG644" s="27"/>
    </row>
    <row r="645" ht="15.75" customHeight="1">
      <c r="AG645" s="27"/>
    </row>
    <row r="646" ht="15.75" customHeight="1">
      <c r="AG646" s="27"/>
    </row>
    <row r="647" ht="15.75" customHeight="1">
      <c r="AG647" s="27"/>
    </row>
    <row r="648" ht="15.75" customHeight="1">
      <c r="AG648" s="27"/>
    </row>
    <row r="649" ht="15.75" customHeight="1">
      <c r="AG649" s="27"/>
    </row>
    <row r="650" ht="15.75" customHeight="1">
      <c r="AG650" s="27"/>
    </row>
    <row r="651" ht="15.75" customHeight="1">
      <c r="AG651" s="27"/>
    </row>
    <row r="652" ht="15.75" customHeight="1">
      <c r="AG652" s="27"/>
    </row>
    <row r="653" ht="15.75" customHeight="1">
      <c r="AG653" s="27"/>
    </row>
    <row r="654" ht="15.75" customHeight="1">
      <c r="AG654" s="27"/>
    </row>
    <row r="655" ht="15.75" customHeight="1">
      <c r="AG655" s="27"/>
    </row>
    <row r="656" ht="15.75" customHeight="1">
      <c r="AG656" s="27"/>
    </row>
    <row r="657" ht="15.75" customHeight="1">
      <c r="AG657" s="27"/>
    </row>
    <row r="658" ht="15.75" customHeight="1">
      <c r="AG658" s="27"/>
    </row>
    <row r="659" ht="15.75" customHeight="1">
      <c r="AG659" s="27"/>
    </row>
    <row r="660" ht="15.75" customHeight="1">
      <c r="AG660" s="27"/>
    </row>
    <row r="661" ht="15.75" customHeight="1">
      <c r="AG661" s="27"/>
    </row>
    <row r="662" ht="15.75" customHeight="1">
      <c r="AG662" s="27"/>
    </row>
    <row r="663" ht="15.75" customHeight="1">
      <c r="AG663" s="27"/>
    </row>
    <row r="664" ht="15.75" customHeight="1">
      <c r="AG664" s="27"/>
    </row>
    <row r="665" ht="15.75" customHeight="1">
      <c r="AG665" s="27"/>
    </row>
    <row r="666" ht="15.75" customHeight="1">
      <c r="AG666" s="27"/>
    </row>
    <row r="667" ht="15.75" customHeight="1">
      <c r="AG667" s="27"/>
    </row>
    <row r="668" ht="15.75" customHeight="1">
      <c r="AG668" s="27"/>
    </row>
    <row r="669" ht="15.75" customHeight="1">
      <c r="AG669" s="27"/>
    </row>
    <row r="670" ht="15.75" customHeight="1">
      <c r="AG670" s="27"/>
    </row>
    <row r="671" ht="15.75" customHeight="1">
      <c r="AG671" s="27"/>
    </row>
    <row r="672" ht="15.75" customHeight="1">
      <c r="AG672" s="27"/>
    </row>
    <row r="673" ht="15.75" customHeight="1">
      <c r="AG673" s="27"/>
    </row>
    <row r="674" ht="15.75" customHeight="1">
      <c r="AG674" s="27"/>
    </row>
    <row r="675" ht="15.75" customHeight="1">
      <c r="AG675" s="27"/>
    </row>
    <row r="676" ht="15.75" customHeight="1">
      <c r="AG676" s="27"/>
    </row>
    <row r="677" ht="15.75" customHeight="1">
      <c r="AG677" s="27"/>
    </row>
    <row r="678" ht="15.75" customHeight="1">
      <c r="AG678" s="27"/>
    </row>
    <row r="679" ht="15.75" customHeight="1">
      <c r="AG679" s="27"/>
    </row>
    <row r="680" ht="15.75" customHeight="1">
      <c r="AG680" s="27"/>
    </row>
    <row r="681" ht="15.75" customHeight="1">
      <c r="AG681" s="27"/>
    </row>
    <row r="682" ht="15.75" customHeight="1">
      <c r="AG682" s="27"/>
    </row>
    <row r="683" ht="15.75" customHeight="1">
      <c r="AG683" s="27"/>
    </row>
    <row r="684" ht="15.75" customHeight="1">
      <c r="AG684" s="27"/>
    </row>
    <row r="685" ht="15.75" customHeight="1">
      <c r="AG685" s="27"/>
    </row>
    <row r="686" ht="15.75" customHeight="1">
      <c r="AG686" s="27"/>
    </row>
    <row r="687" ht="15.75" customHeight="1">
      <c r="AG687" s="27"/>
    </row>
    <row r="688" ht="15.75" customHeight="1">
      <c r="AG688" s="27"/>
    </row>
    <row r="689" ht="15.75" customHeight="1">
      <c r="AG689" s="27"/>
    </row>
    <row r="690" ht="15.75" customHeight="1">
      <c r="AG690" s="27"/>
    </row>
    <row r="691" ht="15.75" customHeight="1">
      <c r="AG691" s="27"/>
    </row>
    <row r="692" ht="15.75" customHeight="1">
      <c r="AG692" s="27"/>
    </row>
    <row r="693" ht="15.75" customHeight="1">
      <c r="AG693" s="27"/>
    </row>
    <row r="694" ht="15.75" customHeight="1">
      <c r="AG694" s="27"/>
    </row>
    <row r="695" ht="15.75" customHeight="1">
      <c r="AG695" s="27"/>
    </row>
    <row r="696" ht="15.75" customHeight="1">
      <c r="AG696" s="27"/>
    </row>
    <row r="697" ht="15.75" customHeight="1">
      <c r="AG697" s="27"/>
    </row>
    <row r="698" ht="15.75" customHeight="1">
      <c r="AG698" s="27"/>
    </row>
    <row r="699" ht="15.75" customHeight="1">
      <c r="AG699" s="27"/>
    </row>
    <row r="700" ht="15.75" customHeight="1">
      <c r="AG700" s="27"/>
    </row>
    <row r="701" ht="15.75" customHeight="1">
      <c r="AG701" s="27"/>
    </row>
    <row r="702" ht="15.75" customHeight="1">
      <c r="AG702" s="27"/>
    </row>
    <row r="703" ht="15.75" customHeight="1">
      <c r="AG703" s="27"/>
    </row>
    <row r="704" ht="15.75" customHeight="1">
      <c r="AG704" s="27"/>
    </row>
    <row r="705" ht="15.75" customHeight="1">
      <c r="AG705" s="27"/>
    </row>
    <row r="706" ht="15.75" customHeight="1">
      <c r="AG706" s="27"/>
    </row>
    <row r="707" ht="15.75" customHeight="1">
      <c r="AG707" s="27"/>
    </row>
    <row r="708" ht="15.75" customHeight="1">
      <c r="AG708" s="27"/>
    </row>
    <row r="709" ht="15.75" customHeight="1">
      <c r="AG709" s="27"/>
    </row>
    <row r="710" ht="15.75" customHeight="1">
      <c r="AG710" s="27"/>
    </row>
    <row r="711" ht="15.75" customHeight="1">
      <c r="AG711" s="27"/>
    </row>
    <row r="712" ht="15.75" customHeight="1">
      <c r="AG712" s="27"/>
    </row>
    <row r="713" ht="15.75" customHeight="1">
      <c r="AG713" s="27"/>
    </row>
    <row r="714" ht="15.75" customHeight="1">
      <c r="AG714" s="27"/>
    </row>
    <row r="715" ht="15.75" customHeight="1">
      <c r="AG715" s="27"/>
    </row>
    <row r="716" ht="15.75" customHeight="1">
      <c r="AG716" s="27"/>
    </row>
    <row r="717" ht="15.75" customHeight="1">
      <c r="AG717" s="27"/>
    </row>
    <row r="718" ht="15.75" customHeight="1">
      <c r="AG718" s="27"/>
    </row>
    <row r="719" ht="15.75" customHeight="1">
      <c r="AG719" s="27"/>
    </row>
    <row r="720" ht="15.75" customHeight="1">
      <c r="AG720" s="27"/>
    </row>
    <row r="721" ht="15.75" customHeight="1">
      <c r="AG721" s="27"/>
    </row>
    <row r="722" ht="15.75" customHeight="1">
      <c r="AG722" s="27"/>
    </row>
    <row r="723" ht="15.75" customHeight="1">
      <c r="AG723" s="27"/>
    </row>
    <row r="724" ht="15.75" customHeight="1">
      <c r="AG724" s="27"/>
    </row>
    <row r="725" ht="15.75" customHeight="1">
      <c r="AG725" s="27"/>
    </row>
    <row r="726" ht="15.75" customHeight="1">
      <c r="AG726" s="27"/>
    </row>
    <row r="727" ht="15.75" customHeight="1">
      <c r="AG727" s="27"/>
    </row>
    <row r="728" ht="15.75" customHeight="1">
      <c r="AG728" s="27"/>
    </row>
    <row r="729" ht="15.75" customHeight="1">
      <c r="AG729" s="27"/>
    </row>
    <row r="730" ht="15.75" customHeight="1">
      <c r="AG730" s="27"/>
    </row>
    <row r="731" ht="15.75" customHeight="1">
      <c r="AG731" s="27"/>
    </row>
    <row r="732" ht="15.75" customHeight="1">
      <c r="AG732" s="27"/>
    </row>
    <row r="733" ht="15.75" customHeight="1">
      <c r="AG733" s="27"/>
    </row>
    <row r="734" ht="15.75" customHeight="1">
      <c r="AG734" s="27"/>
    </row>
    <row r="735" ht="15.75" customHeight="1">
      <c r="AG735" s="27"/>
    </row>
    <row r="736" ht="15.75" customHeight="1">
      <c r="AG736" s="27"/>
    </row>
    <row r="737" ht="15.75" customHeight="1">
      <c r="AG737" s="27"/>
    </row>
    <row r="738" ht="15.75" customHeight="1">
      <c r="AG738" s="27"/>
    </row>
    <row r="739" ht="15.75" customHeight="1">
      <c r="AG739" s="27"/>
    </row>
    <row r="740" ht="15.75" customHeight="1">
      <c r="AG740" s="27"/>
    </row>
    <row r="741" ht="15.75" customHeight="1">
      <c r="AG741" s="27"/>
    </row>
    <row r="742" ht="15.75" customHeight="1">
      <c r="AG742" s="27"/>
    </row>
    <row r="743" ht="15.75" customHeight="1">
      <c r="AG743" s="27"/>
    </row>
    <row r="744" ht="15.75" customHeight="1">
      <c r="AG744" s="27"/>
    </row>
    <row r="745" ht="15.75" customHeight="1">
      <c r="AG745" s="27"/>
    </row>
    <row r="746" ht="15.75" customHeight="1">
      <c r="AG746" s="27"/>
    </row>
    <row r="747" ht="15.75" customHeight="1">
      <c r="AG747" s="27"/>
    </row>
    <row r="748" ht="15.75" customHeight="1">
      <c r="AG748" s="27"/>
    </row>
    <row r="749" ht="15.75" customHeight="1">
      <c r="AG749" s="27"/>
    </row>
    <row r="750" ht="15.75" customHeight="1">
      <c r="AG750" s="27"/>
    </row>
    <row r="751" ht="15.75" customHeight="1">
      <c r="AG751" s="27"/>
    </row>
    <row r="752" ht="15.75" customHeight="1">
      <c r="AG752" s="27"/>
    </row>
    <row r="753" ht="15.75" customHeight="1">
      <c r="AG753" s="27"/>
    </row>
    <row r="754" ht="15.75" customHeight="1">
      <c r="AG754" s="27"/>
    </row>
    <row r="755" ht="15.75" customHeight="1">
      <c r="AG755" s="27"/>
    </row>
    <row r="756" ht="15.75" customHeight="1">
      <c r="AG756" s="27"/>
    </row>
    <row r="757" ht="15.75" customHeight="1">
      <c r="AG757" s="27"/>
    </row>
    <row r="758" ht="15.75" customHeight="1">
      <c r="AG758" s="27"/>
    </row>
    <row r="759" ht="15.75" customHeight="1">
      <c r="AG759" s="27"/>
    </row>
    <row r="760" ht="15.75" customHeight="1">
      <c r="AG760" s="27"/>
    </row>
    <row r="761" ht="15.75" customHeight="1">
      <c r="AG761" s="27"/>
    </row>
    <row r="762" ht="15.75" customHeight="1">
      <c r="AG762" s="27"/>
    </row>
    <row r="763" ht="15.75" customHeight="1">
      <c r="AG763" s="27"/>
    </row>
    <row r="764" ht="15.75" customHeight="1">
      <c r="AG764" s="27"/>
    </row>
    <row r="765" ht="15.75" customHeight="1">
      <c r="AG765" s="27"/>
    </row>
    <row r="766" ht="15.75" customHeight="1">
      <c r="AG766" s="27"/>
    </row>
    <row r="767" ht="15.75" customHeight="1">
      <c r="AG767" s="27"/>
    </row>
    <row r="768" ht="15.75" customHeight="1">
      <c r="AG768" s="27"/>
    </row>
    <row r="769" ht="15.75" customHeight="1">
      <c r="AG769" s="27"/>
    </row>
    <row r="770" ht="15.75" customHeight="1">
      <c r="AG770" s="27"/>
    </row>
    <row r="771" ht="15.75" customHeight="1">
      <c r="AG771" s="27"/>
    </row>
    <row r="772" ht="15.75" customHeight="1">
      <c r="AG772" s="27"/>
    </row>
    <row r="773" ht="15.75" customHeight="1">
      <c r="AG773" s="27"/>
    </row>
    <row r="774" ht="15.75" customHeight="1">
      <c r="AG774" s="27"/>
    </row>
    <row r="775" ht="15.75" customHeight="1">
      <c r="AG775" s="27"/>
    </row>
    <row r="776" ht="15.75" customHeight="1">
      <c r="AG776" s="27"/>
    </row>
    <row r="777" ht="15.75" customHeight="1">
      <c r="AG777" s="27"/>
    </row>
    <row r="778" ht="15.75" customHeight="1">
      <c r="AG778" s="27"/>
    </row>
    <row r="779" ht="15.75" customHeight="1">
      <c r="AG779" s="27"/>
    </row>
    <row r="780" ht="15.75" customHeight="1">
      <c r="AG780" s="27"/>
    </row>
    <row r="781" ht="15.75" customHeight="1">
      <c r="AG781" s="27"/>
    </row>
    <row r="782" ht="15.75" customHeight="1">
      <c r="AG782" s="27"/>
    </row>
    <row r="783" ht="15.75" customHeight="1">
      <c r="AG783" s="27"/>
    </row>
    <row r="784" ht="15.75" customHeight="1">
      <c r="AG784" s="27"/>
    </row>
    <row r="785" ht="15.75" customHeight="1">
      <c r="AG785" s="27"/>
    </row>
    <row r="786" ht="15.75" customHeight="1">
      <c r="AG786" s="27"/>
    </row>
    <row r="787" ht="15.75" customHeight="1">
      <c r="AG787" s="27"/>
    </row>
    <row r="788" ht="15.75" customHeight="1">
      <c r="AG788" s="27"/>
    </row>
    <row r="789" ht="15.75" customHeight="1">
      <c r="AG789" s="27"/>
    </row>
    <row r="790" ht="15.75" customHeight="1">
      <c r="AG790" s="27"/>
    </row>
    <row r="791" ht="15.75" customHeight="1">
      <c r="AG791" s="27"/>
    </row>
    <row r="792" ht="15.75" customHeight="1">
      <c r="AG792" s="27"/>
    </row>
    <row r="793" ht="15.75" customHeight="1">
      <c r="AG793" s="27"/>
    </row>
    <row r="794" ht="15.75" customHeight="1">
      <c r="AG794" s="27"/>
    </row>
    <row r="795" ht="15.75" customHeight="1">
      <c r="AG795" s="27"/>
    </row>
    <row r="796" ht="15.75" customHeight="1">
      <c r="AG796" s="27"/>
    </row>
    <row r="797" ht="15.75" customHeight="1">
      <c r="AG797" s="27"/>
    </row>
    <row r="798" ht="15.75" customHeight="1">
      <c r="AG798" s="27"/>
    </row>
    <row r="799" ht="15.75" customHeight="1">
      <c r="AG799" s="27"/>
    </row>
    <row r="800" ht="15.75" customHeight="1">
      <c r="AG800" s="27"/>
    </row>
    <row r="801" ht="15.75" customHeight="1">
      <c r="AG801" s="27"/>
    </row>
    <row r="802" ht="15.75" customHeight="1">
      <c r="AG802" s="27"/>
    </row>
    <row r="803" ht="15.75" customHeight="1">
      <c r="AG803" s="27"/>
    </row>
    <row r="804" ht="15.75" customHeight="1">
      <c r="AG804" s="27"/>
    </row>
    <row r="805" ht="15.75" customHeight="1">
      <c r="AG805" s="27"/>
    </row>
    <row r="806" ht="15.75" customHeight="1">
      <c r="AG806" s="27"/>
    </row>
    <row r="807" ht="15.75" customHeight="1">
      <c r="AG807" s="27"/>
    </row>
    <row r="808" ht="15.75" customHeight="1">
      <c r="AG808" s="27"/>
    </row>
    <row r="809" ht="15.75" customHeight="1">
      <c r="AG809" s="27"/>
    </row>
    <row r="810" ht="15.75" customHeight="1">
      <c r="AG810" s="27"/>
    </row>
    <row r="811" ht="15.75" customHeight="1">
      <c r="AG811" s="27"/>
    </row>
    <row r="812" ht="15.75" customHeight="1">
      <c r="AG812" s="27"/>
    </row>
    <row r="813" ht="15.75" customHeight="1">
      <c r="AG813" s="27"/>
    </row>
    <row r="814" ht="15.75" customHeight="1">
      <c r="AG814" s="27"/>
    </row>
    <row r="815" ht="15.75" customHeight="1">
      <c r="AG815" s="27"/>
    </row>
    <row r="816" ht="15.75" customHeight="1">
      <c r="AG816" s="27"/>
    </row>
    <row r="817" ht="15.75" customHeight="1">
      <c r="AG817" s="27"/>
    </row>
    <row r="818" ht="15.75" customHeight="1">
      <c r="AG818" s="27"/>
    </row>
    <row r="819" ht="15.75" customHeight="1">
      <c r="AG819" s="27"/>
    </row>
    <row r="820" ht="15.75" customHeight="1">
      <c r="AG820" s="27"/>
    </row>
    <row r="821" ht="15.75" customHeight="1">
      <c r="AG821" s="27"/>
    </row>
    <row r="822" ht="15.75" customHeight="1">
      <c r="AG822" s="27"/>
    </row>
    <row r="823" ht="15.75" customHeight="1">
      <c r="AG823" s="27"/>
    </row>
    <row r="824" ht="15.75" customHeight="1">
      <c r="AG824" s="27"/>
    </row>
    <row r="825" ht="15.75" customHeight="1">
      <c r="AG825" s="27"/>
    </row>
    <row r="826" ht="15.75" customHeight="1">
      <c r="AG826" s="27"/>
    </row>
    <row r="827" ht="15.75" customHeight="1">
      <c r="AG827" s="27"/>
    </row>
    <row r="828" ht="15.75" customHeight="1">
      <c r="AG828" s="27"/>
    </row>
    <row r="829" ht="15.75" customHeight="1">
      <c r="AG829" s="27"/>
    </row>
    <row r="830" ht="15.75" customHeight="1">
      <c r="AG830" s="27"/>
    </row>
    <row r="831" ht="15.75" customHeight="1">
      <c r="AG831" s="27"/>
    </row>
    <row r="832" ht="15.75" customHeight="1">
      <c r="AG832" s="27"/>
    </row>
    <row r="833" ht="15.75" customHeight="1">
      <c r="AG833" s="27"/>
    </row>
    <row r="834" ht="15.75" customHeight="1">
      <c r="AG834" s="27"/>
    </row>
    <row r="835" ht="15.75" customHeight="1">
      <c r="AG835" s="27"/>
    </row>
    <row r="836" ht="15.75" customHeight="1">
      <c r="AG836" s="27"/>
    </row>
    <row r="837" ht="15.75" customHeight="1">
      <c r="AG837" s="27"/>
    </row>
    <row r="838" ht="15.75" customHeight="1">
      <c r="AG838" s="27"/>
    </row>
    <row r="839" ht="15.75" customHeight="1">
      <c r="AG839" s="27"/>
    </row>
    <row r="840" ht="15.75" customHeight="1">
      <c r="AG840" s="27"/>
    </row>
    <row r="841" ht="15.75" customHeight="1">
      <c r="AG841" s="27"/>
    </row>
    <row r="842" ht="15.75" customHeight="1">
      <c r="AG842" s="27"/>
    </row>
    <row r="843" ht="15.75" customHeight="1">
      <c r="AG843" s="27"/>
    </row>
    <row r="844" ht="15.75" customHeight="1">
      <c r="AG844" s="27"/>
    </row>
    <row r="845" ht="15.75" customHeight="1">
      <c r="AG845" s="27"/>
    </row>
    <row r="846" ht="15.75" customHeight="1">
      <c r="AG846" s="27"/>
    </row>
    <row r="847" ht="15.75" customHeight="1">
      <c r="AG847" s="27"/>
    </row>
    <row r="848" ht="15.75" customHeight="1">
      <c r="AG848" s="27"/>
    </row>
    <row r="849" ht="15.75" customHeight="1">
      <c r="AG849" s="27"/>
    </row>
    <row r="850" ht="15.75" customHeight="1">
      <c r="AG850" s="27"/>
    </row>
    <row r="851" ht="15.75" customHeight="1">
      <c r="AG851" s="27"/>
    </row>
    <row r="852" ht="15.75" customHeight="1">
      <c r="AG852" s="27"/>
    </row>
    <row r="853" ht="15.75" customHeight="1">
      <c r="AG853" s="27"/>
    </row>
    <row r="854" ht="15.75" customHeight="1">
      <c r="AG854" s="27"/>
    </row>
    <row r="855" ht="15.75" customHeight="1">
      <c r="AG855" s="27"/>
    </row>
    <row r="856" ht="15.75" customHeight="1">
      <c r="AG856" s="27"/>
    </row>
    <row r="857" ht="15.75" customHeight="1">
      <c r="AG857" s="27"/>
    </row>
    <row r="858" ht="15.75" customHeight="1">
      <c r="AG858" s="27"/>
    </row>
    <row r="859" ht="15.75" customHeight="1">
      <c r="AG859" s="27"/>
    </row>
    <row r="860" ht="15.75" customHeight="1">
      <c r="AG860" s="27"/>
    </row>
    <row r="861" ht="15.75" customHeight="1">
      <c r="AG861" s="27"/>
    </row>
    <row r="862" ht="15.75" customHeight="1">
      <c r="AG862" s="27"/>
    </row>
    <row r="863" ht="15.75" customHeight="1">
      <c r="AG863" s="27"/>
    </row>
    <row r="864" ht="15.75" customHeight="1">
      <c r="AG864" s="27"/>
    </row>
    <row r="865" ht="15.75" customHeight="1">
      <c r="AG865" s="27"/>
    </row>
    <row r="866" ht="15.75" customHeight="1">
      <c r="AG866" s="27"/>
    </row>
    <row r="867" ht="15.75" customHeight="1">
      <c r="AG867" s="27"/>
    </row>
    <row r="868" ht="15.75" customHeight="1">
      <c r="AG868" s="27"/>
    </row>
    <row r="869" ht="15.75" customHeight="1">
      <c r="AG869" s="27"/>
    </row>
    <row r="870" ht="15.75" customHeight="1">
      <c r="AG870" s="27"/>
    </row>
    <row r="871" ht="15.75" customHeight="1">
      <c r="AG871" s="27"/>
    </row>
    <row r="872" ht="15.75" customHeight="1">
      <c r="AG872" s="27"/>
    </row>
    <row r="873" ht="15.75" customHeight="1">
      <c r="AG873" s="27"/>
    </row>
    <row r="874" ht="15.75" customHeight="1">
      <c r="AG874" s="27"/>
    </row>
    <row r="875" ht="15.75" customHeight="1">
      <c r="AG875" s="27"/>
    </row>
    <row r="876" ht="15.75" customHeight="1">
      <c r="AG876" s="27"/>
    </row>
    <row r="877" ht="15.75" customHeight="1">
      <c r="AG877" s="27"/>
    </row>
    <row r="878" ht="15.75" customHeight="1">
      <c r="AG878" s="27"/>
    </row>
    <row r="879" ht="15.75" customHeight="1">
      <c r="AG879" s="27"/>
    </row>
    <row r="880" ht="15.75" customHeight="1">
      <c r="AG880" s="27"/>
    </row>
    <row r="881" ht="15.75" customHeight="1">
      <c r="AG881" s="27"/>
    </row>
    <row r="882" ht="15.75" customHeight="1">
      <c r="AG882" s="27"/>
    </row>
    <row r="883" ht="15.75" customHeight="1">
      <c r="AG883" s="27"/>
    </row>
    <row r="884" ht="15.75" customHeight="1">
      <c r="AG884" s="27"/>
    </row>
    <row r="885" ht="15.75" customHeight="1">
      <c r="AG885" s="27"/>
    </row>
    <row r="886" ht="15.75" customHeight="1">
      <c r="AG886" s="27"/>
    </row>
    <row r="887" ht="15.75" customHeight="1">
      <c r="AG887" s="27"/>
    </row>
    <row r="888" ht="15.75" customHeight="1">
      <c r="AG888" s="27"/>
    </row>
    <row r="889" ht="15.75" customHeight="1">
      <c r="AG889" s="27"/>
    </row>
    <row r="890" ht="15.75" customHeight="1">
      <c r="AG890" s="27"/>
    </row>
    <row r="891" ht="15.75" customHeight="1">
      <c r="AG891" s="27"/>
    </row>
    <row r="892" ht="15.75" customHeight="1">
      <c r="AG892" s="27"/>
    </row>
    <row r="893" ht="15.75" customHeight="1">
      <c r="AG893" s="27"/>
    </row>
    <row r="894" ht="15.75" customHeight="1">
      <c r="AG894" s="27"/>
    </row>
    <row r="895" ht="15.75" customHeight="1">
      <c r="AG895" s="27"/>
    </row>
    <row r="896" ht="15.75" customHeight="1">
      <c r="AG896" s="27"/>
    </row>
    <row r="897" ht="15.75" customHeight="1">
      <c r="AG897" s="27"/>
    </row>
    <row r="898" ht="15.75" customHeight="1">
      <c r="AG898" s="27"/>
    </row>
    <row r="899" ht="15.75" customHeight="1">
      <c r="AG899" s="27"/>
    </row>
    <row r="900" ht="15.75" customHeight="1">
      <c r="AG900" s="27"/>
    </row>
    <row r="901" ht="15.75" customHeight="1">
      <c r="AG901" s="27"/>
    </row>
    <row r="902" ht="15.75" customHeight="1">
      <c r="AG902" s="27"/>
    </row>
    <row r="903" ht="15.75" customHeight="1">
      <c r="AG903" s="27"/>
    </row>
    <row r="904" ht="15.75" customHeight="1">
      <c r="AG904" s="27"/>
    </row>
    <row r="905" ht="15.75" customHeight="1">
      <c r="AG905" s="27"/>
    </row>
    <row r="906" ht="15.75" customHeight="1">
      <c r="AG906" s="27"/>
    </row>
    <row r="907" ht="15.75" customHeight="1">
      <c r="AG907" s="27"/>
    </row>
    <row r="908" ht="15.75" customHeight="1">
      <c r="AG908" s="27"/>
    </row>
    <row r="909" ht="15.75" customHeight="1">
      <c r="AG909" s="27"/>
    </row>
    <row r="910" ht="15.75" customHeight="1">
      <c r="AG910" s="27"/>
    </row>
    <row r="911" ht="15.75" customHeight="1">
      <c r="AG911" s="27"/>
    </row>
    <row r="912" ht="15.75" customHeight="1">
      <c r="AG912" s="27"/>
    </row>
    <row r="913" ht="15.75" customHeight="1">
      <c r="AG913" s="27"/>
    </row>
    <row r="914" ht="15.75" customHeight="1">
      <c r="AG914" s="27"/>
    </row>
    <row r="915" ht="15.75" customHeight="1">
      <c r="AG915" s="27"/>
    </row>
    <row r="916" ht="15.75" customHeight="1">
      <c r="AG916" s="27"/>
    </row>
    <row r="917" ht="15.75" customHeight="1">
      <c r="AG917" s="27"/>
    </row>
    <row r="918" ht="15.75" customHeight="1">
      <c r="AG918" s="27"/>
    </row>
    <row r="919" ht="15.75" customHeight="1">
      <c r="AG919" s="27"/>
    </row>
    <row r="920" ht="15.75" customHeight="1">
      <c r="AG920" s="27"/>
    </row>
    <row r="921" ht="15.75" customHeight="1">
      <c r="AG921" s="27"/>
    </row>
    <row r="922" ht="15.75" customHeight="1">
      <c r="AG922" s="27"/>
    </row>
    <row r="923" ht="15.75" customHeight="1">
      <c r="AG923" s="27"/>
    </row>
    <row r="924" ht="15.75" customHeight="1">
      <c r="AG924" s="27"/>
    </row>
    <row r="925" ht="15.75" customHeight="1">
      <c r="AG925" s="27"/>
    </row>
    <row r="926" ht="15.75" customHeight="1">
      <c r="AG926" s="27"/>
    </row>
    <row r="927" ht="15.75" customHeight="1">
      <c r="AG927" s="27"/>
    </row>
    <row r="928" ht="15.75" customHeight="1">
      <c r="AG928" s="27"/>
    </row>
    <row r="929" ht="15.75" customHeight="1">
      <c r="AG929" s="27"/>
    </row>
    <row r="930" ht="15.75" customHeight="1">
      <c r="AG930" s="27"/>
    </row>
    <row r="931" ht="15.75" customHeight="1">
      <c r="AG931" s="27"/>
    </row>
    <row r="932" ht="15.75" customHeight="1">
      <c r="AG932" s="27"/>
    </row>
    <row r="933" ht="15.75" customHeight="1">
      <c r="AG933" s="27"/>
    </row>
    <row r="934" ht="15.75" customHeight="1">
      <c r="AG934" s="27"/>
    </row>
    <row r="935" ht="15.75" customHeight="1">
      <c r="AG935" s="27"/>
    </row>
    <row r="936" ht="15.75" customHeight="1">
      <c r="AG936" s="27"/>
    </row>
    <row r="937" ht="15.75" customHeight="1">
      <c r="AG937" s="27"/>
    </row>
    <row r="938" ht="15.75" customHeight="1">
      <c r="AG938" s="27"/>
    </row>
    <row r="939" ht="15.75" customHeight="1">
      <c r="AG939" s="27"/>
    </row>
    <row r="940" ht="15.75" customHeight="1">
      <c r="AG940" s="27"/>
    </row>
    <row r="941" ht="15.75" customHeight="1">
      <c r="AG941" s="27"/>
    </row>
    <row r="942" ht="15.75" customHeight="1">
      <c r="AG942" s="27"/>
    </row>
    <row r="943" ht="15.75" customHeight="1">
      <c r="AG943" s="27"/>
    </row>
    <row r="944" ht="15.75" customHeight="1">
      <c r="AG944" s="27"/>
    </row>
    <row r="945" ht="15.75" customHeight="1">
      <c r="AG945" s="27"/>
    </row>
    <row r="946" ht="15.75" customHeight="1">
      <c r="AG946" s="27"/>
    </row>
    <row r="947" ht="15.75" customHeight="1">
      <c r="AG947" s="27"/>
    </row>
    <row r="948" ht="15.75" customHeight="1">
      <c r="AG948" s="27"/>
    </row>
    <row r="949" ht="15.75" customHeight="1">
      <c r="AG949" s="27"/>
    </row>
    <row r="950" ht="15.75" customHeight="1">
      <c r="AG950" s="27"/>
    </row>
    <row r="951" ht="15.75" customHeight="1">
      <c r="AG951" s="27"/>
    </row>
    <row r="952" ht="15.75" customHeight="1">
      <c r="AG952" s="27"/>
    </row>
    <row r="953" ht="15.75" customHeight="1">
      <c r="AG953" s="27"/>
    </row>
    <row r="954" ht="15.75" customHeight="1">
      <c r="AG954" s="27"/>
    </row>
    <row r="955" ht="15.75" customHeight="1">
      <c r="AG955" s="27"/>
    </row>
    <row r="956" ht="15.75" customHeight="1">
      <c r="AG956" s="27"/>
    </row>
    <row r="957" ht="15.75" customHeight="1">
      <c r="AG957" s="27"/>
    </row>
    <row r="958" ht="15.75" customHeight="1">
      <c r="AG958" s="27"/>
    </row>
    <row r="959" ht="15.75" customHeight="1">
      <c r="AG959" s="27"/>
    </row>
    <row r="960" ht="15.75" customHeight="1">
      <c r="AG960" s="27"/>
    </row>
    <row r="961" ht="15.75" customHeight="1">
      <c r="AG961" s="27"/>
    </row>
    <row r="962" ht="15.75" customHeight="1">
      <c r="AG962" s="27"/>
    </row>
    <row r="963" ht="15.75" customHeight="1">
      <c r="AG963" s="27"/>
    </row>
    <row r="964" ht="15.75" customHeight="1">
      <c r="AG964" s="27"/>
    </row>
    <row r="965" ht="15.75" customHeight="1">
      <c r="AG965" s="27"/>
    </row>
    <row r="966" ht="15.75" customHeight="1">
      <c r="AG966" s="27"/>
    </row>
    <row r="967" ht="15.75" customHeight="1">
      <c r="AG967" s="27"/>
    </row>
    <row r="968" ht="15.75" customHeight="1">
      <c r="AG968" s="27"/>
    </row>
    <row r="969" ht="15.75" customHeight="1">
      <c r="AG969" s="27"/>
    </row>
    <row r="970" ht="15.75" customHeight="1">
      <c r="AG970" s="27"/>
    </row>
    <row r="971" ht="15.75" customHeight="1">
      <c r="AG971" s="27"/>
    </row>
    <row r="972" ht="15.75" customHeight="1">
      <c r="AG972" s="27"/>
    </row>
    <row r="973" ht="15.75" customHeight="1">
      <c r="AG973" s="27"/>
    </row>
    <row r="974" ht="15.75" customHeight="1">
      <c r="AG974" s="27"/>
    </row>
    <row r="975" ht="15.75" customHeight="1">
      <c r="AG975" s="27"/>
    </row>
    <row r="976" ht="15.75" customHeight="1">
      <c r="AG976" s="27"/>
    </row>
    <row r="977" ht="15.75" customHeight="1">
      <c r="AG977" s="27"/>
    </row>
    <row r="978" ht="15.75" customHeight="1">
      <c r="AG978" s="27"/>
    </row>
    <row r="979" ht="15.75" customHeight="1">
      <c r="AG979" s="27"/>
    </row>
    <row r="980" ht="15.75" customHeight="1">
      <c r="AG980" s="27"/>
    </row>
    <row r="981" ht="15.75" customHeight="1">
      <c r="AG981" s="27"/>
    </row>
    <row r="982" ht="15.75" customHeight="1">
      <c r="AG982" s="27"/>
    </row>
    <row r="983" ht="15.75" customHeight="1">
      <c r="AG983" s="27"/>
    </row>
    <row r="984" ht="15.75" customHeight="1">
      <c r="AG984" s="27"/>
    </row>
    <row r="985" ht="15.75" customHeight="1">
      <c r="AG985" s="27"/>
    </row>
    <row r="986" ht="15.75" customHeight="1">
      <c r="AG986" s="27"/>
    </row>
    <row r="987" ht="15.75" customHeight="1">
      <c r="AG987" s="27"/>
    </row>
    <row r="988" ht="15.75" customHeight="1">
      <c r="AG988" s="27"/>
    </row>
    <row r="989" ht="15.75" customHeight="1">
      <c r="AG989" s="27"/>
    </row>
    <row r="990" ht="15.75" customHeight="1">
      <c r="AG990" s="27"/>
    </row>
    <row r="991" ht="15.75" customHeight="1">
      <c r="AG991" s="27"/>
    </row>
    <row r="992" ht="15.75" customHeight="1">
      <c r="AG992" s="27"/>
    </row>
    <row r="993" ht="15.75" customHeight="1">
      <c r="AG993" s="27"/>
    </row>
    <row r="994" ht="15.75" customHeight="1">
      <c r="AG994" s="27"/>
    </row>
    <row r="995" ht="15.75" customHeight="1">
      <c r="AG995" s="27"/>
    </row>
    <row r="996" ht="15.75" customHeight="1">
      <c r="AG996" s="27"/>
    </row>
    <row r="997" ht="15.75" customHeight="1">
      <c r="AG997" s="27"/>
    </row>
    <row r="998" ht="15.75" customHeight="1">
      <c r="AG998" s="27"/>
    </row>
    <row r="999" ht="15.75" customHeight="1">
      <c r="AG999" s="27"/>
    </row>
    <row r="1000" ht="15.75" customHeight="1">
      <c r="AG1000" s="27"/>
    </row>
  </sheetData>
  <mergeCells count="18">
    <mergeCell ref="P6:AB6"/>
    <mergeCell ref="P22:AB22"/>
    <mergeCell ref="AD22:AD36"/>
    <mergeCell ref="P38:AB38"/>
    <mergeCell ref="P54:AB54"/>
    <mergeCell ref="AD54:AD58"/>
    <mergeCell ref="AD60:AD74"/>
    <mergeCell ref="AD156:AD161"/>
    <mergeCell ref="AD169:AD174"/>
    <mergeCell ref="AD176:AD191"/>
    <mergeCell ref="P60:AB60"/>
    <mergeCell ref="P76:AB76"/>
    <mergeCell ref="P92:AB92"/>
    <mergeCell ref="AD108:AD122"/>
    <mergeCell ref="P156:AB156"/>
    <mergeCell ref="P163:AB163"/>
    <mergeCell ref="P169:AB169"/>
    <mergeCell ref="P176:AB176"/>
  </mergeCells>
  <dataValidations>
    <dataValidation type="list" allowBlank="1" showErrorMessage="1" sqref="AF6 AF22:AF29 AF38 AF54 AF60 AF76 AF92:AF93 AF108 AF124 AF140:AF141 AF156:AF158 AF163 AF169:AF171 AF176:AF178">
      <formula1>'Цели'!$V$4:$V$5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41.29"/>
    <col customWidth="1" min="3" max="3" width="11.86"/>
    <col customWidth="1" min="4" max="4" width="11.29"/>
    <col customWidth="1" min="5" max="5" width="2.43"/>
    <col customWidth="1" min="6" max="6" width="11.86"/>
    <col customWidth="1" min="7" max="7" width="11.29"/>
    <col customWidth="1" min="8" max="8" width="2.43"/>
    <col customWidth="1" min="9" max="9" width="11.86"/>
    <col customWidth="1" min="10" max="10" width="11.29"/>
    <col customWidth="1" min="11" max="11" width="2.43"/>
    <col customWidth="1" min="12" max="12" width="16.29"/>
    <col customWidth="1" min="13" max="26" width="9.14"/>
  </cols>
  <sheetData>
    <row r="1" ht="20.2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0.25" customHeight="1">
      <c r="A2" s="42"/>
      <c r="B2" s="180" t="s">
        <v>126</v>
      </c>
      <c r="C2" s="181"/>
      <c r="D2" s="181"/>
      <c r="E2" s="182"/>
      <c r="F2" s="181"/>
      <c r="G2" s="181"/>
      <c r="H2" s="182"/>
      <c r="I2" s="181"/>
      <c r="J2" s="181"/>
      <c r="K2" s="42"/>
      <c r="L2" s="3" t="s">
        <v>1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20.25" customHeight="1">
      <c r="A3" s="42"/>
      <c r="B3" s="183"/>
      <c r="C3" s="184" t="s">
        <v>127</v>
      </c>
      <c r="D3" s="6"/>
      <c r="E3" s="42"/>
      <c r="F3" s="184" t="s">
        <v>2</v>
      </c>
      <c r="G3" s="6"/>
      <c r="H3" s="42"/>
      <c r="I3" s="184" t="s">
        <v>3</v>
      </c>
      <c r="J3" s="6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0.25" customHeight="1">
      <c r="A4" s="42"/>
      <c r="B4" s="185"/>
      <c r="C4" s="185">
        <v>2026.0</v>
      </c>
      <c r="D4" s="185">
        <v>2027.0</v>
      </c>
      <c r="E4" s="42"/>
      <c r="F4" s="185">
        <v>2026.0</v>
      </c>
      <c r="G4" s="185">
        <v>2027.0</v>
      </c>
      <c r="H4" s="42"/>
      <c r="I4" s="185">
        <v>2026.0</v>
      </c>
      <c r="J4" s="185">
        <v>2027.0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20.25" customHeight="1">
      <c r="A5" s="42"/>
      <c r="B5" s="186" t="s">
        <v>12</v>
      </c>
      <c r="C5" s="187">
        <f t="shared" ref="C5:D5" si="1">F5+I5</f>
        <v>20483.24786</v>
      </c>
      <c r="D5" s="188">
        <f t="shared" si="1"/>
        <v>51113.58912</v>
      </c>
      <c r="E5" s="42"/>
      <c r="F5" s="187">
        <f>'Расчёты'!O9</f>
        <v>4840.536862</v>
      </c>
      <c r="G5" s="188">
        <f>'Расчёты'!AB9</f>
        <v>16907.57316</v>
      </c>
      <c r="H5" s="42"/>
      <c r="I5" s="187">
        <f>'Расчёты'!O15</f>
        <v>15642.711</v>
      </c>
      <c r="J5" s="188">
        <f>'Расчёты'!AB15</f>
        <v>34206.01596</v>
      </c>
      <c r="K5" s="42"/>
      <c r="L5" s="189" t="s">
        <v>9</v>
      </c>
      <c r="M5" s="27" t="str">
        <f>IF(L5="Нет", " ", "Для Community и Education выручку заберите с листа Расчёты из таблицы 10. Выручка Итого рассчитывается путём сложения выручки Community и Education")</f>
        <v> </v>
      </c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20.25" customHeight="1">
      <c r="A6" s="42"/>
      <c r="B6" s="190" t="s">
        <v>128</v>
      </c>
      <c r="C6" s="191">
        <f t="shared" ref="C6:D6" si="2">F6+I6</f>
        <v>27500</v>
      </c>
      <c r="D6" s="192">
        <f t="shared" si="2"/>
        <v>39124.04</v>
      </c>
      <c r="E6" s="42"/>
      <c r="F6" s="191">
        <f>'Расчёты'!O57+'Расчёты'!O63+'Расчёты'!O172+'Расчёты'!O179</f>
        <v>10898</v>
      </c>
      <c r="G6" s="192">
        <f>'Расчёты'!AB57+'Расчёты'!AB63+'Расчёты'!AB172+'Расчёты'!AB179</f>
        <v>11414.24</v>
      </c>
      <c r="H6" s="42"/>
      <c r="I6" s="191">
        <f>'Расчёты'!O58+'Расчёты'!O69+'Расчёты'!O173+'Расчёты'!O184</f>
        <v>16602</v>
      </c>
      <c r="J6" s="192">
        <f>'Расчёты'!AB58+'Расчёты'!AB69+'Расчёты'!AB173+'Расчёты'!AB184</f>
        <v>27709.8</v>
      </c>
      <c r="K6" s="42"/>
      <c r="L6" s="189" t="s">
        <v>9</v>
      </c>
      <c r="M6" s="27" t="str">
        <f>IF(L6="Нет", " ", "Для Community и Education в себестоимость заберите расходы на аутсорс-разработку под ключ (таб.11), расходы на поддерж.персонал (таб.12), расходы на оборуд. (таб.15) и расходы на софт (таб.16) с листа Расчёты. Итого = Community + Education")</f>
        <v> </v>
      </c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20.25" customHeight="1">
      <c r="A7" s="42"/>
      <c r="B7" s="190" t="s">
        <v>129</v>
      </c>
      <c r="C7" s="193">
        <f t="shared" ref="C7:D7" si="3">C5-C6</f>
        <v>-7016.752136</v>
      </c>
      <c r="D7" s="194">
        <f t="shared" si="3"/>
        <v>11989.54912</v>
      </c>
      <c r="E7" s="42"/>
      <c r="F7" s="193">
        <f t="shared" ref="F7:G7" si="4">F5-F6</f>
        <v>-6057.463138</v>
      </c>
      <c r="G7" s="194">
        <f t="shared" si="4"/>
        <v>5493.333162</v>
      </c>
      <c r="H7" s="42"/>
      <c r="I7" s="193">
        <f t="shared" ref="I7:J7" si="5">I5-I6</f>
        <v>-959.2889981</v>
      </c>
      <c r="J7" s="194">
        <f t="shared" si="5"/>
        <v>6496.215959</v>
      </c>
      <c r="K7" s="42"/>
      <c r="L7" s="189" t="s">
        <v>9</v>
      </c>
      <c r="M7" s="27" t="str">
        <f>IF(L7="Нет", " ", "Показатель рассчитывается по формуле Выручка - Себестоимость")</f>
        <v> 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20.25" customHeight="1">
      <c r="A8" s="42"/>
      <c r="B8" s="190" t="s">
        <v>130</v>
      </c>
      <c r="C8" s="195">
        <f t="shared" ref="C8:D8" si="6">C7/C5</f>
        <v>-0.3425605247</v>
      </c>
      <c r="D8" s="196">
        <f t="shared" si="6"/>
        <v>0.2345667625</v>
      </c>
      <c r="E8" s="42"/>
      <c r="F8" s="195">
        <f t="shared" ref="F8:G8" si="7">F7/F5</f>
        <v>-1.251403163</v>
      </c>
      <c r="G8" s="196">
        <f t="shared" si="7"/>
        <v>0.324903705</v>
      </c>
      <c r="H8" s="42"/>
      <c r="I8" s="195">
        <f t="shared" ref="I8:J8" si="8">I7/I5</f>
        <v>-0.06132498376</v>
      </c>
      <c r="J8" s="196">
        <f t="shared" si="8"/>
        <v>0.1899144281</v>
      </c>
      <c r="K8" s="42"/>
      <c r="L8" s="189" t="s">
        <v>9</v>
      </c>
      <c r="M8" s="27" t="str">
        <f>IF(L8="Нет", " ", "Показатель рассчитывается по формуле Валовая прибыль / Выручка")</f>
        <v> 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20.25" customHeight="1">
      <c r="A9" s="42"/>
      <c r="B9" s="190" t="s">
        <v>131</v>
      </c>
      <c r="C9" s="193">
        <f t="shared" ref="C9:D9" si="9">SUM(C10:C14)</f>
        <v>8974.13</v>
      </c>
      <c r="D9" s="194">
        <f t="shared" si="9"/>
        <v>9695.0776</v>
      </c>
      <c r="E9" s="42"/>
      <c r="F9" s="193">
        <f t="shared" ref="F9:G9" si="10">SUM(F10:F14)</f>
        <v>3744.98</v>
      </c>
      <c r="G9" s="194">
        <f t="shared" si="10"/>
        <v>4004.6624</v>
      </c>
      <c r="H9" s="42"/>
      <c r="I9" s="193">
        <f t="shared" ref="I9:J9" si="11">SUM(I10:I14)</f>
        <v>3802.02</v>
      </c>
      <c r="J9" s="194">
        <f t="shared" si="11"/>
        <v>4167.618</v>
      </c>
      <c r="K9" s="42"/>
      <c r="L9" s="189" t="s">
        <v>9</v>
      </c>
      <c r="M9" s="27" t="str">
        <f>IF(L9="Нет", " ", "Показатель рассчитывается по формуле Расходы на персонал + Аренда + Реклама и маркетинг + Оборудование и сфот + Прочие и непредвиденные расходы")</f>
        <v> 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20.25" customHeight="1">
      <c r="A10" s="42"/>
      <c r="B10" s="197" t="s">
        <v>132</v>
      </c>
      <c r="C10" s="31">
        <f>'Расчёты'!O74</f>
        <v>648</v>
      </c>
      <c r="D10" s="33">
        <f>'Расчёты'!AB74</f>
        <v>697.92</v>
      </c>
      <c r="E10" s="42"/>
      <c r="F10" s="31">
        <v>0.0</v>
      </c>
      <c r="G10" s="33">
        <v>0.0</v>
      </c>
      <c r="H10" s="42"/>
      <c r="I10" s="31">
        <v>0.0</v>
      </c>
      <c r="J10" s="33">
        <v>0.0</v>
      </c>
      <c r="K10" s="42"/>
      <c r="L10" s="189" t="s">
        <v>9</v>
      </c>
      <c r="M10" s="27" t="str">
        <f>IF(L10="Нет", " ", "Для Community и Education расходов на персонал в опер.расходах нет, т.к.они все в себестоимости. В Расходы на персонал Итого заберите расходы на бухгалтера из таблицы 12 с листа Расчёты")</f>
        <v> 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20.25" customHeight="1">
      <c r="A11" s="42"/>
      <c r="B11" s="197" t="s">
        <v>113</v>
      </c>
      <c r="C11" s="31">
        <f>'Расчёты'!O160+'Расчёты'!O161</f>
        <v>675</v>
      </c>
      <c r="D11" s="33">
        <f>'Расчёты'!AB160+'Расчёты'!AB161</f>
        <v>717</v>
      </c>
      <c r="E11" s="42"/>
      <c r="F11" s="31">
        <v>0.0</v>
      </c>
      <c r="G11" s="33">
        <v>0.0</v>
      </c>
      <c r="H11" s="42"/>
      <c r="I11" s="31">
        <v>0.0</v>
      </c>
      <c r="J11" s="33">
        <v>0.0</v>
      </c>
      <c r="K11" s="42"/>
      <c r="L11" s="189" t="s">
        <v>9</v>
      </c>
      <c r="M11" s="27" t="str">
        <f>IF(L11="Нет", " ", "Расходы на аренду не распределены на Community и Education. Поэтому все расходы на аренду из таблицы 13 с листа Расчёты заберите в Расходы на аренду Итого ")</f>
        <v> 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20.25" customHeight="1">
      <c r="A12" s="42"/>
      <c r="B12" s="197" t="s">
        <v>133</v>
      </c>
      <c r="C12" s="31">
        <f t="shared" ref="C12:D12" si="12">F12+I12</f>
        <v>7200</v>
      </c>
      <c r="D12" s="33">
        <f t="shared" si="12"/>
        <v>7704</v>
      </c>
      <c r="E12" s="42"/>
      <c r="F12" s="31">
        <f>'Расчёты'!O166</f>
        <v>3600</v>
      </c>
      <c r="G12" s="33">
        <f>'Расчёты'!AB166</f>
        <v>3852</v>
      </c>
      <c r="H12" s="42"/>
      <c r="I12" s="31">
        <f>'Расчёты'!O167</f>
        <v>3600</v>
      </c>
      <c r="J12" s="33">
        <f>'Расчёты'!AB167</f>
        <v>3852</v>
      </c>
      <c r="K12" s="42"/>
      <c r="L12" s="189" t="s">
        <v>9</v>
      </c>
      <c r="M12" s="27" t="str">
        <f>IF(L12="Нет", " ", "Для Community и Education расходы на рекламу заберите с листа Расчёты из таблицы 14. Расходы на рекламу и маркетинг Итого рассчитывается путём сложения расходов на рекламу и маркетинг Community и Education")</f>
        <v> 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0.25" customHeight="1">
      <c r="A13" s="42"/>
      <c r="B13" s="197" t="s">
        <v>134</v>
      </c>
      <c r="C13" s="31">
        <f>'Расчёты'!O174+'Расчёты'!O189</f>
        <v>90</v>
      </c>
      <c r="D13" s="33">
        <f>'Расчёты'!AB174+'Расчёты'!AB189</f>
        <v>92.8</v>
      </c>
      <c r="E13" s="42"/>
      <c r="F13" s="31">
        <v>0.0</v>
      </c>
      <c r="G13" s="33">
        <v>0.0</v>
      </c>
      <c r="H13" s="42"/>
      <c r="I13" s="31">
        <v>0.0</v>
      </c>
      <c r="J13" s="33">
        <v>0.0</v>
      </c>
      <c r="K13" s="42"/>
      <c r="L13" s="189" t="s">
        <v>9</v>
      </c>
      <c r="M13" s="27" t="str">
        <f>IF(L13="Нет", " ", "Расходы включают в себя расходы Бухгалтерии, указанные в таблицах 15 и 16. Расходы Community и Education должны быть отражены в себестоимости.")</f>
        <v> 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20.25" customHeight="1">
      <c r="A14" s="42"/>
      <c r="B14" s="197" t="s">
        <v>135</v>
      </c>
      <c r="C14" s="31">
        <f t="shared" ref="C14:D14" si="13">(C6+C10+C11+C12+C13)*1%</f>
        <v>361.13</v>
      </c>
      <c r="D14" s="33">
        <f t="shared" si="13"/>
        <v>483.3576</v>
      </c>
      <c r="E14" s="42"/>
      <c r="F14" s="31">
        <f t="shared" ref="F14:G14" si="14">(F6+F10+F11+F12+F13)*1%</f>
        <v>144.98</v>
      </c>
      <c r="G14" s="33">
        <f t="shared" si="14"/>
        <v>152.6624</v>
      </c>
      <c r="H14" s="42"/>
      <c r="I14" s="31">
        <f t="shared" ref="I14:J14" si="15">(I6+I10+I11+I12+I13)*1%</f>
        <v>202.02</v>
      </c>
      <c r="J14" s="33">
        <f t="shared" si="15"/>
        <v>315.618</v>
      </c>
      <c r="K14" s="42"/>
      <c r="L14" s="189" t="s">
        <v>9</v>
      </c>
      <c r="M14" s="27" t="str">
        <f>IF(L14="Нет", " ", "Показатель рассчитывается по формуле (Себестоимость + Расходы на персонал + Аренда + Реклама и маркетинг + Оборудование и софт) * 1%")</f>
        <v> 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20.25" customHeight="1">
      <c r="A15" s="42"/>
      <c r="B15" s="190" t="s">
        <v>136</v>
      </c>
      <c r="C15" s="193">
        <f t="shared" ref="C15:D15" si="16">C7-C9</f>
        <v>-15990.88214</v>
      </c>
      <c r="D15" s="194">
        <f t="shared" si="16"/>
        <v>2294.471521</v>
      </c>
      <c r="E15" s="42"/>
      <c r="F15" s="193">
        <f t="shared" ref="F15:G15" si="17">F7-F9</f>
        <v>-9802.443138</v>
      </c>
      <c r="G15" s="194">
        <f t="shared" si="17"/>
        <v>1488.670762</v>
      </c>
      <c r="H15" s="42"/>
      <c r="I15" s="193">
        <f t="shared" ref="I15:J15" si="18">I7-I9</f>
        <v>-4761.308998</v>
      </c>
      <c r="J15" s="194">
        <f t="shared" si="18"/>
        <v>2328.597959</v>
      </c>
      <c r="K15" s="42"/>
      <c r="L15" s="189" t="s">
        <v>9</v>
      </c>
      <c r="M15" s="27" t="str">
        <f>IF(L15="Нет", " ", "Показатель рассчитывается по формуле Валовая прибыль - Операционные расходы")</f>
        <v> 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20.25" customHeight="1">
      <c r="A16" s="42"/>
      <c r="B16" s="190" t="s">
        <v>137</v>
      </c>
      <c r="C16" s="195">
        <f t="shared" ref="C16:D16" si="19">C15/C5</f>
        <v>-0.7806809859</v>
      </c>
      <c r="D16" s="196">
        <f t="shared" si="19"/>
        <v>0.04488965774</v>
      </c>
      <c r="E16" s="42"/>
      <c r="F16" s="195">
        <f t="shared" ref="F16:G16" si="20">F15/F5</f>
        <v>-2.025073544</v>
      </c>
      <c r="G16" s="196">
        <f t="shared" si="20"/>
        <v>0.08804757183</v>
      </c>
      <c r="H16" s="42"/>
      <c r="I16" s="195">
        <f t="shared" ref="I16:J16" si="21">I15/I5</f>
        <v>-0.3043787613</v>
      </c>
      <c r="J16" s="196">
        <f t="shared" si="21"/>
        <v>0.06807568475</v>
      </c>
      <c r="K16" s="42"/>
      <c r="L16" s="189" t="s">
        <v>9</v>
      </c>
      <c r="M16" s="27" t="str">
        <f>IF(L16="Нет", " ", "Показатель рассчитывается по формуле Операционная прибыль / Выручка")</f>
        <v> 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20.25" customHeight="1">
      <c r="A17" s="42"/>
      <c r="B17" s="198" t="s">
        <v>138</v>
      </c>
      <c r="C17" s="31"/>
      <c r="D17" s="33">
        <f>D15*25%</f>
        <v>573.6178803</v>
      </c>
      <c r="E17" s="42"/>
      <c r="F17" s="31">
        <v>0.0</v>
      </c>
      <c r="G17" s="33">
        <v>0.0</v>
      </c>
      <c r="H17" s="42"/>
      <c r="I17" s="31">
        <v>0.0</v>
      </c>
      <c r="J17" s="33">
        <v>0.0</v>
      </c>
      <c r="K17" s="42"/>
      <c r="L17" s="189" t="s">
        <v>9</v>
      </c>
      <c r="M17" s="27" t="str">
        <f>IF(L17="Нет", " ", "Для Community и Education показатель не рассчитывается. Налог Итого рассчитывается по формуле Операционная прибыль * 25%")</f>
        <v> 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20.25" customHeight="1">
      <c r="A18" s="42"/>
      <c r="B18" s="190" t="s">
        <v>14</v>
      </c>
      <c r="C18" s="193">
        <f t="shared" ref="C18:D18" si="22">C15-C17</f>
        <v>-15990.88214</v>
      </c>
      <c r="D18" s="194">
        <f t="shared" si="22"/>
        <v>1720.853641</v>
      </c>
      <c r="E18" s="42"/>
      <c r="F18" s="193">
        <f t="shared" ref="F18:G18" si="23">F15-F17</f>
        <v>-9802.443138</v>
      </c>
      <c r="G18" s="194">
        <f t="shared" si="23"/>
        <v>1488.670762</v>
      </c>
      <c r="H18" s="42"/>
      <c r="I18" s="193">
        <f t="shared" ref="I18:J18" si="24">I15-I17</f>
        <v>-4761.308998</v>
      </c>
      <c r="J18" s="194">
        <f t="shared" si="24"/>
        <v>2328.597959</v>
      </c>
      <c r="K18" s="42"/>
      <c r="L18" s="189" t="s">
        <v>9</v>
      </c>
      <c r="M18" s="27" t="str">
        <f>IF(L18="Нет", " ", "Показатель рассчитывается по формуле Операционная прибыль - Налог на прибыль")</f>
        <v> 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20.25" customHeight="1">
      <c r="A19" s="42"/>
      <c r="B19" s="199" t="s">
        <v>15</v>
      </c>
      <c r="C19" s="200">
        <f t="shared" ref="C19:D19" si="25">C18/C5</f>
        <v>-0.7806809859</v>
      </c>
      <c r="D19" s="201">
        <f t="shared" si="25"/>
        <v>0.0336672433</v>
      </c>
      <c r="E19" s="42"/>
      <c r="F19" s="200">
        <f t="shared" ref="F19:G19" si="26">F18/F5</f>
        <v>-2.025073544</v>
      </c>
      <c r="G19" s="201">
        <f t="shared" si="26"/>
        <v>0.08804757183</v>
      </c>
      <c r="H19" s="42"/>
      <c r="I19" s="200">
        <f t="shared" ref="I19:J19" si="27">I18/I5</f>
        <v>-0.3043787613</v>
      </c>
      <c r="J19" s="201">
        <f t="shared" si="27"/>
        <v>0.06807568475</v>
      </c>
      <c r="K19" s="42"/>
      <c r="L19" s="189" t="s">
        <v>9</v>
      </c>
      <c r="M19" s="27" t="str">
        <f>IF(L19="Нет", " ", "Показатель рассчитывается по формуле Чистая прибыль / Выручка")</f>
        <v> 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20.25" customHeight="1">
      <c r="A20" s="42"/>
      <c r="B20" s="20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20.25" customHeight="1">
      <c r="A21" s="42"/>
      <c r="B21" s="20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20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20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20.2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20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20.2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20.2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20.25" customHeight="1">
      <c r="A28" s="42"/>
      <c r="B28" s="42"/>
      <c r="C28" s="203"/>
      <c r="D28" s="42"/>
      <c r="E28" s="42"/>
      <c r="F28" s="204"/>
      <c r="G28" s="42"/>
      <c r="H28" s="42"/>
      <c r="I28" s="20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20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20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20.2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20.2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20.2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20.2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20.2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20.2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20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20.2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20.2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20.2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20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20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20.2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20.2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20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20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20.2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20.2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20.2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20.2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20.2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20.2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20.2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20.2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20.2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20.2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20.2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20.2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20.2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20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20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20.2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20.2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20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20.2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20.2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20.2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20.2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20.2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20.2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20.2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20.2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20.2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20.2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20.2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20.2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20.2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20.2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20.2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20.2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20.2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20.2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20.2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20.2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20.2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20.2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20.2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20.2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20.2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20.2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20.2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20.2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20.2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20.2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20.2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20.2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20.2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20.2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20.2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20.2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20.2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20.2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20.2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20.2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20.2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20.2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20.2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20.2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20.2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20.2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20.2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20.2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20.2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20.2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20.2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20.2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20.2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20.2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20.2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20.2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20.2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20.2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20.2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20.2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20.2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20.2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20.2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20.2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20.2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20.2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20.2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20.2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20.2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20.2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20.2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20.2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20.2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20.2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20.2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20.2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20.2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20.2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20.2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20.2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20.2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20.2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20.2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20.2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20.2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20.2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20.2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20.2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20.2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20.2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20.2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20.2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20.2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20.2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20.2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20.2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20.2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20.2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20.2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20.2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20.2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20.2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20.2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20.2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20.2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20.2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20.2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20.2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20.2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20.2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20.2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20.2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20.2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20.2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20.2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20.2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20.2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20.2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20.2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20.2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20.2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20.2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20.2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20.2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20.2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20.2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20.2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20.2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20.2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20.2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20.2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20.2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20.2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20.2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20.2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20.2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20.2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20.2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20.2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20.2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20.2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20.2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20.2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20.2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20.2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20.2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20.2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20.2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20.2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20.2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20.2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20.2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20.2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20.2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20.2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20.2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20.2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20.2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20.2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20.2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20.2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20.2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20.2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20.2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20.2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20.2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20.2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20.2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20.2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20.2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20.2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20.2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20.2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20.2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20.2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20.2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20.2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20.2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20.2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20.2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20.2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20.2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20.2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20.2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20.2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20.2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20.2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20.2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20.2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20.2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20.2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20.2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20.2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20.2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20.2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20.2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20.2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20.2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20.2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20.2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20.2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20.2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20.2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20.2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20.2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20.2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20.2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20.2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20.2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20.2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20.2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20.2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20.2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20.2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20.2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20.2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20.2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20.2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20.2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20.2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20.2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20.2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20.2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20.2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20.2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20.2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20.2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20.2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20.2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20.2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20.2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20.2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20.2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20.2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20.2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20.2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20.2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20.2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20.2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20.2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20.2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20.2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20.2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20.2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20.2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20.2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20.2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20.2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20.2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20.2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20.2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20.2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20.2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20.2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20.2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20.2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20.2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20.2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20.2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20.2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20.2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20.2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20.2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20.2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20.2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20.2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20.2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20.2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20.2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20.2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20.2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20.2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20.2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20.2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20.2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20.2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20.2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20.2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20.2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20.2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20.2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20.2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20.2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20.2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20.2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20.2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20.2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20.2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20.2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20.2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20.2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20.2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20.2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20.2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20.2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20.2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20.2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20.2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20.2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20.2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20.2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20.2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20.2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20.2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20.2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20.2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20.2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20.2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20.2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20.2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20.2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20.2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20.2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20.2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20.2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20.2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20.2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20.2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20.2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20.2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20.2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20.2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20.2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20.2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20.2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20.2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20.2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20.2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20.2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20.2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20.2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20.2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20.2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20.2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20.2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20.2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20.2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20.2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20.2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20.2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20.2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20.2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20.2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20.2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20.2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20.2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20.2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20.2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20.2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20.2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20.2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20.2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20.2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20.2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20.2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20.2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20.2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20.2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20.2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20.2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20.2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20.2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20.2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20.2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20.2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20.2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20.2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20.2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20.2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20.2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20.2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20.2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20.2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20.2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20.2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20.2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20.2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20.2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20.2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20.2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20.2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20.2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20.2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20.2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20.2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20.2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20.2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20.2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20.2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20.2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20.2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20.2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20.2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20.2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20.2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20.2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20.2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20.2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20.2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20.2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20.2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20.2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20.2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20.2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20.2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20.2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20.2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20.2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20.2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20.2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20.2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20.2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20.2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20.2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20.2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20.2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20.2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20.2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20.2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20.2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20.2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20.2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20.2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20.2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20.2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20.2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20.2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20.2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20.2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20.2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20.2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20.2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20.2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20.2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20.2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20.2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20.2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20.2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20.2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20.2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20.2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20.2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20.2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20.2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20.2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20.2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20.2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20.2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20.2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20.2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20.2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20.2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20.2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20.2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20.2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20.2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20.2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20.2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20.2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20.2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20.2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20.2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20.2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20.2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20.2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20.2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20.2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20.2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20.2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20.2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20.2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20.2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20.2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20.2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20.2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20.2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20.2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20.2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20.2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20.2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20.2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20.2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20.2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20.2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20.2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20.2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20.2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20.2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20.2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20.2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20.2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20.2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20.2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20.2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20.2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20.2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20.2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20.2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20.2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20.2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20.2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20.2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20.2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20.2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20.2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20.2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20.2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20.2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20.2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20.2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20.2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20.2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20.2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20.2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20.2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20.2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20.2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20.2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20.2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20.2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20.2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20.2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20.2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20.2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20.2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20.2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20.2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20.2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20.2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20.2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20.2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20.2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20.2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20.2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20.2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20.2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20.2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20.2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20.2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20.2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20.2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20.2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20.2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20.2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20.2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20.2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20.2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20.2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20.2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20.2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20.2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20.2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20.2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20.2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20.2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20.2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20.2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20.2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20.2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20.2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20.2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20.2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20.2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20.2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20.2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20.2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20.2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20.2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20.2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20.2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20.2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20.2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20.2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20.2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20.2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20.2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20.2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20.2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20.2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20.2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20.2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20.2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20.2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20.2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20.2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20.2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20.2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20.2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20.2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20.2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20.2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20.2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20.2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20.2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20.2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20.2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20.2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20.2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20.2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20.2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20.2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20.2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20.2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20.2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20.2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20.2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20.2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20.2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20.2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20.2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20.2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20.2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20.2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20.2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20.2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20.2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20.2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20.2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20.2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20.2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20.2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20.2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20.2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20.2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20.2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20.2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20.2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20.2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20.2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20.2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20.2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20.2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20.2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20.2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20.2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20.2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20.2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20.2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20.2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20.2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20.2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20.2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20.2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20.2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20.2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20.2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20.2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20.2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20.2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20.2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20.2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20.2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20.2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20.2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20.2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20.2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20.2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20.2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20.2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20.2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20.2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20.2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20.2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20.2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20.2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20.2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20.2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20.2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20.2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20.2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20.2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20.2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20.2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20.2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20.2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20.2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20.2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20.2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20.2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20.2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20.2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20.2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20.2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20.2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20.2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20.2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20.2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20.2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20.2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20.2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20.2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20.2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20.2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20.2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20.2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20.2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20.2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20.2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20.2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20.2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20.2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20.2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20.2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20.2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20.2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20.2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20.2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20.2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20.2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20.2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20.2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20.2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20.2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20.2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20.2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20.2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20.2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20.2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20.2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20.2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20.2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20.2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20.2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20.2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20.2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20.2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20.2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20.2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20.2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20.2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20.2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20.2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20.2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20.2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20.2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20.2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20.2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20.2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20.2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20.2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20.2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20.2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20.2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20.2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20.2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20.2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20.2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20.2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20.2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20.2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20.2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20.2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20.2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20.2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20.2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20.2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20.2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20.2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20.2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20.2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20.2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20.2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20.2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20.2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20.2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20.2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20.2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20.2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20.2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20.2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20.2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20.2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20.2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20.2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20.2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20.2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20.2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20.2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20.2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20.2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20.2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20.2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20.2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20.2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20.2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20.2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20.2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20.2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20.2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20.2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20.2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20.2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20.2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20.2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20.2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20.2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20.2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20.2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20.2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20.2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20.2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20.2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20.2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20.2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20.2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20.2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20.2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20.2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20.2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20.2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20.2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20.2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20.2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20.2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20.2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20.2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20.2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20.2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20.2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20.2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20.2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20.2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20.2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20.2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20.2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20.2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20.2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20.2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20.2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20.2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20.2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20.2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20.2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20.2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20.2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20.2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20.2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20.2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20.2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20.2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20.2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20.2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20.2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20.2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20.2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20.2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20.2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20.2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20.2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20.2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20.2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20.2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20.2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20.2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20.2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20.2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20.2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20.2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20.2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20.2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20.2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20.2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20.2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20.2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20.2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20.2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20.2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20.2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20.2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20.2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20.2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20.2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20.2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20.2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20.2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20.2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20.2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20.2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20.2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20.2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20.2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20.2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20.2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20.2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20.2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20.2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20.2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20.2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20.2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20.2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20.2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20.2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20.2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20.2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20.2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20.2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20.2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20.2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20.2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20.2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20.2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20.2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20.2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20.2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20.2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20.2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20.2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20.2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20.2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20.2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20.2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20.2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20.2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20.2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20.2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20.2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20.2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20.2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20.2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20.2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20.2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20.2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20.2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20.2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20.2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20.2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20.2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20.2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20.2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20.2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20.2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20.2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20.2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20.2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20.2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20.2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3">
    <mergeCell ref="C3:D3"/>
    <mergeCell ref="F3:G3"/>
    <mergeCell ref="I3:J3"/>
  </mergeCells>
  <dataValidations>
    <dataValidation type="list" allowBlank="1" showErrorMessage="1" sqref="L5:L19">
      <formula1>'Цели'!$V$4:$V$5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5.29"/>
    <col customWidth="1" min="3" max="6" width="11.43"/>
    <col customWidth="1" min="7" max="8" width="13.29"/>
    <col customWidth="1" min="9" max="26" width="9.14"/>
  </cols>
  <sheetData>
    <row r="1" ht="20.2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0.25" customHeight="1">
      <c r="A2" s="42"/>
      <c r="B2" s="40" t="s">
        <v>139</v>
      </c>
      <c r="C2" s="39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20.25" customHeight="1">
      <c r="A3" s="42"/>
      <c r="B3" s="189"/>
      <c r="C3" s="205" t="s">
        <v>140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0.25" customHeight="1">
      <c r="A4" s="42"/>
      <c r="B4" s="189" t="s">
        <v>141</v>
      </c>
      <c r="C4" s="202" t="s">
        <v>142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20.25" customHeight="1">
      <c r="A5" s="42"/>
      <c r="B5" s="189" t="s">
        <v>143</v>
      </c>
      <c r="C5" s="202" t="s">
        <v>144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20.25" customHeight="1">
      <c r="A6" s="42"/>
      <c r="B6" s="189" t="s">
        <v>145</v>
      </c>
      <c r="C6" s="202" t="s">
        <v>146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20.25" customHeight="1">
      <c r="A7" s="42"/>
      <c r="B7" s="189" t="s">
        <v>147</v>
      </c>
      <c r="C7" s="202" t="s">
        <v>148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20.25" customHeight="1">
      <c r="A8" s="42"/>
      <c r="B8" s="189" t="s">
        <v>149</v>
      </c>
      <c r="C8" s="202" t="s">
        <v>150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20.25" customHeight="1">
      <c r="A9" s="42"/>
      <c r="B9" s="189" t="s">
        <v>151</v>
      </c>
      <c r="C9" s="202" t="s">
        <v>152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20.25" customHeight="1">
      <c r="A10" s="42"/>
      <c r="B10" s="189" t="s">
        <v>153</v>
      </c>
      <c r="C10" s="27" t="s">
        <v>154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20.25" customHeight="1">
      <c r="A11" s="42"/>
      <c r="B11" s="189" t="s">
        <v>155</v>
      </c>
      <c r="C11" s="27" t="s">
        <v>156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20.25" customHeight="1">
      <c r="A12" s="42"/>
      <c r="B12" s="189" t="s">
        <v>157</v>
      </c>
      <c r="C12" s="27" t="s">
        <v>158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0.25" customHeight="1">
      <c r="A13" s="42"/>
      <c r="B13" s="189" t="s">
        <v>159</v>
      </c>
      <c r="C13" s="202" t="s">
        <v>160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20.25" customHeight="1">
      <c r="A14" s="42"/>
      <c r="B14" s="189" t="s">
        <v>161</v>
      </c>
      <c r="C14" s="202" t="s">
        <v>162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20.25" customHeight="1">
      <c r="A15" s="42"/>
      <c r="B15" s="189" t="s">
        <v>163</v>
      </c>
      <c r="C15" s="202" t="s">
        <v>164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20.25" customHeight="1">
      <c r="A16" s="42"/>
      <c r="B16" s="189" t="s">
        <v>165</v>
      </c>
      <c r="C16" s="202" t="s">
        <v>166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20.25" customHeight="1">
      <c r="A17" s="42"/>
      <c r="B17" s="189" t="s">
        <v>167</v>
      </c>
      <c r="C17" s="202" t="s">
        <v>168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20.25" customHeight="1">
      <c r="A18" s="42"/>
      <c r="B18" s="189"/>
      <c r="C18" s="205" t="s">
        <v>169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20.25" customHeight="1">
      <c r="A19" s="42"/>
      <c r="B19" s="189" t="s">
        <v>170</v>
      </c>
      <c r="C19" s="202" t="s">
        <v>171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20.25" customHeight="1">
      <c r="A20" s="42"/>
      <c r="B20" s="189"/>
      <c r="C20" s="205" t="s">
        <v>172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20.25" customHeight="1">
      <c r="A21" s="42"/>
      <c r="B21" s="189" t="s">
        <v>173</v>
      </c>
      <c r="C21" s="202" t="s">
        <v>174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20.25" customHeight="1">
      <c r="A22" s="42"/>
      <c r="B22" s="189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20.25" customHeight="1">
      <c r="A23" s="42"/>
      <c r="B23" s="189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20.25" customHeight="1">
      <c r="A24" s="42"/>
      <c r="B24" s="189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20.25" customHeight="1">
      <c r="A25" s="42"/>
      <c r="B25" s="189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20.25" customHeight="1">
      <c r="A26" s="42"/>
      <c r="B26" s="189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20.25" customHeight="1">
      <c r="A27" s="42"/>
      <c r="B27" s="189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20.25" customHeight="1">
      <c r="A28" s="42"/>
      <c r="B28" s="189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20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20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20.2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20.2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20.2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20.2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20.2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20.2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20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20.2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20.2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20.2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20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20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20.2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20.2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20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20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20.2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20.2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20.2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20.2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20.2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20.2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20.2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20.2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20.2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20.2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20.2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20.2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20.2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20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20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20.2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20.2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20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20.2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20.2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20.2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20.2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20.2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20.2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20.2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20.2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20.2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20.2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20.2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20.2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20.2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20.2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20.2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20.2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20.2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20.2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20.2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20.2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20.2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20.2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20.2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20.2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20.2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20.2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20.2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20.2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20.2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20.2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20.2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20.2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20.2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20.2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20.2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20.2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20.2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20.2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20.2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20.2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20.2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20.2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20.2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20.2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20.2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20.2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20.2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20.2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20.2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20.2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20.2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20.2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20.2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20.2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20.2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20.2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20.2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20.2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20.2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20.2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20.2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20.2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20.2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20.2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20.2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20.2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20.2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20.2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20.2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20.2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20.2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20.2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20.2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20.2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20.2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20.2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20.2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20.2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20.2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20.2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20.2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20.2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20.2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20.2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20.2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20.2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20.2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20.2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20.2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20.2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20.2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20.2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20.2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20.2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20.2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20.2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20.2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20.2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20.2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20.2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20.2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20.2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20.2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20.2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20.2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20.2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20.2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20.2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20.2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20.2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20.2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20.2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20.2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20.2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20.2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20.2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20.2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20.2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20.2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20.2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20.2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20.2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20.2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20.2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20.2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20.2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20.2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20.2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20.2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20.2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20.2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20.2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20.2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20.2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20.2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20.2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20.2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20.2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20.2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20.2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20.2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20.2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20.2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20.2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20.2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20.2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20.2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20.2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20.2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20.2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20.2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20.2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20.2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20.2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20.2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20.2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20.2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20.2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20.2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20.2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20.2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20.2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20.2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20.2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20.2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20.2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20.2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20.2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20.2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20.2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20.2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20.2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20.2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20.2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20.2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20.2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20.2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20.2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20.2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20.2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20.2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20.2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20.2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20.2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20.2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20.2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20.2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20.2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20.2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20.2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20.2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20.2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20.2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20.2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20.2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20.2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20.2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20.2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20.2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20.2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20.2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20.2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20.2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20.2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20.2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20.2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20.2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20.2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20.2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20.2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20.2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20.2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20.2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20.2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20.2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20.2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20.2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20.2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20.2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20.2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20.2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20.2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20.2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20.2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20.2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20.2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20.2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20.2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20.2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20.2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20.2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20.2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20.2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20.2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20.2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20.2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20.2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20.2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20.2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20.2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20.2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20.2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20.2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20.2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20.2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20.2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20.2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20.2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20.2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20.2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20.2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20.2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20.2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20.2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20.2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20.2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20.2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20.2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20.2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20.2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20.2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20.2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20.2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20.2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20.2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20.2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20.2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20.2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20.2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20.2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20.2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20.2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20.2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20.2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20.2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20.2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20.2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20.2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20.2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20.2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20.2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20.2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20.2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20.2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20.2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20.2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20.2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20.2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20.2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20.2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20.2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20.2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20.2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20.2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20.2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20.2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20.2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20.2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20.2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20.2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20.2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20.2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20.2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20.2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20.2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20.2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20.2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20.2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20.2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20.2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20.2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20.2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20.2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20.2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20.2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20.2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20.2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20.2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20.2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20.2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20.2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20.2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20.2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20.2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20.2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20.2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20.2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20.2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20.2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20.2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20.2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20.2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20.2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20.2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20.2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20.2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20.2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20.2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20.2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20.2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20.2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20.2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20.2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20.2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20.2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20.2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20.2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20.2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20.2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20.2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20.2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20.2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20.2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20.2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20.2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20.2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20.2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20.2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20.2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20.2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20.2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20.2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20.2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20.2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20.2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20.2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20.2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20.2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20.2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20.2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20.2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20.2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20.2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20.2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20.2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20.2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20.2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20.2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20.2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20.2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20.2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20.2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20.2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20.2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20.2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20.2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20.2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20.2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20.2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20.2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20.2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20.2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20.2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20.2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20.2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20.2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20.2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20.2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20.2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20.2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20.2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20.2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20.2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20.2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20.2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20.2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20.2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20.2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20.2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20.2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20.2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20.2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20.2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20.2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20.2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20.2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20.2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20.2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20.2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20.2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20.2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20.2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20.2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20.2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20.2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20.2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20.2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20.2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20.2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20.2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20.2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20.2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20.2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20.2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20.2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20.2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20.2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20.2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20.2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20.2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20.2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20.2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20.2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20.2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20.2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20.2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20.2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20.2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20.2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20.2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20.2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20.2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20.2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20.2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20.2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20.2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20.2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20.2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20.2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20.2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20.2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20.2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20.2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20.2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20.2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20.2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20.2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20.2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20.2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20.2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20.2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20.2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20.2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20.2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20.2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20.2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20.2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20.2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20.2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20.2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20.2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20.2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20.2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20.2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20.2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20.2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20.2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20.2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20.2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20.2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20.2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20.2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20.2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20.2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20.2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20.2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20.2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20.2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20.2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20.2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20.2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20.2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20.2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20.2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20.2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20.2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20.2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20.2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20.2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20.2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20.2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20.2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20.2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20.2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20.2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20.2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20.2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20.2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20.2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20.2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20.2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20.2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20.2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20.2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20.2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20.2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20.2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20.2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20.2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20.2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20.2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20.2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20.2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20.2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20.2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20.2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20.2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20.2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20.2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20.2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20.2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20.2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20.2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20.2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20.2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20.2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20.2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20.2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20.2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20.2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20.2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20.2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20.2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20.2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20.2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20.2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20.2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20.2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20.2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20.2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20.2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20.2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20.2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20.2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20.2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20.2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20.2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20.2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20.2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20.2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20.2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20.2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20.2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20.2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20.2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20.2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20.2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20.2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20.2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20.2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20.2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20.2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20.2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20.2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20.2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20.2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20.2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20.2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20.2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20.2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20.2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20.2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20.2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20.2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20.2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20.2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20.2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20.2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20.2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20.2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20.2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20.2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20.2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20.2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20.2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20.2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20.2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20.2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20.2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20.2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20.2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20.2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20.2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20.2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20.2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20.2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20.2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20.2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20.2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20.2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20.2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20.2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20.2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20.2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20.2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20.2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20.2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20.2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20.2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20.2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20.2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20.2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20.2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20.2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20.2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20.2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20.2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20.2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20.2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20.2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20.2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20.2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20.2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20.2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20.2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20.2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20.2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20.2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20.2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20.2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20.2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20.2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20.2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20.2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20.2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20.2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20.2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20.2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20.2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20.2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20.2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20.2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20.2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20.2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20.2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20.2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20.2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20.2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20.2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20.2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20.2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20.2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20.2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20.2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20.2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20.2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20.2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20.2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20.2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20.2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20.2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20.2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20.2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20.2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20.2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20.2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20.2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20.2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20.2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20.2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20.2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20.2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20.2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20.2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20.2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20.2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20.2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20.2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20.2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20.2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20.2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20.2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20.2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20.2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20.2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20.2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20.2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20.2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20.2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20.2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20.2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20.2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20.2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20.2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20.2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20.2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20.2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20.2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20.2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20.2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20.2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20.2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20.2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20.2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20.2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20.2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20.2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20.2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20.2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20.2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20.2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20.2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20.2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20.2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20.2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20.2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20.2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20.2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20.2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20.2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20.2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20.2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20.2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20.2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20.2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20.2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20.2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20.2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20.2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20.2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20.2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20.2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20.2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20.2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20.2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20.2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20.2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20.2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20.2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20.2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20.2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20.2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20.2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20.2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20.2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20.2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20.2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20.2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20.2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20.2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20.2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20.2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20.2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20.2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20.2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20.2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20.2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20.2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20.2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20.2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20.2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20.2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20.2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20.2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20.2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20.2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20.2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20.2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20.2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20.2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20.2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20.2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20.2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20.2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20.2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20.2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20.2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20.2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20.2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20.2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20.2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20.2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20.2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20.2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20.2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20.2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20.2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20.2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20.2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20.2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20.2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20.2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20.2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20.2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20.2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20.2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20.2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20.2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20.2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20.2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20.2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20.2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20.2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20.2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20.2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20.2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20.2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20.2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20.2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20.2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20.2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20.2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20.2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20.2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20.2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20.2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20.2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20.2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20.2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20.2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20.2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20.2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20.2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20.2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20.2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20.2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20.2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20.2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20.2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20.2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20.2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20.2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20.2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20.2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20.2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20.2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20.2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20.2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20.2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20.2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20.2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20.2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20.2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20.2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20.2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20.2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20.2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20.2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20.2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20.2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20.2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20.2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20.2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20.2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20.2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20.2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20.2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20.2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20.2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20.2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20.2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20.2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20.2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20.2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20.2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20.2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20.2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20.2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20.2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20.2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20.2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20.2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20.2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20.2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20.2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20.2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20.2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20.2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20.2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20.2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20.2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20.2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20.2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20.2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20.2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20.2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20.2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20.2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20.2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20.2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20.2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20.2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20.2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20.2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20.2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20.2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20.2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20.2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20.2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20.2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20.2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20.2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20.2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20.2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20.2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20.2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20.2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20.2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20.2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20.2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20.2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20.2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20.2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20.2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20.2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20.2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86"/>
    <col customWidth="1" min="2" max="3" width="11.0"/>
    <col customWidth="1" min="4" max="4" width="1.43"/>
    <col customWidth="1" min="5" max="5" width="59.29"/>
    <col customWidth="1" min="6" max="7" width="9.14"/>
    <col customWidth="1" min="8" max="8" width="1.43"/>
    <col customWidth="1" min="9" max="9" width="50.71"/>
    <col customWidth="1" min="10" max="11" width="11.29"/>
    <col customWidth="1" min="12" max="12" width="41.14"/>
    <col customWidth="1" min="13" max="13" width="8.71"/>
  </cols>
  <sheetData>
    <row r="1">
      <c r="A1" s="206" t="s">
        <v>175</v>
      </c>
      <c r="B1" s="206"/>
      <c r="C1" s="206"/>
      <c r="D1" s="27"/>
      <c r="E1" s="206" t="s">
        <v>176</v>
      </c>
      <c r="F1" s="206"/>
      <c r="G1" s="206"/>
      <c r="H1" s="27"/>
      <c r="I1" s="206" t="s">
        <v>177</v>
      </c>
      <c r="J1" s="206" t="s">
        <v>178</v>
      </c>
      <c r="K1" s="206" t="s">
        <v>178</v>
      </c>
      <c r="L1" s="206" t="s">
        <v>179</v>
      </c>
      <c r="M1" s="206" t="s">
        <v>180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07"/>
      <c r="B2" s="207">
        <v>2023.0</v>
      </c>
      <c r="C2" s="207">
        <v>2022.0</v>
      </c>
      <c r="D2" s="27"/>
      <c r="E2" s="207"/>
      <c r="F2" s="207" t="s">
        <v>181</v>
      </c>
      <c r="G2" s="207" t="s">
        <v>182</v>
      </c>
      <c r="H2" s="27"/>
      <c r="I2" s="207"/>
      <c r="J2" s="207">
        <v>2023.0</v>
      </c>
      <c r="K2" s="207">
        <v>2022.0</v>
      </c>
      <c r="L2" s="207"/>
      <c r="M2" s="20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08" t="s">
        <v>12</v>
      </c>
      <c r="B3" s="209">
        <v>1.8798537120000002E8</v>
      </c>
      <c r="C3" s="209">
        <v>8.5447896E7</v>
      </c>
      <c r="D3" s="27"/>
      <c r="E3" s="209" t="s">
        <v>183</v>
      </c>
      <c r="F3" s="209">
        <v>3.972234956E7</v>
      </c>
      <c r="G3" s="209">
        <v>2.0510095200000003E7</v>
      </c>
      <c r="H3" s="27"/>
      <c r="I3" s="210" t="s">
        <v>184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11" t="s">
        <v>185</v>
      </c>
      <c r="B4" s="212">
        <v>5.639561136000001E7</v>
      </c>
      <c r="C4" s="212">
        <v>2.56343688E7</v>
      </c>
      <c r="D4" s="27"/>
      <c r="E4" s="213" t="s">
        <v>186</v>
      </c>
      <c r="F4" s="213">
        <v>1.19756E7</v>
      </c>
      <c r="G4" s="213">
        <v>7998000.0</v>
      </c>
      <c r="H4" s="27"/>
      <c r="I4" s="27" t="s">
        <v>187</v>
      </c>
      <c r="J4" s="214">
        <f t="shared" ref="J4:K4" si="1">B11/B3</f>
        <v>0.53</v>
      </c>
      <c r="K4" s="214">
        <f t="shared" si="1"/>
        <v>0.56</v>
      </c>
      <c r="L4" s="215" t="s">
        <v>188</v>
      </c>
      <c r="M4" s="27" t="s">
        <v>189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11" t="s">
        <v>190</v>
      </c>
      <c r="B5" s="212">
        <v>2.8197805680000003E7</v>
      </c>
      <c r="C5" s="212">
        <v>1.28171844E7</v>
      </c>
      <c r="D5" s="27"/>
      <c r="E5" s="212" t="s">
        <v>191</v>
      </c>
      <c r="F5" s="212">
        <v>3592680.0</v>
      </c>
      <c r="G5" s="212">
        <v>3199200.0</v>
      </c>
      <c r="H5" s="27"/>
      <c r="I5" s="27" t="s">
        <v>192</v>
      </c>
      <c r="J5" s="214">
        <f t="shared" ref="J5:K5" si="2">B18/B3</f>
        <v>0.23</v>
      </c>
      <c r="K5" s="214">
        <f t="shared" si="2"/>
        <v>0.26</v>
      </c>
      <c r="M5" s="27" t="s">
        <v>193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11" t="s">
        <v>194</v>
      </c>
      <c r="B6" s="212">
        <v>3.759707424E7</v>
      </c>
      <c r="C6" s="212">
        <v>1.70895792E7</v>
      </c>
      <c r="D6" s="27"/>
      <c r="E6" s="212" t="s">
        <v>195</v>
      </c>
      <c r="F6" s="212">
        <v>8382920.0</v>
      </c>
      <c r="G6" s="212">
        <v>4798800.0</v>
      </c>
      <c r="H6" s="216"/>
      <c r="I6" s="208" t="s">
        <v>196</v>
      </c>
      <c r="J6" s="214">
        <f t="shared" ref="J6:K6" si="3">B20/B3</f>
        <v>0.184</v>
      </c>
      <c r="K6" s="214">
        <f t="shared" si="3"/>
        <v>0.208</v>
      </c>
      <c r="M6" s="27" t="s">
        <v>197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17" t="s">
        <v>198</v>
      </c>
      <c r="B7" s="212">
        <v>6.5794879919999994E7</v>
      </c>
      <c r="C7" s="212">
        <v>2.9906763600000005E7</v>
      </c>
      <c r="D7" s="27"/>
      <c r="E7" s="218" t="s">
        <v>199</v>
      </c>
      <c r="F7" s="218">
        <v>0.0</v>
      </c>
      <c r="G7" s="218">
        <v>0.0</v>
      </c>
      <c r="H7" s="27"/>
      <c r="I7" s="27" t="s">
        <v>200</v>
      </c>
      <c r="J7" s="214">
        <f t="shared" ref="J7:K7" si="4">B20/B12</f>
        <v>0.6133333333</v>
      </c>
      <c r="K7" s="214">
        <f t="shared" si="4"/>
        <v>0.6933333333</v>
      </c>
      <c r="M7" s="27" t="s">
        <v>201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08" t="s">
        <v>128</v>
      </c>
      <c r="B8" s="209">
        <v>8.8353124464E7</v>
      </c>
      <c r="C8" s="209">
        <v>3.759707424E7</v>
      </c>
      <c r="D8" s="27"/>
      <c r="E8" s="212" t="s">
        <v>202</v>
      </c>
      <c r="F8" s="212" t="s">
        <v>202</v>
      </c>
      <c r="G8" s="212" t="s">
        <v>202</v>
      </c>
      <c r="H8" s="27"/>
      <c r="I8" s="27" t="s">
        <v>203</v>
      </c>
      <c r="J8" s="214">
        <f t="shared" ref="J8:K8" si="5">B20/F17</f>
        <v>1.312779275</v>
      </c>
      <c r="K8" s="214">
        <f t="shared" si="5"/>
        <v>1.205770307</v>
      </c>
      <c r="L8" s="27" t="s">
        <v>204</v>
      </c>
      <c r="M8" s="27" t="s">
        <v>205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17" t="s">
        <v>206</v>
      </c>
      <c r="B9" s="212">
        <v>8.8176418215072E7</v>
      </c>
      <c r="C9" s="212">
        <v>3.7521880091520004E7</v>
      </c>
      <c r="D9" s="27"/>
      <c r="E9" s="213" t="s">
        <v>207</v>
      </c>
      <c r="F9" s="213">
        <v>2.7746749560000006E7</v>
      </c>
      <c r="G9" s="213">
        <v>1.2512095200000001E7</v>
      </c>
      <c r="H9" s="27"/>
      <c r="I9" s="27" t="s">
        <v>208</v>
      </c>
      <c r="J9" s="214">
        <f t="shared" ref="J9:K9" si="6">B20/F3</f>
        <v>0.8707769979</v>
      </c>
      <c r="K9" s="214">
        <f t="shared" si="6"/>
        <v>0.8665567953</v>
      </c>
      <c r="L9" s="27" t="s">
        <v>209</v>
      </c>
      <c r="M9" s="27" t="s">
        <v>210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17" t="s">
        <v>211</v>
      </c>
      <c r="B10" s="212">
        <v>176706.24892800002</v>
      </c>
      <c r="C10" s="212">
        <v>75194.14848</v>
      </c>
      <c r="D10" s="27"/>
      <c r="E10" s="212" t="s">
        <v>212</v>
      </c>
      <c r="F10" s="212">
        <v>1181166.8</v>
      </c>
      <c r="G10" s="212">
        <v>536894.0</v>
      </c>
      <c r="H10" s="27"/>
      <c r="I10" s="210" t="s">
        <v>213</v>
      </c>
      <c r="J10" s="214"/>
      <c r="K10" s="214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19" t="s">
        <v>214</v>
      </c>
      <c r="B11" s="209">
        <v>9.963224673600002E7</v>
      </c>
      <c r="C11" s="209">
        <v>4.785082176E7</v>
      </c>
      <c r="D11" s="27"/>
      <c r="E11" s="212" t="s">
        <v>215</v>
      </c>
      <c r="F11" s="212">
        <v>3352800.0000000005</v>
      </c>
      <c r="G11" s="212">
        <v>1524000.0</v>
      </c>
      <c r="H11" s="27"/>
      <c r="I11" s="27" t="s">
        <v>216</v>
      </c>
      <c r="J11" s="220">
        <f>(((G25+F25)/2)/B8)*365</f>
        <v>23.08696815</v>
      </c>
      <c r="K11" s="220"/>
      <c r="L11" s="27" t="s">
        <v>217</v>
      </c>
      <c r="M11" s="27" t="s">
        <v>218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19" t="s">
        <v>131</v>
      </c>
      <c r="B12" s="209">
        <v>5.639561136000001E7</v>
      </c>
      <c r="C12" s="209">
        <v>2.56343688E7</v>
      </c>
      <c r="D12" s="27"/>
      <c r="E12" s="212" t="s">
        <v>219</v>
      </c>
      <c r="F12" s="212">
        <v>1.4563560000000002E7</v>
      </c>
      <c r="G12" s="212">
        <v>6619800.0</v>
      </c>
      <c r="H12" s="27"/>
      <c r="I12" s="27" t="s">
        <v>220</v>
      </c>
      <c r="J12" s="220">
        <f>(((G10+F10)/2)/B8)*365</f>
        <v>3.548783338</v>
      </c>
      <c r="K12" s="220"/>
      <c r="L12" s="27" t="s">
        <v>221</v>
      </c>
      <c r="M12" s="27" t="s">
        <v>222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11" t="s">
        <v>132</v>
      </c>
      <c r="B13" s="212">
        <v>2.004009504888E7</v>
      </c>
      <c r="C13" s="212">
        <v>8527700.0208</v>
      </c>
      <c r="D13" s="27"/>
      <c r="E13" s="212" t="s">
        <v>223</v>
      </c>
      <c r="F13" s="212">
        <v>3586000.0000000005</v>
      </c>
      <c r="G13" s="212">
        <v>1630000.0</v>
      </c>
      <c r="H13" s="27"/>
      <c r="I13" s="210" t="s">
        <v>224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11" t="s">
        <v>113</v>
      </c>
      <c r="B14" s="212">
        <v>3383736.6816000002</v>
      </c>
      <c r="C14" s="212">
        <v>1538062.128</v>
      </c>
      <c r="D14" s="27"/>
      <c r="E14" s="218" t="s">
        <v>225</v>
      </c>
      <c r="F14" s="218">
        <v>5063222.760000003</v>
      </c>
      <c r="G14" s="218">
        <v>2201401.200000001</v>
      </c>
      <c r="H14" s="27"/>
      <c r="I14" s="27" t="s">
        <v>226</v>
      </c>
      <c r="J14" s="220">
        <f t="shared" ref="J14:K14" si="7">F9/F25</f>
        <v>3.696110833</v>
      </c>
      <c r="K14" s="220">
        <f t="shared" si="7"/>
        <v>3.409285043</v>
      </c>
      <c r="L14" s="27" t="s">
        <v>227</v>
      </c>
      <c r="M14" s="27" t="s">
        <v>228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11" t="s">
        <v>133</v>
      </c>
      <c r="B15" s="212">
        <v>2.9889674020800006E7</v>
      </c>
      <c r="C15" s="212">
        <v>1.4098902840000002E7</v>
      </c>
      <c r="D15" s="27"/>
      <c r="E15" s="27"/>
      <c r="F15" s="27"/>
      <c r="G15" s="27"/>
      <c r="H15" s="27"/>
      <c r="I15" s="27" t="s">
        <v>229</v>
      </c>
      <c r="J15" s="220">
        <f t="shared" ref="J15:K15" si="8">(F9-F10)/F25</f>
        <v>3.538769037</v>
      </c>
      <c r="K15" s="220">
        <f t="shared" si="8"/>
        <v>3.262992623</v>
      </c>
      <c r="L15" s="27" t="s">
        <v>230</v>
      </c>
      <c r="M15" s="27" t="s">
        <v>231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11" t="s">
        <v>232</v>
      </c>
      <c r="B16" s="212">
        <v>2255824.4544</v>
      </c>
      <c r="C16" s="212">
        <v>1025374.7520000001</v>
      </c>
      <c r="D16" s="27"/>
      <c r="E16" s="209" t="s">
        <v>233</v>
      </c>
      <c r="F16" s="209">
        <v>3.385516464E7</v>
      </c>
      <c r="G16" s="209">
        <v>1.8410095200000003E7</v>
      </c>
      <c r="H16" s="27"/>
      <c r="I16" s="27" t="s">
        <v>234</v>
      </c>
      <c r="J16" s="221">
        <f t="shared" ref="J16:K16" si="9">F14/F25</f>
        <v>0.6744657587</v>
      </c>
      <c r="K16" s="221">
        <f t="shared" si="9"/>
        <v>0.599835924</v>
      </c>
      <c r="L16" s="27" t="s">
        <v>235</v>
      </c>
      <c r="M16" s="27" t="s">
        <v>236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11" t="s">
        <v>237</v>
      </c>
      <c r="B17" s="212">
        <v>826281.154319997</v>
      </c>
      <c r="C17" s="212">
        <v>444329.05920000025</v>
      </c>
      <c r="D17" s="27"/>
      <c r="E17" s="213" t="s">
        <v>238</v>
      </c>
      <c r="F17" s="213">
        <v>2.634815232E7</v>
      </c>
      <c r="G17" s="213">
        <v>1.4740089600000001E7</v>
      </c>
      <c r="H17" s="27"/>
      <c r="I17" s="210" t="s">
        <v>239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19" t="s">
        <v>240</v>
      </c>
      <c r="B18" s="209">
        <v>4.323663537600001E7</v>
      </c>
      <c r="C18" s="209">
        <v>2.2216452959999997E7</v>
      </c>
      <c r="D18" s="27"/>
      <c r="E18" s="212" t="s">
        <v>241</v>
      </c>
      <c r="F18" s="212">
        <v>132000.0</v>
      </c>
      <c r="G18" s="212">
        <v>60000.0</v>
      </c>
      <c r="H18" s="27"/>
      <c r="I18" s="27" t="s">
        <v>242</v>
      </c>
      <c r="J18" s="221">
        <f t="shared" ref="J18:K18" si="10">F17/F3</f>
        <v>0.663308002</v>
      </c>
      <c r="K18" s="221">
        <f t="shared" si="10"/>
        <v>0.7186748504</v>
      </c>
      <c r="L18" s="27" t="s">
        <v>243</v>
      </c>
      <c r="M18" s="27" t="s">
        <v>244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 t="s">
        <v>138</v>
      </c>
      <c r="B19" s="212">
        <v>8647327.075200003</v>
      </c>
      <c r="C19" s="212">
        <v>4443290.591999999</v>
      </c>
      <c r="D19" s="27"/>
      <c r="E19" s="212" t="s">
        <v>245</v>
      </c>
      <c r="F19" s="212">
        <v>5544000.0</v>
      </c>
      <c r="G19" s="212">
        <v>2520000.0</v>
      </c>
      <c r="H19" s="27"/>
      <c r="I19" s="27" t="s">
        <v>246</v>
      </c>
      <c r="J19" s="221">
        <f t="shared" ref="J19:K19" si="11">(F17+F22)/F3</f>
        <v>0.663308002</v>
      </c>
      <c r="K19" s="221">
        <f t="shared" si="11"/>
        <v>0.7186748504</v>
      </c>
      <c r="L19" s="27" t="s">
        <v>247</v>
      </c>
      <c r="M19" s="27" t="s">
        <v>248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19" t="s">
        <v>14</v>
      </c>
      <c r="B20" s="209">
        <v>3.458930830080001E7</v>
      </c>
      <c r="C20" s="209">
        <v>1.7773162367999997E7</v>
      </c>
      <c r="D20" s="27"/>
      <c r="E20" s="218" t="s">
        <v>249</v>
      </c>
      <c r="F20" s="218">
        <v>2.067215232E7</v>
      </c>
      <c r="G20" s="218">
        <v>1.2160089600000001E7</v>
      </c>
      <c r="H20" s="27"/>
      <c r="I20" s="27" t="s">
        <v>250</v>
      </c>
      <c r="J20" s="221">
        <f t="shared" ref="J20:K20" si="12">(F9-F25)/F9</f>
        <v>0.7294453426</v>
      </c>
      <c r="K20" s="221">
        <f t="shared" si="12"/>
        <v>0.7066833699</v>
      </c>
      <c r="L20" s="27" t="s">
        <v>251</v>
      </c>
      <c r="M20" s="27" t="s">
        <v>252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27"/>
      <c r="C21" s="27"/>
      <c r="D21" s="27"/>
      <c r="E21" s="212" t="s">
        <v>202</v>
      </c>
      <c r="F21" s="212" t="s">
        <v>202</v>
      </c>
      <c r="G21" s="212" t="s">
        <v>202</v>
      </c>
      <c r="H21" s="27"/>
      <c r="I21" s="27" t="s">
        <v>253</v>
      </c>
      <c r="J21" s="221">
        <f t="shared" ref="J21:K21" si="13">(F9-F25)/F17</f>
        <v>0.7681653345</v>
      </c>
      <c r="K21" s="221">
        <f t="shared" si="13"/>
        <v>0.5998667471</v>
      </c>
      <c r="L21" s="27" t="s">
        <v>254</v>
      </c>
      <c r="M21" s="27" t="s">
        <v>255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27"/>
      <c r="C22" s="27"/>
      <c r="D22" s="27"/>
      <c r="E22" s="213" t="s">
        <v>256</v>
      </c>
      <c r="F22" s="213">
        <v>0.0</v>
      </c>
      <c r="G22" s="213">
        <v>0.0</v>
      </c>
      <c r="H22" s="27"/>
      <c r="I22" s="210" t="s">
        <v>257</v>
      </c>
      <c r="J22" s="221"/>
      <c r="K22" s="221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27"/>
      <c r="C23" s="27"/>
      <c r="D23" s="27"/>
      <c r="E23" s="218" t="s">
        <v>258</v>
      </c>
      <c r="F23" s="218">
        <v>0.0</v>
      </c>
      <c r="G23" s="218">
        <v>0.0</v>
      </c>
      <c r="H23" s="27"/>
      <c r="I23" s="222" t="s">
        <v>259</v>
      </c>
      <c r="J23" s="223"/>
      <c r="K23" s="223"/>
      <c r="L23" s="224"/>
      <c r="M23" s="225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27"/>
      <c r="C24" s="27"/>
      <c r="D24" s="27"/>
      <c r="E24" s="212"/>
      <c r="F24" s="212"/>
      <c r="G24" s="212"/>
      <c r="H24" s="27"/>
      <c r="I24" s="226"/>
      <c r="L24" s="227"/>
      <c r="M24" s="225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13" t="s">
        <v>260</v>
      </c>
      <c r="F25" s="213">
        <v>7507012.32</v>
      </c>
      <c r="G25" s="213">
        <v>3670005.6</v>
      </c>
      <c r="H25" s="27"/>
      <c r="I25" s="228"/>
      <c r="J25" s="229"/>
      <c r="K25" s="229"/>
      <c r="L25" s="230"/>
      <c r="M25" s="225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12" t="s">
        <v>261</v>
      </c>
      <c r="F26" s="212">
        <v>1837012.3200000003</v>
      </c>
      <c r="G26" s="212">
        <v>835005.6000000001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18" t="s">
        <v>262</v>
      </c>
      <c r="F27" s="218">
        <v>5670000.0</v>
      </c>
      <c r="G27" s="218">
        <v>2835000.0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31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0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12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2">
    <mergeCell ref="L4:L7"/>
    <mergeCell ref="I23:L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2023-12-22T06:40:20Z</dcterms:created>
  <dc:creator>Arch Bin</dc:creator>
</cp:coreProperties>
</file>