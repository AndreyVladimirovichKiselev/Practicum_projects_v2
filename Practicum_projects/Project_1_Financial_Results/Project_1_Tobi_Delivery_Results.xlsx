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ndrey/Downloads/"/>
    </mc:Choice>
  </mc:AlternateContent>
  <xr:revisionPtr revIDLastSave="0" documentId="13_ncr:1_{EDDB2363-D941-8242-A7A4-6C9B9956956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Проект" sheetId="1" r:id="rId1"/>
    <sheet name="Вопросы по проект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8Y6kC3ZoCc34dsyCDUIfaG/ywQ4Lk19dUruvLEKrZ80="/>
    </ext>
  </extLst>
</workbook>
</file>

<file path=xl/calcChain.xml><?xml version="1.0" encoding="utf-8"?>
<calcChain xmlns="http://schemas.openxmlformats.org/spreadsheetml/2006/main">
  <c r="C162" i="1" l="1"/>
  <c r="C163" i="1" s="1"/>
  <c r="D158" i="1"/>
  <c r="G157" i="1"/>
  <c r="G156" i="1"/>
  <c r="G155" i="1"/>
  <c r="G154" i="1"/>
  <c r="H153" i="1"/>
  <c r="G152" i="1"/>
  <c r="D148" i="1"/>
  <c r="C148" i="1"/>
  <c r="G147" i="1"/>
  <c r="G146" i="1"/>
  <c r="G145" i="1"/>
  <c r="G144" i="1"/>
  <c r="F143" i="1"/>
  <c r="G143" i="1" s="1"/>
  <c r="G142" i="1"/>
  <c r="G141" i="1"/>
  <c r="F141" i="1"/>
  <c r="F151" i="1" s="1"/>
  <c r="E141" i="1"/>
  <c r="E151" i="1" s="1"/>
  <c r="E158" i="1" s="1"/>
  <c r="C141" i="1"/>
  <c r="C151" i="1" s="1"/>
  <c r="G138" i="1"/>
  <c r="G137" i="1"/>
  <c r="G136" i="1"/>
  <c r="G135" i="1"/>
  <c r="G134" i="1"/>
  <c r="G133" i="1"/>
  <c r="G132" i="1"/>
  <c r="G131" i="1"/>
  <c r="G120" i="1"/>
  <c r="F120" i="1"/>
  <c r="G119" i="1"/>
  <c r="F119" i="1"/>
  <c r="F117" i="1"/>
  <c r="F121" i="1" s="1"/>
  <c r="F112" i="1"/>
  <c r="F113" i="1" s="1"/>
  <c r="G107" i="1"/>
  <c r="G106" i="1"/>
  <c r="F106" i="1"/>
  <c r="G105" i="1"/>
  <c r="F103" i="1"/>
  <c r="F102" i="1"/>
  <c r="G100" i="1"/>
  <c r="G98" i="1"/>
  <c r="F97" i="1"/>
  <c r="F93" i="1"/>
  <c r="G88" i="1"/>
  <c r="G87" i="1"/>
  <c r="F87" i="1"/>
  <c r="F100" i="1" s="1"/>
  <c r="F84" i="1"/>
  <c r="G82" i="1"/>
  <c r="F82" i="1"/>
  <c r="G80" i="1"/>
  <c r="F78" i="1"/>
  <c r="G77" i="1"/>
  <c r="G76" i="1"/>
  <c r="F75" i="1"/>
  <c r="F74" i="1"/>
  <c r="F73" i="1"/>
  <c r="F72" i="1"/>
  <c r="F71" i="1"/>
  <c r="F70" i="1"/>
  <c r="F69" i="1"/>
  <c r="G66" i="1"/>
  <c r="F64" i="1"/>
  <c r="F63" i="1"/>
  <c r="D162" i="1" s="1"/>
  <c r="D163" i="1" s="1"/>
  <c r="F62" i="1"/>
  <c r="F101" i="1" s="1"/>
  <c r="G60" i="1"/>
  <c r="F59" i="1"/>
  <c r="F66" i="1" s="1"/>
  <c r="Q55" i="1"/>
  <c r="Q52" i="1"/>
  <c r="Q51" i="1"/>
  <c r="F51" i="1"/>
  <c r="Q50" i="1"/>
  <c r="F50" i="1"/>
  <c r="F49" i="1" s="1"/>
  <c r="Q49" i="1"/>
  <c r="Q48" i="1"/>
  <c r="Q47" i="1"/>
  <c r="G47" i="1"/>
  <c r="F47" i="1"/>
  <c r="Q46" i="1"/>
  <c r="F46" i="1"/>
  <c r="Q45" i="1"/>
  <c r="G44" i="1"/>
  <c r="F43" i="1"/>
  <c r="Q42" i="1"/>
  <c r="F42" i="1"/>
  <c r="Q41" i="1"/>
  <c r="Q40" i="1"/>
  <c r="Q39" i="1"/>
  <c r="G38" i="1"/>
  <c r="F37" i="1"/>
  <c r="Q36" i="1"/>
  <c r="F36" i="1"/>
  <c r="Q35" i="1"/>
  <c r="F35" i="1"/>
  <c r="Q34" i="1"/>
  <c r="F34" i="1"/>
  <c r="Q33" i="1"/>
  <c r="Q32" i="1"/>
  <c r="Q31" i="1"/>
  <c r="F31" i="1"/>
  <c r="Q30" i="1"/>
  <c r="F30" i="1"/>
  <c r="Q29" i="1"/>
  <c r="F29" i="1"/>
  <c r="F28" i="1" s="1"/>
  <c r="Q28" i="1"/>
  <c r="Q27" i="1"/>
  <c r="D9" i="1"/>
  <c r="D8" i="1"/>
  <c r="C158" i="1" l="1"/>
  <c r="G151" i="1"/>
  <c r="E148" i="1"/>
  <c r="F61" i="1"/>
  <c r="F148" i="1"/>
  <c r="G148" i="1" s="1"/>
  <c r="F88" i="1"/>
  <c r="F76" i="1" l="1"/>
  <c r="F60" i="1"/>
  <c r="F77" i="1"/>
  <c r="F104" i="1" s="1"/>
  <c r="F68" i="1" l="1"/>
  <c r="F105" i="1"/>
  <c r="F85" i="1"/>
  <c r="F98" i="1"/>
  <c r="F96" i="1" s="1"/>
  <c r="F67" i="1"/>
  <c r="F65" i="1" s="1"/>
  <c r="F58" i="1"/>
  <c r="F79" i="1" l="1"/>
  <c r="F81" i="1" l="1"/>
  <c r="F107" i="1" s="1"/>
  <c r="F99" i="1" s="1"/>
  <c r="F108" i="1" s="1"/>
  <c r="F122" i="1" s="1"/>
  <c r="F83" i="1"/>
  <c r="F80" i="1"/>
  <c r="F153" i="1" l="1"/>
  <c r="F44" i="1"/>
  <c r="F41" i="1" s="1"/>
  <c r="F40" i="1" s="1"/>
  <c r="F38" i="1" s="1"/>
  <c r="F33" i="1" s="1"/>
  <c r="F27" i="1" s="1"/>
  <c r="F125" i="1"/>
  <c r="F123" i="1"/>
  <c r="G153" i="1" l="1"/>
  <c r="F158" i="1"/>
  <c r="G158" i="1" s="1"/>
</calcChain>
</file>

<file path=xl/sharedStrings.xml><?xml version="1.0" encoding="utf-8"?>
<sst xmlns="http://schemas.openxmlformats.org/spreadsheetml/2006/main" count="282" uniqueCount="198">
  <si>
    <t>v2</t>
  </si>
  <si>
    <t>Вводные для расчёта проекта</t>
  </si>
  <si>
    <t>Допущения</t>
  </si>
  <si>
    <t>Да</t>
  </si>
  <si>
    <t>Прогноз 2026</t>
  </si>
  <si>
    <t>Факт 2026</t>
  </si>
  <si>
    <t>[1]</t>
  </si>
  <si>
    <t>Если в тексте не указано иное, то для целей ОДДС полученная выручка или понесённые расходы считаются оплаченными.</t>
  </si>
  <si>
    <t>Нет</t>
  </si>
  <si>
    <t>Стоимость доставки 1 ед. товара через ТК</t>
  </si>
  <si>
    <t>руб.</t>
  </si>
  <si>
    <t>[2]</t>
  </si>
  <si>
    <t>По кредитному обязательству погашение тела долга происходит равными долями на протяжении всего срока кредита.</t>
  </si>
  <si>
    <t>Стоимость хранения 1 ед. товара</t>
  </si>
  <si>
    <t>Начисленные % и тело долга за период пользования кредитом считаются уплаченными на конец года.</t>
  </si>
  <si>
    <t>[3]</t>
  </si>
  <si>
    <t xml:space="preserve">Для расчёта запасов норматив хранения, равный фиксированной доле от количества продаж, остается неизменным. </t>
  </si>
  <si>
    <t>ЗП сотрудника, отвечающего за работу со складов и доставку</t>
  </si>
  <si>
    <t>Норматив запасов составляет 24,6%</t>
  </si>
  <si>
    <t>Налоги и страхование c ФОТ</t>
  </si>
  <si>
    <t>При этом товар должен учитываться по новой средней себестоимости.</t>
  </si>
  <si>
    <t>Ставка упаковщика за единицу продукции</t>
  </si>
  <si>
    <t>-</t>
  </si>
  <si>
    <t>Прирост продаж уходовой продукции (базовый сценарий) / 1-й год</t>
  </si>
  <si>
    <t>Прирост продаж уходовой продукции (с доставкой) / 1-й год</t>
  </si>
  <si>
    <t>Средняя выручка с единицы уходовой продукции</t>
  </si>
  <si>
    <t>Увеличение цены с учетом доставки</t>
  </si>
  <si>
    <t>Средняя себестоимость единицы уходовой продукции от поставщика</t>
  </si>
  <si>
    <t>Средняя себестоимость упаковки на единицу продукции</t>
  </si>
  <si>
    <t>Привлечение заёмных средств в банке, с 01.07.26 на 5 лет</t>
  </si>
  <si>
    <t>% ставка, годовых</t>
  </si>
  <si>
    <t>Таблица 1: Управленческий баланс</t>
  </si>
  <si>
    <t>Последовательность отражения операций в отчётности</t>
  </si>
  <si>
    <t>Подсказки</t>
  </si>
  <si>
    <t>Факт 2025</t>
  </si>
  <si>
    <t>тыс. руб.</t>
  </si>
  <si>
    <t>Базовый</t>
  </si>
  <si>
    <t>С доставкой</t>
  </si>
  <si>
    <t>Отчёт о прибыли и убытке</t>
  </si>
  <si>
    <t>АКТИВЫ</t>
  </si>
  <si>
    <t>Рассчитать новое количество проданной продукции всего</t>
  </si>
  <si>
    <t>Внеоборотные активы:</t>
  </si>
  <si>
    <t>Рассчитать количество проданной продукции с доставкой</t>
  </si>
  <si>
    <t>Основные средства</t>
  </si>
  <si>
    <t>Рассчитать новую выручку с учетом увеличения цены доставки</t>
  </si>
  <si>
    <t>Нематериальные активы</t>
  </si>
  <si>
    <t>[4]</t>
  </si>
  <si>
    <t>Рассчитать новую себестоимость доставки с учетом сдельной ставки упаковщика и стоимости самой упаковки</t>
  </si>
  <si>
    <t>Долгосрочные финансовые вложения</t>
  </si>
  <si>
    <t>[5]</t>
  </si>
  <si>
    <t>Рассчитать новую валовую прибыль по направлениям.</t>
  </si>
  <si>
    <t>[6]</t>
  </si>
  <si>
    <t>Рассчитать новую стоимость услуг по доставке и хранению</t>
  </si>
  <si>
    <t>Оборотные активы:</t>
  </si>
  <si>
    <t>[7]</t>
  </si>
  <si>
    <t>Рассчитать показатель EBITDA и EBITDA в %</t>
  </si>
  <si>
    <t>Запасы</t>
  </si>
  <si>
    <t>[8]</t>
  </si>
  <si>
    <t>Отразить % по кредиту</t>
  </si>
  <si>
    <t>Дебиторская задолженность</t>
  </si>
  <si>
    <t>[9]</t>
  </si>
  <si>
    <t>Рассчитать налог на прибыль</t>
  </si>
  <si>
    <t>Краткосрочные финансовые вложения</t>
  </si>
  <si>
    <t>[10]</t>
  </si>
  <si>
    <t>Рассчитать Чистую прибыль</t>
  </si>
  <si>
    <t>Авансы выданные персоналу</t>
  </si>
  <si>
    <t>Денежные средства</t>
  </si>
  <si>
    <t>Баланс:</t>
  </si>
  <si>
    <t>[11]</t>
  </si>
  <si>
    <t>Отразить прибыль/убыток из ОПУ в качестве нераспределенной прибыли</t>
  </si>
  <si>
    <t>ПАССИВЫ</t>
  </si>
  <si>
    <t>[12]</t>
  </si>
  <si>
    <t>Отразить долгосрочное обязательство по кредиту</t>
  </si>
  <si>
    <t>Капитал и резервы</t>
  </si>
  <si>
    <t>[13]</t>
  </si>
  <si>
    <t>Отразить изменения в запасах</t>
  </si>
  <si>
    <t>Уставный капитал</t>
  </si>
  <si>
    <t>[14]</t>
  </si>
  <si>
    <t>Отразить остаток денежных средств</t>
  </si>
  <si>
    <t>Резервный капитал</t>
  </si>
  <si>
    <t>Нераспределенная прибыль</t>
  </si>
  <si>
    <t>ОДДС:</t>
  </si>
  <si>
    <t>[15]</t>
  </si>
  <si>
    <t>Рассчитать новую сумму поступлений за товары с учётом изменений в цене продажи</t>
  </si>
  <si>
    <t>Долгосрочные обязательства</t>
  </si>
  <si>
    <t>[16]</t>
  </si>
  <si>
    <t>Рассчитать новую сумму оплат за сырье и материалы, включая стоимость упаковки</t>
  </si>
  <si>
    <t>Долгосрочные кредиты и займы</t>
  </si>
  <si>
    <t>[17]</t>
  </si>
  <si>
    <t>Рассчитать новую сумму оплаты персонала (включая услуги упаковщика)</t>
  </si>
  <si>
    <t>[18]</t>
  </si>
  <si>
    <t>Отразить выплаты за услуги доставки и хранения</t>
  </si>
  <si>
    <t>Краткосрочные обязательства</t>
  </si>
  <si>
    <t>[19]</t>
  </si>
  <si>
    <t>Отразить получение кредита</t>
  </si>
  <si>
    <t>Кредиторская задолженность по расчётам с бюджетом</t>
  </si>
  <si>
    <t>[20]</t>
  </si>
  <si>
    <t>Рассчитать сумму погашения тела долга</t>
  </si>
  <si>
    <t>Кредиторская задолженность по расчётам с персоналом</t>
  </si>
  <si>
    <t>[21]</t>
  </si>
  <si>
    <t>Отразить сумму процентов по кредиту</t>
  </si>
  <si>
    <t>[22]</t>
  </si>
  <si>
    <t>Отразить выплату налога на прибыль</t>
  </si>
  <si>
    <t>Таблица 2: Отчёт о прибыли и убытке</t>
  </si>
  <si>
    <t>Отчёт об изменениях капитала</t>
  </si>
  <si>
    <t>[23]</t>
  </si>
  <si>
    <t>Отразить сумму нераспределенной прибыли</t>
  </si>
  <si>
    <t>Выручка, в т.ч.</t>
  </si>
  <si>
    <t>Груминговые услуги</t>
  </si>
  <si>
    <t>Реализация уходовой продукции</t>
  </si>
  <si>
    <t>Себестоимость, в т.ч.</t>
  </si>
  <si>
    <t>Груминговые услуги (сдельная оплата труда)</t>
  </si>
  <si>
    <t>Груминговые услуги (расходные материалы)</t>
  </si>
  <si>
    <t>Уходовая продукция (включая расходы на упаковку)</t>
  </si>
  <si>
    <t>Валовая прибыль, в т.ч.</t>
  </si>
  <si>
    <t>Уходовая продукция</t>
  </si>
  <si>
    <t>прогноз</t>
  </si>
  <si>
    <t>Операционные расходы, в т.ч.</t>
  </si>
  <si>
    <t>факт</t>
  </si>
  <si>
    <t>ФОТ управленческого персонала</t>
  </si>
  <si>
    <t>Прямые расходы на производственный персонал (оклад)</t>
  </si>
  <si>
    <t>Бонусы</t>
  </si>
  <si>
    <t>Аренда</t>
  </si>
  <si>
    <t>Хоз.товары для сотрудников и посетителей (вода, кофе)</t>
  </si>
  <si>
    <t>Реклама</t>
  </si>
  <si>
    <t>Аутсорс для ПО</t>
  </si>
  <si>
    <t>Затраты на хранение</t>
  </si>
  <si>
    <t>Логистика до клиента</t>
  </si>
  <si>
    <t xml:space="preserve">       </t>
  </si>
  <si>
    <t>Расходы на персонал (ФОТ и налоги)</t>
  </si>
  <si>
    <t>EBITDA</t>
  </si>
  <si>
    <t>EBITDA в %</t>
  </si>
  <si>
    <t>Налог на прибыль</t>
  </si>
  <si>
    <t>Проценты по кредиту</t>
  </si>
  <si>
    <t>Чистая прибыль</t>
  </si>
  <si>
    <t>в т.ч. амортизация</t>
  </si>
  <si>
    <t>% расходов на логистику</t>
  </si>
  <si>
    <t>Справочно:</t>
  </si>
  <si>
    <t>Количество проданной продукции</t>
  </si>
  <si>
    <t>Количество проданной продукции, с доставкой</t>
  </si>
  <si>
    <t xml:space="preserve">Таблица 3: ОДДС (прямой метод) </t>
  </si>
  <si>
    <t>Остаток денежных средств на начало периода</t>
  </si>
  <si>
    <t>Текущая (операционная) деятельность:</t>
  </si>
  <si>
    <t>Поступления, всего:</t>
  </si>
  <si>
    <t>от покупателей за услуги</t>
  </si>
  <si>
    <t>от покупателей за товары</t>
  </si>
  <si>
    <t>Выбытия, всего:</t>
  </si>
  <si>
    <t>поставщикам за товары, сырье и материалы</t>
  </si>
  <si>
    <t>содержание персонала</t>
  </si>
  <si>
    <t>расходы на рекламу</t>
  </si>
  <si>
    <t>прочие расчёты с контрагентами</t>
  </si>
  <si>
    <t>доставка через транспортную компанию</t>
  </si>
  <si>
    <t>складской аутсорсинг</t>
  </si>
  <si>
    <t>выплаты по кредиту (проценты)</t>
  </si>
  <si>
    <t>налог на прибыль</t>
  </si>
  <si>
    <t>Сальдо денежных средств по текущей деятельности:</t>
  </si>
  <si>
    <t>Инвестиционная деятельность:</t>
  </si>
  <si>
    <t>покупа основных средств</t>
  </si>
  <si>
    <t>долгосрочный депозит</t>
  </si>
  <si>
    <t>Сальдо денежных средств по инвестиционной деятельности:</t>
  </si>
  <si>
    <t>Финансовая деятельность:</t>
  </si>
  <si>
    <t>расчёты по аренде</t>
  </si>
  <si>
    <t>погашение займа</t>
  </si>
  <si>
    <t>полученный кредит</t>
  </si>
  <si>
    <t>выплаты по кредиту (тело долга)</t>
  </si>
  <si>
    <t>Сальдо денежных средств по финансовой деятельности:</t>
  </si>
  <si>
    <t>Денежный поток, итого</t>
  </si>
  <si>
    <t>Кумулятивный денежный поток, итого</t>
  </si>
  <si>
    <t>Остаток денежных средств на конец периода</t>
  </si>
  <si>
    <t>Таблица 4: Отчёт об изменениях капитала</t>
  </si>
  <si>
    <t>Добавочный капитал</t>
  </si>
  <si>
    <t>Резерв переоценки</t>
  </si>
  <si>
    <t>Всего</t>
  </si>
  <si>
    <t>Сальдо на начало</t>
  </si>
  <si>
    <t>Переоценка основных средств</t>
  </si>
  <si>
    <t>Выплата дивидендов</t>
  </si>
  <si>
    <t>Эмиссия акций</t>
  </si>
  <si>
    <t>Перенос переоценки: - по проданным объектам</t>
  </si>
  <si>
    <t>- по эксплуатируемым объектам</t>
  </si>
  <si>
    <t>Сальдо на конец</t>
  </si>
  <si>
    <t>оборачиваемость</t>
  </si>
  <si>
    <t>Вопрос</t>
  </si>
  <si>
    <t>Ответ</t>
  </si>
  <si>
    <t xml:space="preserve">1. </t>
  </si>
  <si>
    <t>Как изменилась фактическая валовая прибыль и чистая прибыль за 2026 по сравнению с прогнозом?</t>
  </si>
  <si>
    <t>По валовой прибыли груминговые услуги показали стабильность, полное совпадение прогноза с фактом. Уходовая продукция показала снижение валовой прибыли, абсолютное отклонение -373тыс., относительное отклонение -37%, фактическая валовая прибыль оказась на 373тыс. меньше. Чистая прибыль уменьшилась на 9,8% по сравнению с прогнозом</t>
  </si>
  <si>
    <t xml:space="preserve">2. </t>
  </si>
  <si>
    <t>Как изменился фактический % расходов на логистику по сравнению с прогнозом?</t>
  </si>
  <si>
    <t>Фактические расходы на логистику превысили прогноз, абсолютное отклонение +3,3%, относительное отклонение +8,5%</t>
  </si>
  <si>
    <t xml:space="preserve">3. </t>
  </si>
  <si>
    <t>Как изменился фактический денежный поток по сравнению с прогнозом? За счет чего?</t>
  </si>
  <si>
    <t>Компания факт за 2026 год увеличился денежный поток за счет взятия кредита, снижения выбытия  по операционной деятельности, а именно содержания персонала, налога на прибыль и оплаты поставщикам за товары. Отклонение +568тыс по сравнением с прогнозом за 2026 год</t>
  </si>
  <si>
    <t xml:space="preserve">4. </t>
  </si>
  <si>
    <t>Как изменился коэффициент оборачиваемости запасов по сравнению с прогнозом? О чем это говорит?</t>
  </si>
  <si>
    <t>Фактический коэффициент оборачиваемости  выше чем прогноз на (5,86-5,43)=0,43(относительное изменение). Абсолютное изменение +7,9% (0,43/5,44*100%). Это говорит что компания быстрее обновляет свои запасы, более высокая оборачиваемость означает, что меньше средств заморожено в запасах.</t>
  </si>
  <si>
    <t xml:space="preserve">5. </t>
  </si>
  <si>
    <t>Зная фактические данные за 2026 год, стоит ли Марату продолжать развивать данное направление деятельности? Почему?</t>
  </si>
  <si>
    <t xml:space="preserve">Исходя из всех данных можно сказать следующее: груминговое направление можно дальше развивать, уходовая продукция требует коррекции и детального анализа, а именно провести АБС-анализа асортимента, выявление низкомаржинальных товаров, пересмотр новых поставщиков и закупочных цен.Уменьшение чистой прибыли это не приговор, здесь мы видим хорошую оборачиваемость запасов, а так же оптимизация операционных расходов что в дальнейшем может дать хорошую перспективу развития.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</si>
</sst>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0.0%"/>
    <numFmt numFmtId="167" formatCode="#,##0,"/>
  </numFmts>
  <fonts count="12" x14ac:knownFonts="1">
    <font>
      <sz val="11"/>
      <color theme="1"/>
      <name val="Calibri"/>
      <scheme val="minor"/>
    </font>
    <font>
      <sz val="11"/>
      <color theme="1"/>
      <name val="Roboto"/>
    </font>
    <font>
      <b/>
      <sz val="11"/>
      <color rgb="FF000000"/>
      <name val="Roboto"/>
    </font>
    <font>
      <sz val="11"/>
      <color rgb="FF000000"/>
      <name val="Roboto"/>
    </font>
    <font>
      <sz val="11"/>
      <color theme="0"/>
      <name val="Roboto"/>
    </font>
    <font>
      <b/>
      <sz val="11"/>
      <color theme="1"/>
      <name val="Roboto"/>
    </font>
    <font>
      <sz val="11"/>
      <name val="Calibri"/>
      <family val="2"/>
    </font>
    <font>
      <b/>
      <sz val="12"/>
      <color theme="1"/>
      <name val="Roboto"/>
    </font>
    <font>
      <sz val="11"/>
      <color rgb="FFFF0000"/>
      <name val="Roboto"/>
    </font>
    <font>
      <b/>
      <sz val="12"/>
      <color rgb="FF000000"/>
      <name val="Roboto"/>
    </font>
    <font>
      <sz val="11"/>
      <color theme="1"/>
      <name val="Calibri"/>
      <family val="2"/>
    </font>
    <font>
      <sz val="11"/>
      <color rgb="FF0000FF"/>
      <name val="Roboto"/>
    </font>
  </fonts>
  <fills count="12">
    <fill>
      <patternFill patternType="none"/>
    </fill>
    <fill>
      <patternFill patternType="gray125"/>
    </fill>
    <fill>
      <patternFill patternType="solid">
        <fgColor rgb="FFE3C3AA"/>
        <bgColor rgb="FFE3C3AA"/>
      </patternFill>
    </fill>
    <fill>
      <patternFill patternType="solid">
        <fgColor theme="0"/>
        <bgColor theme="0"/>
      </patternFill>
    </fill>
    <fill>
      <patternFill patternType="solid">
        <fgColor rgb="FFA4C1E3"/>
        <bgColor rgb="FFA4C1E3"/>
      </patternFill>
    </fill>
    <fill>
      <patternFill patternType="solid">
        <fgColor rgb="FFC5DE8B"/>
        <bgColor rgb="FFC5DE8B"/>
      </patternFill>
    </fill>
    <fill>
      <patternFill patternType="solid">
        <fgColor rgb="FFF4CE34"/>
        <bgColor rgb="FFF4CE34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rgb="FFBDE085"/>
        <bgColor rgb="FFBDE085"/>
      </patternFill>
    </fill>
    <fill>
      <patternFill patternType="solid">
        <fgColor theme="6"/>
        <bgColor theme="6"/>
      </patternFill>
    </fill>
    <fill>
      <patternFill patternType="solid">
        <fgColor rgb="FF99C2E5"/>
        <bgColor rgb="FF99C2E5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left"/>
    </xf>
    <xf numFmtId="0" fontId="4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/>
    <xf numFmtId="165" fontId="1" fillId="5" borderId="1" xfId="0" applyNumberFormat="1" applyFont="1" applyFill="1" applyBorder="1"/>
    <xf numFmtId="165" fontId="1" fillId="0" borderId="0" xfId="0" applyNumberFormat="1" applyFont="1"/>
    <xf numFmtId="3" fontId="1" fillId="4" borderId="1" xfId="0" applyNumberFormat="1" applyFont="1" applyFill="1" applyBorder="1"/>
    <xf numFmtId="3" fontId="1" fillId="5" borderId="1" xfId="0" applyNumberFormat="1" applyFont="1" applyFill="1" applyBorder="1"/>
    <xf numFmtId="166" fontId="1" fillId="0" borderId="0" xfId="0" applyNumberFormat="1" applyFont="1"/>
    <xf numFmtId="1" fontId="1" fillId="4" borderId="1" xfId="0" applyNumberFormat="1" applyFont="1" applyFill="1" applyBorder="1" applyAlignment="1">
      <alignment horizontal="right"/>
    </xf>
    <xf numFmtId="0" fontId="1" fillId="5" borderId="1" xfId="0" applyFont="1" applyFill="1" applyBorder="1"/>
    <xf numFmtId="9" fontId="1" fillId="4" borderId="1" xfId="0" applyNumberFormat="1" applyFont="1" applyFill="1" applyBorder="1"/>
    <xf numFmtId="9" fontId="1" fillId="5" borderId="1" xfId="0" applyNumberFormat="1" applyFont="1" applyFill="1" applyBorder="1"/>
    <xf numFmtId="0" fontId="3" fillId="0" borderId="0" xfId="0" applyFont="1"/>
    <xf numFmtId="1" fontId="1" fillId="4" borderId="1" xfId="0" applyNumberFormat="1" applyFont="1" applyFill="1" applyBorder="1"/>
    <xf numFmtId="1" fontId="1" fillId="5" borderId="1" xfId="0" applyNumberFormat="1" applyFont="1" applyFill="1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167" fontId="7" fillId="0" borderId="0" xfId="0" applyNumberFormat="1" applyFont="1"/>
    <xf numFmtId="0" fontId="8" fillId="0" borderId="0" xfId="0" applyFont="1"/>
    <xf numFmtId="0" fontId="2" fillId="0" borderId="4" xfId="0" applyFont="1" applyBorder="1"/>
    <xf numFmtId="167" fontId="7" fillId="0" borderId="4" xfId="0" applyNumberFormat="1" applyFont="1" applyBorder="1"/>
    <xf numFmtId="167" fontId="1" fillId="0" borderId="0" xfId="0" applyNumberFormat="1" applyFont="1"/>
    <xf numFmtId="0" fontId="3" fillId="0" borderId="5" xfId="0" applyFont="1" applyBorder="1"/>
    <xf numFmtId="167" fontId="1" fillId="0" borderId="5" xfId="0" applyNumberFormat="1" applyFont="1" applyBorder="1"/>
    <xf numFmtId="3" fontId="3" fillId="0" borderId="0" xfId="0" applyNumberFormat="1" applyFont="1"/>
    <xf numFmtId="167" fontId="1" fillId="6" borderId="1" xfId="0" applyNumberFormat="1" applyFont="1" applyFill="1" applyBorder="1"/>
    <xf numFmtId="167" fontId="1" fillId="6" borderId="6" xfId="0" applyNumberFormat="1" applyFont="1" applyFill="1" applyBorder="1"/>
    <xf numFmtId="16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7" xfId="0" applyFont="1" applyBorder="1"/>
    <xf numFmtId="167" fontId="7" fillId="0" borderId="7" xfId="0" applyNumberFormat="1" applyFont="1" applyBorder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5" xfId="0" applyFont="1" applyBorder="1" applyAlignment="1">
      <alignment horizontal="left"/>
    </xf>
    <xf numFmtId="0" fontId="9" fillId="0" borderId="0" xfId="0" applyFont="1"/>
    <xf numFmtId="167" fontId="1" fillId="0" borderId="0" xfId="0" applyNumberFormat="1" applyFont="1" applyAlignment="1">
      <alignment horizontal="center"/>
    </xf>
    <xf numFmtId="2" fontId="2" fillId="0" borderId="0" xfId="0" applyNumberFormat="1" applyFont="1"/>
    <xf numFmtId="0" fontId="9" fillId="0" borderId="5" xfId="0" applyFont="1" applyBorder="1"/>
    <xf numFmtId="167" fontId="7" fillId="0" borderId="5" xfId="0" applyNumberFormat="1" applyFont="1" applyBorder="1"/>
    <xf numFmtId="2" fontId="2" fillId="0" borderId="0" xfId="0" applyNumberFormat="1" applyFont="1" applyAlignment="1">
      <alignment horizontal="right"/>
    </xf>
    <xf numFmtId="167" fontId="7" fillId="6" borderId="1" xfId="0" applyNumberFormat="1" applyFont="1" applyFill="1" applyBorder="1"/>
    <xf numFmtId="166" fontId="3" fillId="0" borderId="5" xfId="0" applyNumberFormat="1" applyFont="1" applyBorder="1"/>
    <xf numFmtId="166" fontId="3" fillId="6" borderId="6" xfId="0" applyNumberFormat="1" applyFont="1" applyFill="1" applyBorder="1"/>
    <xf numFmtId="9" fontId="1" fillId="0" borderId="0" xfId="0" applyNumberFormat="1" applyFont="1" applyAlignment="1">
      <alignment horizontal="center"/>
    </xf>
    <xf numFmtId="9" fontId="2" fillId="0" borderId="0" xfId="0" applyNumberFormat="1" applyFont="1"/>
    <xf numFmtId="167" fontId="7" fillId="6" borderId="6" xfId="0" applyNumberFormat="1" applyFont="1" applyFill="1" applyBorder="1"/>
    <xf numFmtId="9" fontId="1" fillId="6" borderId="1" xfId="0" applyNumberFormat="1" applyFont="1" applyFill="1" applyBorder="1"/>
    <xf numFmtId="0" fontId="1" fillId="7" borderId="1" xfId="0" applyFont="1" applyFill="1" applyBorder="1"/>
    <xf numFmtId="0" fontId="10" fillId="7" borderId="1" xfId="0" applyFont="1" applyFill="1" applyBorder="1"/>
    <xf numFmtId="1" fontId="10" fillId="0" borderId="0" xfId="0" applyNumberFormat="1" applyFont="1"/>
    <xf numFmtId="1" fontId="10" fillId="6" borderId="1" xfId="0" applyNumberFormat="1" applyFont="1" applyFill="1" applyBorder="1"/>
    <xf numFmtId="0" fontId="7" fillId="0" borderId="0" xfId="0" applyFont="1"/>
    <xf numFmtId="0" fontId="9" fillId="0" borderId="4" xfId="0" applyFont="1" applyBorder="1"/>
    <xf numFmtId="0" fontId="7" fillId="0" borderId="4" xfId="0" applyFont="1" applyBorder="1"/>
    <xf numFmtId="0" fontId="1" fillId="0" borderId="0" xfId="0" applyFont="1" applyAlignment="1">
      <alignment horizontal="left"/>
    </xf>
    <xf numFmtId="167" fontId="2" fillId="0" borderId="0" xfId="0" applyNumberFormat="1" applyFont="1"/>
    <xf numFmtId="0" fontId="1" fillId="8" borderId="0" xfId="0" applyFont="1" applyFill="1" applyAlignment="1">
      <alignment horizontal="left"/>
    </xf>
    <xf numFmtId="167" fontId="1" fillId="8" borderId="1" xfId="0" applyNumberFormat="1" applyFont="1" applyFill="1" applyBorder="1"/>
    <xf numFmtId="0" fontId="1" fillId="0" borderId="4" xfId="0" applyFont="1" applyBorder="1"/>
    <xf numFmtId="167" fontId="8" fillId="0" borderId="0" xfId="0" applyNumberFormat="1" applyFont="1"/>
    <xf numFmtId="0" fontId="2" fillId="9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7" fontId="7" fillId="0" borderId="7" xfId="0" applyNumberFormat="1" applyFont="1" applyBorder="1" applyAlignment="1">
      <alignment horizontal="center"/>
    </xf>
    <xf numFmtId="0" fontId="3" fillId="0" borderId="4" xfId="0" applyFont="1" applyBorder="1"/>
    <xf numFmtId="0" fontId="3" fillId="10" borderId="1" xfId="0" applyFont="1" applyFill="1" applyBorder="1"/>
    <xf numFmtId="0" fontId="2" fillId="11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8" borderId="0" xfId="0" applyFont="1" applyFill="1"/>
    <xf numFmtId="0" fontId="11" fillId="0" borderId="0" xfId="0" applyFont="1"/>
    <xf numFmtId="0" fontId="3" fillId="6" borderId="1" xfId="0" applyFont="1" applyFill="1" applyBorder="1"/>
    <xf numFmtId="0" fontId="10" fillId="6" borderId="1" xfId="0" applyFont="1" applyFill="1" applyBorder="1"/>
    <xf numFmtId="0" fontId="5" fillId="4" borderId="2" xfId="0" applyFont="1" applyFill="1" applyBorder="1" applyAlignment="1">
      <alignment horizontal="center" vertical="center"/>
    </xf>
    <xf numFmtId="0" fontId="6" fillId="0" borderId="3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topLeftCell="A14" workbookViewId="0">
      <selection activeCell="H70" sqref="H70"/>
    </sheetView>
  </sheetViews>
  <sheetFormatPr baseColWidth="10" defaultColWidth="14.5" defaultRowHeight="15" customHeight="1" x14ac:dyDescent="0.2"/>
  <cols>
    <col min="1" max="1" width="2.33203125" customWidth="1"/>
    <col min="2" max="2" width="76.1640625" customWidth="1"/>
    <col min="3" max="6" width="15.5" customWidth="1"/>
    <col min="7" max="7" width="17.1640625" customWidth="1"/>
    <col min="8" max="8" width="8.83203125" customWidth="1"/>
    <col min="9" max="9" width="7.5" customWidth="1"/>
    <col min="10" max="14" width="23.6640625" customWidth="1"/>
    <col min="15" max="15" width="4.6640625" customWidth="1"/>
    <col min="16" max="16" width="7.83203125" customWidth="1"/>
    <col min="17" max="17" width="162.6640625" customWidth="1"/>
    <col min="18" max="19" width="16.5" customWidth="1"/>
    <col min="20" max="26" width="9.1640625" customWidth="1"/>
  </cols>
  <sheetData>
    <row r="1" spans="1:26" ht="13.5" customHeight="1" x14ac:dyDescent="0.2">
      <c r="A1" s="1"/>
      <c r="B1" s="1"/>
      <c r="C1" s="1"/>
      <c r="D1" s="1"/>
      <c r="E1" s="1"/>
      <c r="F1" s="1"/>
      <c r="G1" s="2"/>
      <c r="H1" s="1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0</v>
      </c>
    </row>
    <row r="2" spans="1:26" ht="13.5" customHeight="1" x14ac:dyDescent="0.2">
      <c r="A2" s="1"/>
      <c r="B2" s="1"/>
      <c r="C2" s="1"/>
      <c r="D2" s="1"/>
      <c r="E2" s="1"/>
      <c r="F2" s="1"/>
      <c r="G2" s="2"/>
      <c r="H2" s="1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">
      <c r="A3" s="1"/>
      <c r="B3" s="3" t="s">
        <v>1</v>
      </c>
      <c r="C3" s="3"/>
      <c r="D3" s="3"/>
      <c r="E3" s="4"/>
      <c r="F3" s="3"/>
      <c r="G3" s="5"/>
      <c r="H3" s="6"/>
      <c r="I3" s="7" t="s">
        <v>2</v>
      </c>
      <c r="J3" s="3"/>
      <c r="K3" s="3"/>
      <c r="L3" s="3"/>
      <c r="M3" s="3"/>
      <c r="N3" s="3"/>
      <c r="O3" s="6"/>
      <c r="P3" s="3"/>
      <c r="Q3" s="3"/>
      <c r="R3" s="1"/>
      <c r="S3" s="1"/>
      <c r="T3" s="1"/>
      <c r="U3" s="8" t="s">
        <v>3</v>
      </c>
      <c r="V3" s="1"/>
      <c r="W3" s="1"/>
      <c r="X3" s="1"/>
      <c r="Y3" s="1"/>
      <c r="Z3" s="1"/>
    </row>
    <row r="4" spans="1:26" ht="13.5" customHeight="1" x14ac:dyDescent="0.2">
      <c r="A4" s="1"/>
      <c r="B4" s="1"/>
      <c r="C4" s="9" t="s">
        <v>4</v>
      </c>
      <c r="D4" s="10" t="s">
        <v>5</v>
      </c>
      <c r="E4" s="1"/>
      <c r="F4" s="1"/>
      <c r="G4" s="2"/>
      <c r="H4" s="6"/>
      <c r="I4" s="2" t="s">
        <v>6</v>
      </c>
      <c r="J4" s="1" t="s">
        <v>7</v>
      </c>
      <c r="K4" s="1"/>
      <c r="L4" s="1"/>
      <c r="M4" s="1"/>
      <c r="N4" s="1"/>
      <c r="O4" s="6"/>
      <c r="P4" s="1"/>
      <c r="Q4" s="1"/>
      <c r="R4" s="1"/>
      <c r="S4" s="1"/>
      <c r="T4" s="1"/>
      <c r="U4" s="8" t="s">
        <v>8</v>
      </c>
      <c r="V4" s="1"/>
      <c r="W4" s="1"/>
      <c r="X4" s="1"/>
      <c r="Y4" s="1"/>
      <c r="Z4" s="1"/>
    </row>
    <row r="5" spans="1:26" ht="13.5" customHeight="1" x14ac:dyDescent="0.2">
      <c r="A5" s="1"/>
      <c r="B5" s="1" t="s">
        <v>9</v>
      </c>
      <c r="C5" s="11">
        <v>100</v>
      </c>
      <c r="D5" s="12">
        <v>100</v>
      </c>
      <c r="E5" s="1" t="s">
        <v>10</v>
      </c>
      <c r="F5" s="1"/>
      <c r="G5" s="2"/>
      <c r="H5" s="6"/>
      <c r="I5" s="2" t="s">
        <v>11</v>
      </c>
      <c r="J5" s="1" t="s">
        <v>12</v>
      </c>
      <c r="K5" s="1"/>
      <c r="L5" s="1"/>
      <c r="M5" s="1"/>
      <c r="N5" s="1"/>
      <c r="O5" s="6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">
      <c r="A6" s="1"/>
      <c r="B6" s="1" t="s">
        <v>13</v>
      </c>
      <c r="C6" s="11">
        <v>150</v>
      </c>
      <c r="D6" s="12">
        <v>150</v>
      </c>
      <c r="E6" s="1" t="s">
        <v>10</v>
      </c>
      <c r="F6" s="1"/>
      <c r="G6" s="2"/>
      <c r="H6" s="6"/>
      <c r="I6" s="2"/>
      <c r="J6" s="1" t="s">
        <v>14</v>
      </c>
      <c r="K6" s="1"/>
      <c r="L6" s="1"/>
      <c r="M6" s="1"/>
      <c r="N6" s="1"/>
      <c r="O6" s="6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">
      <c r="A7" s="1"/>
      <c r="B7" s="1"/>
      <c r="C7" s="1"/>
      <c r="D7" s="1"/>
      <c r="E7" s="1"/>
      <c r="F7" s="1"/>
      <c r="G7" s="2"/>
      <c r="H7" s="6"/>
      <c r="I7" s="2" t="s">
        <v>15</v>
      </c>
      <c r="J7" s="1" t="s">
        <v>16</v>
      </c>
      <c r="K7" s="13"/>
      <c r="L7" s="1"/>
      <c r="M7" s="1"/>
      <c r="N7" s="1"/>
      <c r="O7" s="6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">
      <c r="A8" s="1"/>
      <c r="B8" s="1" t="s">
        <v>17</v>
      </c>
      <c r="C8" s="14">
        <v>240000</v>
      </c>
      <c r="D8" s="15">
        <f t="shared" ref="D8:D9" si="0">C8</f>
        <v>240000</v>
      </c>
      <c r="E8" s="1" t="s">
        <v>10</v>
      </c>
      <c r="F8" s="1"/>
      <c r="G8" s="2"/>
      <c r="H8" s="6"/>
      <c r="I8" s="2"/>
      <c r="J8" s="1" t="s">
        <v>18</v>
      </c>
      <c r="K8" s="16"/>
      <c r="L8" s="1"/>
      <c r="M8" s="1"/>
      <c r="N8" s="1"/>
      <c r="O8" s="6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">
      <c r="A9" s="1"/>
      <c r="B9" s="1" t="s">
        <v>19</v>
      </c>
      <c r="C9" s="14">
        <v>72000</v>
      </c>
      <c r="D9" s="15">
        <f t="shared" si="0"/>
        <v>72000</v>
      </c>
      <c r="E9" s="1" t="s">
        <v>10</v>
      </c>
      <c r="F9" s="1"/>
      <c r="G9" s="2"/>
      <c r="H9" s="6"/>
      <c r="I9" s="2"/>
      <c r="J9" s="1" t="s">
        <v>20</v>
      </c>
      <c r="K9" s="1"/>
      <c r="L9" s="1"/>
      <c r="M9" s="1"/>
      <c r="N9" s="1"/>
      <c r="O9" s="6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">
      <c r="A10" s="1"/>
      <c r="B10" s="1"/>
      <c r="C10" s="1"/>
      <c r="D10" s="1"/>
      <c r="E10" s="1"/>
      <c r="F10" s="1"/>
      <c r="G10" s="2"/>
      <c r="H10" s="6"/>
      <c r="I10" s="2"/>
      <c r="J10" s="1"/>
      <c r="K10" s="1"/>
      <c r="L10" s="1"/>
      <c r="M10" s="1"/>
      <c r="N10" s="1"/>
      <c r="O10" s="6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">
      <c r="A11" s="1"/>
      <c r="B11" s="1" t="s">
        <v>21</v>
      </c>
      <c r="C11" s="17" t="s">
        <v>22</v>
      </c>
      <c r="D11" s="18">
        <v>94</v>
      </c>
      <c r="E11" s="1" t="s">
        <v>10</v>
      </c>
      <c r="F11" s="1"/>
      <c r="G11" s="2"/>
      <c r="H11" s="6"/>
      <c r="I11" s="2"/>
      <c r="J11" s="1"/>
      <c r="K11" s="1"/>
      <c r="L11" s="1"/>
      <c r="M11" s="1"/>
      <c r="N11" s="1"/>
      <c r="O11" s="6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">
      <c r="A12" s="1"/>
      <c r="B12" s="1"/>
      <c r="C12" s="1"/>
      <c r="D12" s="1"/>
      <c r="E12" s="1"/>
      <c r="F12" s="1"/>
      <c r="G12" s="2"/>
      <c r="H12" s="6"/>
      <c r="I12" s="2"/>
      <c r="J12" s="1"/>
      <c r="K12" s="1"/>
      <c r="L12" s="1"/>
      <c r="M12" s="1"/>
      <c r="N12" s="1"/>
      <c r="O12" s="6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1"/>
      <c r="B13" s="1" t="s">
        <v>23</v>
      </c>
      <c r="C13" s="19">
        <v>0.05</v>
      </c>
      <c r="D13" s="20">
        <v>0.05</v>
      </c>
      <c r="E13" s="1"/>
      <c r="F13" s="1"/>
      <c r="G13" s="2"/>
      <c r="H13" s="6"/>
      <c r="I13" s="2"/>
      <c r="J13" s="1"/>
      <c r="K13" s="1"/>
      <c r="L13" s="1"/>
      <c r="M13" s="1"/>
      <c r="N13" s="1"/>
      <c r="O13" s="6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">
      <c r="A14" s="1"/>
      <c r="B14" s="21" t="s">
        <v>24</v>
      </c>
      <c r="C14" s="19">
        <v>1</v>
      </c>
      <c r="D14" s="20">
        <v>0.7</v>
      </c>
      <c r="E14" s="1"/>
      <c r="F14" s="1"/>
      <c r="G14" s="2"/>
      <c r="H14" s="6"/>
      <c r="I14" s="2"/>
      <c r="J14" s="1"/>
      <c r="K14" s="1"/>
      <c r="L14" s="1"/>
      <c r="M14" s="1"/>
      <c r="N14" s="1"/>
      <c r="O14" s="6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1"/>
      <c r="B15" s="1"/>
      <c r="C15" s="1"/>
      <c r="D15" s="1"/>
      <c r="E15" s="1"/>
      <c r="F15" s="1"/>
      <c r="G15" s="2"/>
      <c r="H15" s="6"/>
      <c r="I15" s="2"/>
      <c r="J15" s="1"/>
      <c r="K15" s="1"/>
      <c r="L15" s="1"/>
      <c r="M15" s="1"/>
      <c r="N15" s="1"/>
      <c r="O15" s="6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">
      <c r="A16" s="1"/>
      <c r="B16" s="1" t="s">
        <v>25</v>
      </c>
      <c r="C16" s="22">
        <v>977.30939597315432</v>
      </c>
      <c r="D16" s="23">
        <v>1027.3093959731543</v>
      </c>
      <c r="E16" s="1" t="s">
        <v>10</v>
      </c>
      <c r="F16" s="1"/>
      <c r="G16" s="2"/>
      <c r="H16" s="6"/>
      <c r="I16" s="2"/>
      <c r="J16" s="1"/>
      <c r="K16" s="1"/>
      <c r="L16" s="1"/>
      <c r="M16" s="1"/>
      <c r="N16" s="1"/>
      <c r="O16" s="6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">
      <c r="A17" s="1"/>
      <c r="B17" s="1" t="s">
        <v>26</v>
      </c>
      <c r="C17" s="22">
        <v>200</v>
      </c>
      <c r="D17" s="18">
        <v>200</v>
      </c>
      <c r="E17" s="1" t="s">
        <v>10</v>
      </c>
      <c r="F17" s="1"/>
      <c r="G17" s="2"/>
      <c r="H17" s="6"/>
      <c r="I17" s="2"/>
      <c r="J17" s="1"/>
      <c r="K17" s="1"/>
      <c r="L17" s="1"/>
      <c r="M17" s="1"/>
      <c r="N17" s="1"/>
      <c r="O17" s="6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1"/>
      <c r="B18" s="1" t="s">
        <v>27</v>
      </c>
      <c r="C18" s="22">
        <v>705.88187919463087</v>
      </c>
      <c r="D18" s="18">
        <v>653</v>
      </c>
      <c r="E18" s="1" t="s">
        <v>10</v>
      </c>
      <c r="F18" s="1"/>
      <c r="G18" s="2"/>
      <c r="H18" s="6"/>
      <c r="I18" s="2"/>
      <c r="J18" s="1"/>
      <c r="K18" s="1"/>
      <c r="L18" s="1"/>
      <c r="M18" s="1"/>
      <c r="N18" s="1"/>
      <c r="O18" s="6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1"/>
      <c r="B19" s="1" t="s">
        <v>28</v>
      </c>
      <c r="C19" s="17" t="s">
        <v>22</v>
      </c>
      <c r="D19" s="18">
        <v>73</v>
      </c>
      <c r="E19" s="1" t="s">
        <v>10</v>
      </c>
      <c r="F19" s="1"/>
      <c r="G19" s="2"/>
      <c r="H19" s="6"/>
      <c r="I19" s="2"/>
      <c r="J19" s="1"/>
      <c r="K19" s="1"/>
      <c r="L19" s="1"/>
      <c r="M19" s="1"/>
      <c r="N19" s="1"/>
      <c r="O19" s="6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1"/>
      <c r="B20" s="1"/>
      <c r="C20" s="1"/>
      <c r="D20" s="1"/>
      <c r="E20" s="1"/>
      <c r="F20" s="1"/>
      <c r="G20" s="2"/>
      <c r="H20" s="6"/>
      <c r="I20" s="2"/>
      <c r="J20" s="1"/>
      <c r="K20" s="1"/>
      <c r="L20" s="1"/>
      <c r="M20" s="1"/>
      <c r="N20" s="1"/>
      <c r="O20" s="6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">
      <c r="A21" s="1"/>
      <c r="B21" s="1" t="s">
        <v>29</v>
      </c>
      <c r="C21" s="17" t="s">
        <v>22</v>
      </c>
      <c r="D21" s="15">
        <v>300000</v>
      </c>
      <c r="E21" s="1" t="s">
        <v>10</v>
      </c>
      <c r="F21" s="1"/>
      <c r="G21" s="2"/>
      <c r="H21" s="6"/>
      <c r="I21" s="2"/>
      <c r="J21" s="1"/>
      <c r="K21" s="1"/>
      <c r="L21" s="1"/>
      <c r="M21" s="1"/>
      <c r="N21" s="1"/>
      <c r="O21" s="6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">
      <c r="A22" s="1"/>
      <c r="B22" s="1" t="s">
        <v>30</v>
      </c>
      <c r="C22" s="17" t="s">
        <v>22</v>
      </c>
      <c r="D22" s="20">
        <v>0.1</v>
      </c>
      <c r="E22" s="1"/>
      <c r="F22" s="1"/>
      <c r="G22" s="2"/>
      <c r="H22" s="6"/>
      <c r="I22" s="2"/>
      <c r="J22" s="1"/>
      <c r="K22" s="1"/>
      <c r="L22" s="1"/>
      <c r="M22" s="1"/>
      <c r="N22" s="1"/>
      <c r="O22" s="6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">
      <c r="A23" s="1"/>
      <c r="B23" s="1"/>
      <c r="C23" s="1"/>
      <c r="D23" s="1"/>
      <c r="E23" s="1"/>
      <c r="F23" s="1"/>
      <c r="G23" s="2"/>
      <c r="H23" s="24"/>
      <c r="I23" s="2"/>
      <c r="J23" s="1"/>
      <c r="K23" s="1"/>
      <c r="L23" s="1"/>
      <c r="M23" s="1"/>
      <c r="N23" s="1"/>
      <c r="O23" s="6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">
      <c r="A24" s="1"/>
      <c r="B24" s="3" t="s">
        <v>31</v>
      </c>
      <c r="C24" s="3"/>
      <c r="D24" s="3"/>
      <c r="E24" s="3"/>
      <c r="F24" s="4"/>
      <c r="G24" s="5"/>
      <c r="H24" s="6"/>
      <c r="I24" s="7" t="s">
        <v>32</v>
      </c>
      <c r="J24" s="3"/>
      <c r="K24" s="3"/>
      <c r="L24" s="3"/>
      <c r="M24" s="3"/>
      <c r="N24" s="3"/>
      <c r="O24" s="6"/>
      <c r="P24" s="3" t="s">
        <v>33</v>
      </c>
      <c r="Q24" s="3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">
      <c r="A25" s="1"/>
      <c r="B25" s="21"/>
      <c r="C25" s="10" t="s">
        <v>34</v>
      </c>
      <c r="D25" s="83" t="s">
        <v>4</v>
      </c>
      <c r="E25" s="84"/>
      <c r="F25" s="10" t="s">
        <v>5</v>
      </c>
      <c r="G25" s="25"/>
      <c r="H25" s="6"/>
      <c r="I25" s="2"/>
      <c r="J25" s="1"/>
      <c r="K25" s="1"/>
      <c r="L25" s="1"/>
      <c r="M25" s="1"/>
      <c r="N25" s="1"/>
      <c r="O25" s="6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">
      <c r="A26" s="1"/>
      <c r="B26" s="21" t="s">
        <v>35</v>
      </c>
      <c r="C26" s="26"/>
      <c r="D26" s="9" t="s">
        <v>36</v>
      </c>
      <c r="E26" s="9" t="s">
        <v>37</v>
      </c>
      <c r="F26" s="26"/>
      <c r="G26" s="27"/>
      <c r="H26" s="6"/>
      <c r="I26" s="2"/>
      <c r="J26" s="28" t="s">
        <v>38</v>
      </c>
      <c r="K26" s="1"/>
      <c r="L26" s="1"/>
      <c r="M26" s="1"/>
      <c r="N26" s="1"/>
      <c r="O26" s="6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">
      <c r="A27" s="1"/>
      <c r="B27" s="6" t="s">
        <v>39</v>
      </c>
      <c r="C27" s="29">
        <v>2848349.1999999993</v>
      </c>
      <c r="D27" s="29">
        <v>4951029.2125000004</v>
      </c>
      <c r="E27" s="29">
        <v>4962308.6999999993</v>
      </c>
      <c r="F27" s="29">
        <f>F28+F33</f>
        <v>5034937.3916666666</v>
      </c>
      <c r="G27" s="27"/>
      <c r="H27" s="6"/>
      <c r="I27" s="2" t="s">
        <v>6</v>
      </c>
      <c r="J27" s="1" t="s">
        <v>40</v>
      </c>
      <c r="K27" s="1"/>
      <c r="L27" s="1"/>
      <c r="M27" s="1"/>
      <c r="N27" s="1"/>
      <c r="O27" s="6"/>
      <c r="P27" s="2" t="s">
        <v>8</v>
      </c>
      <c r="Q27" s="30" t="str">
        <f>IF(P27="Нет", " ", "Количество фактически проданной продукции ВСЕГО необходимо внести в ячейку F87. Показатель рассчитывается по формуле = C87 * (1 + D14)")</f>
        <v xml:space="preserve"> </v>
      </c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">
      <c r="A28" s="1"/>
      <c r="B28" s="31" t="s">
        <v>41</v>
      </c>
      <c r="C28" s="32">
        <v>983000</v>
      </c>
      <c r="D28" s="32">
        <v>2906000</v>
      </c>
      <c r="E28" s="32">
        <v>2906000</v>
      </c>
      <c r="F28" s="32">
        <f>SUM(F29:F31)</f>
        <v>2906000</v>
      </c>
      <c r="G28" s="27"/>
      <c r="H28" s="6"/>
      <c r="I28" s="2" t="s">
        <v>11</v>
      </c>
      <c r="J28" s="1" t="s">
        <v>42</v>
      </c>
      <c r="K28" s="1"/>
      <c r="L28" s="1"/>
      <c r="M28" s="1"/>
      <c r="N28" s="1"/>
      <c r="O28" s="6"/>
      <c r="P28" s="2" t="s">
        <v>8</v>
      </c>
      <c r="Q28" s="30" t="str">
        <f>IF(P28="Нет", " ", "Количество фактически проданной продукции С ДОСТАВКОЙ необходимо внести в ячейку F88. Показатель рассчитывается по формуле = F87 - C87")</f>
        <v xml:space="preserve"> </v>
      </c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">
      <c r="A29" s="1"/>
      <c r="B29" s="21" t="s">
        <v>43</v>
      </c>
      <c r="C29" s="33">
        <v>946000</v>
      </c>
      <c r="D29" s="33">
        <v>892000</v>
      </c>
      <c r="E29" s="33">
        <v>892000</v>
      </c>
      <c r="F29" s="33">
        <f t="shared" ref="F29:F31" si="1">E29</f>
        <v>892000</v>
      </c>
      <c r="G29" s="27"/>
      <c r="H29" s="6"/>
      <c r="I29" s="2" t="s">
        <v>15</v>
      </c>
      <c r="J29" s="1" t="s">
        <v>44</v>
      </c>
      <c r="K29" s="1"/>
      <c r="L29" s="1"/>
      <c r="M29" s="1"/>
      <c r="N29" s="1"/>
      <c r="O29" s="6"/>
      <c r="P29" s="2" t="s">
        <v>8</v>
      </c>
      <c r="Q29" s="30" t="str">
        <f>IF(P29="Нет", " ", "Выручку за реализацию уходовой косметики (с доставкой и без) необходимо внести в ячейку F60. Показатель рассчитывается по формуле = F87 * D16 + F88 * D17 ")</f>
        <v xml:space="preserve"> </v>
      </c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">
      <c r="A30" s="1"/>
      <c r="B30" s="21" t="s">
        <v>45</v>
      </c>
      <c r="C30" s="33">
        <v>37000</v>
      </c>
      <c r="D30" s="33">
        <v>14000</v>
      </c>
      <c r="E30" s="33">
        <v>14000</v>
      </c>
      <c r="F30" s="33">
        <f t="shared" si="1"/>
        <v>14000</v>
      </c>
      <c r="G30" s="27"/>
      <c r="H30" s="6"/>
      <c r="I30" s="2" t="s">
        <v>46</v>
      </c>
      <c r="J30" s="1" t="s">
        <v>47</v>
      </c>
      <c r="K30" s="1"/>
      <c r="L30" s="1"/>
      <c r="M30" s="1"/>
      <c r="N30" s="1"/>
      <c r="O30" s="6"/>
      <c r="P30" s="2" t="s">
        <v>8</v>
      </c>
      <c r="Q30" s="30" t="str">
        <f>IF(P30="Нет", " ", "Себестоимость уходовой продукции необходимо внести в ячейку F64. Показатель рассчитывается по формуле = F87 * (D18 + D19 + D11) ")</f>
        <v xml:space="preserve"> </v>
      </c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1"/>
      <c r="B31" s="34" t="s">
        <v>48</v>
      </c>
      <c r="C31" s="35">
        <v>0</v>
      </c>
      <c r="D31" s="35">
        <v>2000000</v>
      </c>
      <c r="E31" s="35">
        <v>2000000</v>
      </c>
      <c r="F31" s="35">
        <f t="shared" si="1"/>
        <v>2000000</v>
      </c>
      <c r="G31" s="27"/>
      <c r="H31" s="6"/>
      <c r="I31" s="2" t="s">
        <v>49</v>
      </c>
      <c r="J31" s="1" t="s">
        <v>50</v>
      </c>
      <c r="K31" s="1"/>
      <c r="L31" s="1"/>
      <c r="M31" s="1"/>
      <c r="N31" s="1"/>
      <c r="O31" s="6"/>
      <c r="P31" s="2" t="s">
        <v>8</v>
      </c>
      <c r="Q31" s="30" t="str">
        <f>IF(P31="Нет", " ", "Валовую прибыль необходимо рассчитать в ячейках F66:F67. Показатели рассчитываются по формулам = F59 - (F62 + F63) и = F60 - F64 соответственно.")</f>
        <v xml:space="preserve"> </v>
      </c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">
      <c r="A32" s="1"/>
      <c r="B32" s="21"/>
      <c r="C32" s="36"/>
      <c r="D32" s="36"/>
      <c r="E32" s="36"/>
      <c r="F32" s="36"/>
      <c r="G32" s="27"/>
      <c r="H32" s="6"/>
      <c r="I32" s="2" t="s">
        <v>51</v>
      </c>
      <c r="J32" s="1" t="s">
        <v>52</v>
      </c>
      <c r="K32" s="1"/>
      <c r="L32" s="1"/>
      <c r="M32" s="1"/>
      <c r="N32" s="1"/>
      <c r="O32" s="6"/>
      <c r="P32" s="2" t="s">
        <v>8</v>
      </c>
      <c r="Q32" s="30" t="str">
        <f>IF(P32="Нет", " ", "Стоимость услуг по доставке и хранению необходимо рассчитать в ячейках F76:F77. Показатели рассчитываются по формулам = F88 * D6 и = F88 * D5  соответственно.")</f>
        <v xml:space="preserve"> </v>
      </c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1"/>
      <c r="B33" s="31" t="s">
        <v>53</v>
      </c>
      <c r="C33" s="32">
        <v>1865349.1999999993</v>
      </c>
      <c r="D33" s="32">
        <v>2045029.2124999999</v>
      </c>
      <c r="E33" s="32">
        <v>2056308.699999999</v>
      </c>
      <c r="F33" s="32">
        <f>SUM(F34:F38)</f>
        <v>2128937.3916666666</v>
      </c>
      <c r="G33" s="27"/>
      <c r="H33" s="6"/>
      <c r="I33" s="2" t="s">
        <v>54</v>
      </c>
      <c r="J33" s="1" t="s">
        <v>55</v>
      </c>
      <c r="K33" s="1"/>
      <c r="L33" s="1"/>
      <c r="M33" s="1"/>
      <c r="N33" s="1"/>
      <c r="O33" s="6"/>
      <c r="P33" s="2" t="s">
        <v>8</v>
      </c>
      <c r="Q33" s="30" t="str">
        <f>IF(P33="Нет", " ", "EBITDA и EBITDA в % необходимо рассчитать в ячейках F79:F80. Показатели рассчитываются по формулам = F65 - F68 + F84 и = F79 / F58 соответственно.")</f>
        <v xml:space="preserve"> </v>
      </c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1"/>
      <c r="B34" s="21" t="s">
        <v>56</v>
      </c>
      <c r="C34" s="33">
        <v>256149</v>
      </c>
      <c r="D34" s="33">
        <v>271670.64120000001</v>
      </c>
      <c r="E34" s="33">
        <v>517467.88800000004</v>
      </c>
      <c r="F34" s="37">
        <f>F87*24.6%*(D18+D19)</f>
        <v>452383.66800000006</v>
      </c>
      <c r="G34" s="2"/>
      <c r="H34" s="6"/>
      <c r="I34" s="2" t="s">
        <v>57</v>
      </c>
      <c r="J34" s="1" t="s">
        <v>58</v>
      </c>
      <c r="K34" s="1"/>
      <c r="L34" s="1"/>
      <c r="M34" s="1"/>
      <c r="N34" s="1"/>
      <c r="O34" s="6"/>
      <c r="P34" s="2" t="s">
        <v>8</v>
      </c>
      <c r="Q34" s="30" t="str">
        <f>IF(P34="Нет", " ", "Проценты по кредиту необходимо посчитать в ячейке F82. Показатель рассчитывается по формуле = D21 * D22 / 2 (поскольку кредит был взят в середине года)")</f>
        <v xml:space="preserve"> </v>
      </c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1"/>
      <c r="B35" s="21" t="s">
        <v>59</v>
      </c>
      <c r="C35" s="33">
        <v>254000</v>
      </c>
      <c r="D35" s="33">
        <v>254000</v>
      </c>
      <c r="E35" s="33">
        <v>254000</v>
      </c>
      <c r="F35" s="33">
        <f t="shared" ref="F35:F37" si="2">E35</f>
        <v>254000</v>
      </c>
      <c r="G35" s="27"/>
      <c r="H35" s="6"/>
      <c r="I35" s="2" t="s">
        <v>60</v>
      </c>
      <c r="J35" s="1" t="s">
        <v>61</v>
      </c>
      <c r="K35" s="1"/>
      <c r="L35" s="1"/>
      <c r="M35" s="1"/>
      <c r="N35" s="1"/>
      <c r="O35" s="6"/>
      <c r="P35" s="2" t="s">
        <v>8</v>
      </c>
      <c r="Q35" s="30" t="str">
        <f>IF(P35="Нет", " ", "Налог на прибыль необходимо посчитать в ячейке F81. Показатель рассчитывается по формуле = (F79 - F82 - F84)*20%")</f>
        <v xml:space="preserve"> </v>
      </c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1"/>
      <c r="B36" s="21" t="s">
        <v>62</v>
      </c>
      <c r="C36" s="33">
        <v>853300</v>
      </c>
      <c r="D36" s="33">
        <v>853300</v>
      </c>
      <c r="E36" s="33">
        <v>853000</v>
      </c>
      <c r="F36" s="33">
        <f t="shared" si="2"/>
        <v>853000</v>
      </c>
      <c r="G36" s="27"/>
      <c r="H36" s="6"/>
      <c r="I36" s="2" t="s">
        <v>63</v>
      </c>
      <c r="J36" s="1" t="s">
        <v>64</v>
      </c>
      <c r="K36" s="1"/>
      <c r="L36" s="1"/>
      <c r="M36" s="1"/>
      <c r="N36" s="1"/>
      <c r="O36" s="6"/>
      <c r="P36" s="2" t="s">
        <v>8</v>
      </c>
      <c r="Q36" s="30" t="str">
        <f>IF(P36="Нет", " ", "Чистую прибыль необходимо посчитать в ячейке F83. Показатель рассчитывается по формуле = F79 - F81 - F82 - F84")</f>
        <v xml:space="preserve"> </v>
      </c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">
      <c r="A37" s="1"/>
      <c r="B37" s="21" t="s">
        <v>65</v>
      </c>
      <c r="C37" s="33">
        <v>105000</v>
      </c>
      <c r="D37" s="33">
        <v>105000</v>
      </c>
      <c r="E37" s="33">
        <v>105000</v>
      </c>
      <c r="F37" s="33">
        <f t="shared" si="2"/>
        <v>105000</v>
      </c>
      <c r="G37" s="27"/>
      <c r="H37" s="6"/>
      <c r="I37" s="2"/>
      <c r="J37" s="1"/>
      <c r="K37" s="1"/>
      <c r="L37" s="1"/>
      <c r="M37" s="1"/>
      <c r="N37" s="1"/>
      <c r="O37" s="6"/>
      <c r="P37" s="2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">
      <c r="A38" s="1"/>
      <c r="B38" s="34" t="s">
        <v>66</v>
      </c>
      <c r="C38" s="35">
        <v>396900.19999999925</v>
      </c>
      <c r="D38" s="35">
        <v>561058.57129999995</v>
      </c>
      <c r="E38" s="35">
        <v>326840.81199999899</v>
      </c>
      <c r="F38" s="38">
        <f>F40-F28-F34-F35-F36-F37</f>
        <v>464553.72366666654</v>
      </c>
      <c r="G38" s="2" t="str">
        <f>IF($P$42="Да", "[14]", "")</f>
        <v/>
      </c>
      <c r="H38" s="6"/>
      <c r="I38" s="2"/>
      <c r="J38" s="28" t="s">
        <v>67</v>
      </c>
      <c r="K38" s="1"/>
      <c r="L38" s="1"/>
      <c r="M38" s="1"/>
      <c r="N38" s="1"/>
      <c r="O38" s="1"/>
      <c r="P38" s="2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1"/>
      <c r="B39" s="21"/>
      <c r="C39" s="36"/>
      <c r="D39" s="36"/>
      <c r="E39" s="36"/>
      <c r="F39" s="36"/>
      <c r="G39" s="27"/>
      <c r="H39" s="6"/>
      <c r="I39" s="2" t="s">
        <v>68</v>
      </c>
      <c r="J39" s="1" t="s">
        <v>69</v>
      </c>
      <c r="K39" s="1"/>
      <c r="L39" s="1"/>
      <c r="M39" s="1"/>
      <c r="N39" s="1"/>
      <c r="O39" s="1"/>
      <c r="P39" s="2" t="s">
        <v>8</v>
      </c>
      <c r="Q39" s="30" t="str">
        <f>IF(P39="Нет", " ", "Нераспределенную прибыль необходимо указать в ячейке F44. Сумма равняется Факту 2023 + показатель Чистой прибыли из ОПУ за 2024 год.")</f>
        <v xml:space="preserve"> </v>
      </c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">
      <c r="A40" s="1"/>
      <c r="B40" s="6" t="s">
        <v>70</v>
      </c>
      <c r="C40" s="29">
        <v>2848349.2</v>
      </c>
      <c r="D40" s="29">
        <v>4951029.2124999994</v>
      </c>
      <c r="E40" s="29">
        <v>4962407.6999999993</v>
      </c>
      <c r="F40" s="29">
        <f>F41+F46+F49</f>
        <v>5034937.3916666666</v>
      </c>
      <c r="G40" s="27"/>
      <c r="H40" s="6"/>
      <c r="I40" s="2" t="s">
        <v>71</v>
      </c>
      <c r="J40" s="1" t="s">
        <v>72</v>
      </c>
      <c r="K40" s="1"/>
      <c r="L40" s="1"/>
      <c r="M40" s="1"/>
      <c r="N40" s="1"/>
      <c r="O40" s="1"/>
      <c r="P40" s="2" t="s">
        <v>8</v>
      </c>
      <c r="Q40" s="30" t="str">
        <f>IF(P40="Нет", " ", "Невыплаченное обязательство по кредиту необходимо рассчитать в ячейке F47. Обязательство считается по формуле = D21 - (D21 / 5 / 2), т.к кредит выдан на 5 лет, а на конец 2024 года выплаченное тело долга составляет половину годового обязательства")</f>
        <v xml:space="preserve"> </v>
      </c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1"/>
      <c r="B41" s="31" t="s">
        <v>73</v>
      </c>
      <c r="C41" s="32">
        <v>2236681.6</v>
      </c>
      <c r="D41" s="32">
        <v>4339361.6124999998</v>
      </c>
      <c r="E41" s="32">
        <v>4337640.0999999996</v>
      </c>
      <c r="F41" s="32">
        <f>SUM(F42:F44)</f>
        <v>4130348.8749999995</v>
      </c>
      <c r="G41" s="39"/>
      <c r="H41" s="6"/>
      <c r="I41" s="2" t="s">
        <v>74</v>
      </c>
      <c r="J41" s="1" t="s">
        <v>75</v>
      </c>
      <c r="K41" s="1"/>
      <c r="L41" s="1"/>
      <c r="M41" s="1"/>
      <c r="N41" s="1"/>
      <c r="O41" s="1"/>
      <c r="P41" s="2" t="s">
        <v>8</v>
      </c>
      <c r="Q41" s="30" t="str">
        <f>IF(P41="Нет", " ", "Остаток по запасам необходимо рассчитать в ячейке F34. Запасы рассчитываются в соответствии с нормативом по формуле = F87 * 24,6% * (D18 + D19)  ")</f>
        <v xml:space="preserve"> </v>
      </c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1"/>
      <c r="B42" s="21" t="s">
        <v>76</v>
      </c>
      <c r="C42" s="33">
        <v>10000</v>
      </c>
      <c r="D42" s="33">
        <v>10000</v>
      </c>
      <c r="E42" s="33">
        <v>10000</v>
      </c>
      <c r="F42" s="33">
        <f t="shared" ref="F42:F43" si="3">E42</f>
        <v>10000</v>
      </c>
      <c r="G42" s="27"/>
      <c r="H42" s="6"/>
      <c r="I42" s="2" t="s">
        <v>77</v>
      </c>
      <c r="J42" s="1" t="s">
        <v>78</v>
      </c>
      <c r="K42" s="1"/>
      <c r="L42" s="1"/>
      <c r="M42" s="1"/>
      <c r="N42" s="1"/>
      <c r="O42" s="1"/>
      <c r="P42" s="2" t="s">
        <v>8</v>
      </c>
      <c r="Q42" s="30" t="str">
        <f>IF(P42="Нет", " ", "Остаток денежных средств переносится из ОДДС за вычетом краткосрочных финансовых вложений")</f>
        <v xml:space="preserve"> </v>
      </c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1"/>
      <c r="B43" s="21" t="s">
        <v>79</v>
      </c>
      <c r="C43" s="33">
        <v>420000</v>
      </c>
      <c r="D43" s="33">
        <v>420000</v>
      </c>
      <c r="E43" s="33">
        <v>420000</v>
      </c>
      <c r="F43" s="33">
        <f t="shared" si="3"/>
        <v>420000</v>
      </c>
      <c r="G43" s="27"/>
      <c r="H43" s="6"/>
      <c r="I43" s="2"/>
      <c r="J43" s="1"/>
      <c r="K43" s="1"/>
      <c r="L43" s="1"/>
      <c r="M43" s="1"/>
      <c r="N43" s="1"/>
      <c r="O43" s="1"/>
      <c r="P43" s="2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1"/>
      <c r="B44" s="34" t="s">
        <v>80</v>
      </c>
      <c r="C44" s="35">
        <v>1806681.6</v>
      </c>
      <c r="D44" s="35">
        <v>3909361.6124999998</v>
      </c>
      <c r="E44" s="35">
        <v>3907640.1</v>
      </c>
      <c r="F44" s="38">
        <f>C44+F83</f>
        <v>3700348.8749999995</v>
      </c>
      <c r="G44" s="2" t="str">
        <f>IF($P$39="Да", "[11]", "")</f>
        <v/>
      </c>
      <c r="H44" s="6"/>
      <c r="I44" s="2"/>
      <c r="J44" s="28" t="s">
        <v>81</v>
      </c>
      <c r="K44" s="1"/>
      <c r="L44" s="1"/>
      <c r="M44" s="1"/>
      <c r="N44" s="1"/>
      <c r="O44" s="1"/>
      <c r="P44" s="2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1"/>
      <c r="B45" s="21"/>
      <c r="C45" s="36"/>
      <c r="D45" s="36"/>
      <c r="E45" s="36"/>
      <c r="F45" s="36"/>
      <c r="G45" s="27"/>
      <c r="H45" s="6"/>
      <c r="I45" s="2" t="s">
        <v>82</v>
      </c>
      <c r="J45" s="1" t="s">
        <v>83</v>
      </c>
      <c r="K45" s="1"/>
      <c r="L45" s="1"/>
      <c r="M45" s="1"/>
      <c r="N45" s="1"/>
      <c r="O45" s="1"/>
      <c r="P45" s="2" t="s">
        <v>8</v>
      </c>
      <c r="Q45" s="30" t="str">
        <f>IF(P45="Нет", " ", "Поступления от покупателей за товары необходимо посчитать в ячейке F98. Для целей кейсе считаем, что задолженность от покупателей отсутствует, все выплаты проведены")</f>
        <v xml:space="preserve"> </v>
      </c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">
      <c r="A46" s="1"/>
      <c r="B46" s="31" t="s">
        <v>84</v>
      </c>
      <c r="C46" s="32">
        <v>0</v>
      </c>
      <c r="D46" s="32">
        <v>0</v>
      </c>
      <c r="E46" s="32">
        <v>100</v>
      </c>
      <c r="F46" s="32">
        <f>SUM(F47)</f>
        <v>270000</v>
      </c>
      <c r="G46" s="27"/>
      <c r="H46" s="6"/>
      <c r="I46" s="2" t="s">
        <v>85</v>
      </c>
      <c r="J46" s="1" t="s">
        <v>86</v>
      </c>
      <c r="K46" s="1"/>
      <c r="L46" s="1"/>
      <c r="M46" s="1"/>
      <c r="N46" s="1"/>
      <c r="O46" s="1"/>
      <c r="P46" s="2" t="s">
        <v>8</v>
      </c>
      <c r="Q46" s="30" t="str">
        <f>IF(P46="Нет", " ", "Выплаты поставщикам за товары необходимо посчитать в ячейке F100. Выплаты включают в себя себестоимость за товары F87*(D18+D19), расходные материалы по груминговым услугам без учета амортизации (F63-F84), а также изменение остатков по запасам (F34-C34)")</f>
        <v xml:space="preserve"> </v>
      </c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">
      <c r="A47" s="1"/>
      <c r="B47" s="34" t="s">
        <v>87</v>
      </c>
      <c r="C47" s="35">
        <v>0</v>
      </c>
      <c r="D47" s="35">
        <v>0</v>
      </c>
      <c r="E47" s="35">
        <v>100</v>
      </c>
      <c r="F47" s="38">
        <f>D21-(D21/5/2)</f>
        <v>270000</v>
      </c>
      <c r="G47" s="2" t="str">
        <f>IF($P$40="Да", "[12]", "")</f>
        <v/>
      </c>
      <c r="H47" s="6"/>
      <c r="I47" s="2" t="s">
        <v>88</v>
      </c>
      <c r="J47" s="1" t="s">
        <v>89</v>
      </c>
      <c r="K47" s="1"/>
      <c r="L47" s="1"/>
      <c r="M47" s="1"/>
      <c r="N47" s="1"/>
      <c r="O47" s="1"/>
      <c r="P47" s="2" t="s">
        <v>8</v>
      </c>
      <c r="Q47" s="30" t="str">
        <f>IF(P47="Нет", " ", "Выплаты персоналу необходимо посчитать в ячейке F101. Выплаты включают в себя все прямые и косвенные расходы на персонал (F62+F69+F70+F71+F78), услуги упаковщика (D11*F87), изменение кредиторской задолженности перед персоналом -(F51-C51)")</f>
        <v xml:space="preserve"> </v>
      </c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">
      <c r="A48" s="1"/>
      <c r="B48" s="21"/>
      <c r="C48" s="36"/>
      <c r="D48" s="36"/>
      <c r="E48" s="36"/>
      <c r="F48" s="36"/>
      <c r="G48" s="27"/>
      <c r="H48" s="6"/>
      <c r="I48" s="2" t="s">
        <v>90</v>
      </c>
      <c r="J48" s="1" t="s">
        <v>91</v>
      </c>
      <c r="K48" s="1"/>
      <c r="L48" s="1"/>
      <c r="M48" s="1"/>
      <c r="N48" s="1"/>
      <c r="O48" s="1"/>
      <c r="P48" s="2" t="s">
        <v>8</v>
      </c>
      <c r="Q48" s="30" t="str">
        <f>IF(P48="Нет", " ", "Выплату за услуги доставки и хранения необходимо отразить в ячейкеах F104:F105. Сумма соответствует расходам, начисленным в ОПУ")</f>
        <v xml:space="preserve"> </v>
      </c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">
      <c r="A49" s="1"/>
      <c r="B49" s="31" t="s">
        <v>92</v>
      </c>
      <c r="C49" s="32">
        <v>611667.6</v>
      </c>
      <c r="D49" s="32">
        <v>611667.6</v>
      </c>
      <c r="E49" s="32">
        <v>624667.6</v>
      </c>
      <c r="F49" s="32">
        <f>SUM(F50:F51)</f>
        <v>634588.51666666672</v>
      </c>
      <c r="G49" s="27"/>
      <c r="H49" s="6"/>
      <c r="I49" s="2" t="s">
        <v>93</v>
      </c>
      <c r="J49" s="1" t="s">
        <v>94</v>
      </c>
      <c r="K49" s="1"/>
      <c r="L49" s="1"/>
      <c r="M49" s="1"/>
      <c r="N49" s="1"/>
      <c r="O49" s="6"/>
      <c r="P49" s="2" t="s">
        <v>8</v>
      </c>
      <c r="Q49" s="30" t="str">
        <f>IF(P49="Нет", " ", "Получение кредита необходимо отразить в ячейке F119. Отразить необходимо полную сумму, указанную в ячейке D21")</f>
        <v xml:space="preserve"> </v>
      </c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1"/>
      <c r="B50" s="21" t="s">
        <v>95</v>
      </c>
      <c r="C50" s="33">
        <v>139167.6</v>
      </c>
      <c r="D50" s="33">
        <v>139167.6</v>
      </c>
      <c r="E50" s="33">
        <v>139167.6</v>
      </c>
      <c r="F50" s="33">
        <f>E50</f>
        <v>139167.6</v>
      </c>
      <c r="G50" s="27"/>
      <c r="H50" s="6"/>
      <c r="I50" s="2" t="s">
        <v>96</v>
      </c>
      <c r="J50" s="1" t="s">
        <v>97</v>
      </c>
      <c r="K50" s="1"/>
      <c r="L50" s="1"/>
      <c r="M50" s="1"/>
      <c r="N50" s="1"/>
      <c r="O50" s="6"/>
      <c r="P50" s="2" t="s">
        <v>8</v>
      </c>
      <c r="Q50" s="30" t="str">
        <f>IF(P50="Нет", " ", "Выплату тела долга необходимо отразить в ячейке F120. Сумма считается по формуле = -(D21 / 5 / 2), т.к кредит выдан на 5 лет, а на конец 2024 года выплаченное тело долга составляет половину годового обязательства")</f>
        <v xml:space="preserve"> </v>
      </c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">
      <c r="A51" s="1"/>
      <c r="B51" s="34" t="s">
        <v>98</v>
      </c>
      <c r="C51" s="35">
        <v>472500</v>
      </c>
      <c r="D51" s="35">
        <v>472500</v>
      </c>
      <c r="E51" s="35">
        <v>485500</v>
      </c>
      <c r="F51" s="35">
        <f>E51+D11*F87/12/2</f>
        <v>495420.91666666669</v>
      </c>
      <c r="G51" s="2"/>
      <c r="H51" s="6"/>
      <c r="I51" s="2" t="s">
        <v>99</v>
      </c>
      <c r="J51" s="1" t="s">
        <v>100</v>
      </c>
      <c r="K51" s="1"/>
      <c r="L51" s="1"/>
      <c r="M51" s="1"/>
      <c r="N51" s="1"/>
      <c r="O51" s="6"/>
      <c r="P51" s="2" t="s">
        <v>8</v>
      </c>
      <c r="Q51" s="30" t="str">
        <f>IF(P51="Нет", " ", "Оплату процентов по кредиту необходимо посчитать в ячейке F106. Показатель рассчитывается по формуле = D21 * D22 / 2 (поскольку кредит был взят в середине года)")</f>
        <v xml:space="preserve"> </v>
      </c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1"/>
      <c r="B52" s="1"/>
      <c r="C52" s="1"/>
      <c r="D52" s="1"/>
      <c r="E52" s="1"/>
      <c r="F52" s="1"/>
      <c r="G52" s="2"/>
      <c r="H52" s="6"/>
      <c r="I52" s="2" t="s">
        <v>101</v>
      </c>
      <c r="J52" s="1" t="s">
        <v>102</v>
      </c>
      <c r="K52" s="1"/>
      <c r="L52" s="1"/>
      <c r="M52" s="1"/>
      <c r="N52" s="1"/>
      <c r="O52" s="6"/>
      <c r="P52" s="2" t="s">
        <v>8</v>
      </c>
      <c r="Q52" s="30" t="str">
        <f>IF(P52="Нет", " ", "Оплату налога на прибыль необходимо отразить в ячейке F107. Сумма соответствует расходам, начисленным в ОПУ")</f>
        <v xml:space="preserve"> </v>
      </c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1"/>
      <c r="B53" s="1"/>
      <c r="C53" s="1"/>
      <c r="D53" s="1"/>
      <c r="E53" s="1"/>
      <c r="F53" s="1"/>
      <c r="G53" s="2"/>
      <c r="H53" s="6"/>
      <c r="I53" s="2"/>
      <c r="J53" s="1"/>
      <c r="K53" s="1"/>
      <c r="L53" s="1"/>
      <c r="M53" s="1"/>
      <c r="N53" s="1"/>
      <c r="O53" s="6"/>
      <c r="P53" s="2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1"/>
      <c r="B54" s="3" t="s">
        <v>103</v>
      </c>
      <c r="C54" s="3"/>
      <c r="D54" s="3"/>
      <c r="E54" s="3"/>
      <c r="F54" s="4"/>
      <c r="G54" s="5"/>
      <c r="H54" s="6"/>
      <c r="I54" s="2"/>
      <c r="J54" s="28" t="s">
        <v>104</v>
      </c>
      <c r="K54" s="1"/>
      <c r="L54" s="1"/>
      <c r="M54" s="1"/>
      <c r="N54" s="1"/>
      <c r="O54" s="6"/>
      <c r="P54" s="2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1"/>
      <c r="B55" s="1"/>
      <c r="C55" s="10" t="s">
        <v>34</v>
      </c>
      <c r="D55" s="83" t="s">
        <v>4</v>
      </c>
      <c r="E55" s="84"/>
      <c r="F55" s="10" t="s">
        <v>5</v>
      </c>
      <c r="G55" s="2"/>
      <c r="H55" s="6"/>
      <c r="I55" s="2" t="s">
        <v>105</v>
      </c>
      <c r="J55" s="1" t="s">
        <v>106</v>
      </c>
      <c r="K55" s="1"/>
      <c r="L55" s="1"/>
      <c r="M55" s="1"/>
      <c r="N55" s="1"/>
      <c r="O55" s="6"/>
      <c r="P55" s="2" t="s">
        <v>8</v>
      </c>
      <c r="Q55" s="30" t="str">
        <f>IF(P55="Нет", " ", "Сумму нераспределенной прибыли необходимо отразить в ячейке F153. Сумма соответствует чистой прибыли, полученной в ОПУ")</f>
        <v xml:space="preserve"> </v>
      </c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1"/>
      <c r="B56" s="1"/>
      <c r="C56" s="26"/>
      <c r="D56" s="9" t="s">
        <v>36</v>
      </c>
      <c r="E56" s="9" t="s">
        <v>37</v>
      </c>
      <c r="F56" s="26"/>
      <c r="G56" s="2"/>
      <c r="H56" s="6"/>
      <c r="I56" s="2"/>
      <c r="J56" s="1"/>
      <c r="K56" s="1"/>
      <c r="L56" s="1"/>
      <c r="M56" s="1"/>
      <c r="N56" s="1"/>
      <c r="O56" s="6"/>
      <c r="P56" s="2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1"/>
      <c r="B57" s="21" t="s">
        <v>35</v>
      </c>
      <c r="C57" s="21"/>
      <c r="D57" s="21"/>
      <c r="E57" s="40"/>
      <c r="F57" s="1"/>
      <c r="G57" s="2"/>
      <c r="H57" s="6"/>
      <c r="I57" s="2"/>
      <c r="J57" s="1"/>
      <c r="K57" s="1"/>
      <c r="L57" s="1"/>
      <c r="M57" s="1"/>
      <c r="N57" s="1"/>
      <c r="O57" s="6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">
      <c r="A58" s="1"/>
      <c r="B58" s="41" t="s">
        <v>107</v>
      </c>
      <c r="C58" s="42">
        <v>14241316</v>
      </c>
      <c r="D58" s="42">
        <v>14314125.550000001</v>
      </c>
      <c r="E58" s="42">
        <v>15995507</v>
      </c>
      <c r="F58" s="42">
        <f>SUM(F59:F60)</f>
        <v>15595899.699999999</v>
      </c>
      <c r="G58" s="2"/>
      <c r="H58" s="6"/>
      <c r="I58" s="2"/>
      <c r="J58" s="1"/>
      <c r="K58" s="1"/>
      <c r="L58" s="1"/>
      <c r="M58" s="1"/>
      <c r="N58" s="1"/>
      <c r="O58" s="6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1"/>
      <c r="B59" s="43" t="s">
        <v>108</v>
      </c>
      <c r="C59" s="33">
        <v>12785125</v>
      </c>
      <c r="D59" s="33">
        <v>12785125</v>
      </c>
      <c r="E59" s="33">
        <v>12785125</v>
      </c>
      <c r="F59" s="33">
        <f>E59</f>
        <v>12785125</v>
      </c>
      <c r="G59" s="2"/>
      <c r="H59" s="6"/>
      <c r="I59" s="2"/>
      <c r="J59" s="1"/>
      <c r="K59" s="1"/>
      <c r="L59" s="1"/>
      <c r="M59" s="1"/>
      <c r="N59" s="1"/>
      <c r="O59" s="6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1"/>
      <c r="B60" s="43" t="s">
        <v>109</v>
      </c>
      <c r="C60" s="33">
        <v>1456191</v>
      </c>
      <c r="D60" s="33">
        <v>1529000.55</v>
      </c>
      <c r="E60" s="33">
        <v>3210382</v>
      </c>
      <c r="F60" s="37">
        <f>F87*D16+F88*D17</f>
        <v>2810774.6999999997</v>
      </c>
      <c r="G60" s="2" t="str">
        <f>IF($P$29="Да", "[3]", "")</f>
        <v/>
      </c>
      <c r="H60" s="6"/>
      <c r="I60" s="2"/>
      <c r="J60" s="1"/>
      <c r="K60" s="1"/>
      <c r="L60" s="1"/>
      <c r="M60" s="1"/>
      <c r="N60" s="1"/>
      <c r="O60" s="6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1"/>
      <c r="B61" s="41" t="s">
        <v>110</v>
      </c>
      <c r="C61" s="42">
        <v>4357964</v>
      </c>
      <c r="D61" s="42">
        <v>4410552.2</v>
      </c>
      <c r="E61" s="42">
        <v>5409728</v>
      </c>
      <c r="F61" s="42">
        <f>SUM(F62:F64)</f>
        <v>5383260</v>
      </c>
      <c r="G61" s="44"/>
      <c r="H61" s="6"/>
      <c r="I61" s="2"/>
      <c r="J61" s="1"/>
      <c r="K61" s="1"/>
      <c r="L61" s="1"/>
      <c r="M61" s="1"/>
      <c r="N61" s="1"/>
      <c r="O61" s="6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1"/>
      <c r="B62" s="43" t="s">
        <v>111</v>
      </c>
      <c r="C62" s="33">
        <v>2314340</v>
      </c>
      <c r="D62" s="33">
        <v>2314340</v>
      </c>
      <c r="E62" s="33">
        <v>2314340</v>
      </c>
      <c r="F62" s="33">
        <f t="shared" ref="F62:F63" si="4">E62</f>
        <v>2314340</v>
      </c>
      <c r="G62" s="2"/>
      <c r="H62" s="6"/>
      <c r="I62" s="2"/>
      <c r="J62" s="1"/>
      <c r="K62" s="1"/>
      <c r="L62" s="1"/>
      <c r="M62" s="1"/>
      <c r="N62" s="1"/>
      <c r="O62" s="6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1"/>
      <c r="B63" s="43" t="s">
        <v>112</v>
      </c>
      <c r="C63" s="33">
        <v>991860</v>
      </c>
      <c r="D63" s="33">
        <v>991860</v>
      </c>
      <c r="E63" s="33">
        <v>991860</v>
      </c>
      <c r="F63" s="33">
        <f t="shared" si="4"/>
        <v>991860</v>
      </c>
      <c r="G63" s="2"/>
      <c r="H63" s="6"/>
      <c r="I63" s="2"/>
      <c r="J63" s="1"/>
      <c r="K63" s="1"/>
      <c r="L63" s="1"/>
      <c r="M63" s="1"/>
      <c r="N63" s="1"/>
      <c r="O63" s="6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1"/>
      <c r="B64" s="45" t="s">
        <v>113</v>
      </c>
      <c r="C64" s="35">
        <v>1051764</v>
      </c>
      <c r="D64" s="35">
        <v>1104352.2</v>
      </c>
      <c r="E64" s="35">
        <v>2103528</v>
      </c>
      <c r="F64" s="38">
        <f>F87*(D18+D19+D11)</f>
        <v>2077060</v>
      </c>
      <c r="G64" s="2"/>
      <c r="H64" s="6"/>
      <c r="I64" s="2"/>
      <c r="J64" s="1"/>
      <c r="K64" s="1"/>
      <c r="L64" s="1"/>
      <c r="M64" s="1"/>
      <c r="N64" s="1"/>
      <c r="O64" s="6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1"/>
      <c r="B65" s="46" t="s">
        <v>114</v>
      </c>
      <c r="C65" s="29">
        <v>9883352</v>
      </c>
      <c r="D65" s="29">
        <v>9903573.3499999996</v>
      </c>
      <c r="E65" s="29">
        <v>10585779</v>
      </c>
      <c r="F65" s="29">
        <f>SUM(F66:F67)</f>
        <v>10212639.699999999</v>
      </c>
      <c r="G65" s="47"/>
      <c r="H65" s="6"/>
      <c r="I65" s="2"/>
      <c r="J65" s="1"/>
      <c r="K65" s="1"/>
      <c r="L65" s="1"/>
      <c r="M65" s="1"/>
      <c r="N65" s="1"/>
      <c r="O65" s="6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1"/>
      <c r="B66" s="43" t="s">
        <v>108</v>
      </c>
      <c r="C66" s="33">
        <v>9478925</v>
      </c>
      <c r="D66" s="33">
        <v>9478925</v>
      </c>
      <c r="E66" s="33">
        <v>9478925</v>
      </c>
      <c r="F66" s="37">
        <f>F59-F62-F63</f>
        <v>9478925</v>
      </c>
      <c r="G66" s="2" t="str">
        <f>IF($P$31="Да", "[5]", "")</f>
        <v/>
      </c>
      <c r="H66" s="6"/>
      <c r="I66" s="2"/>
      <c r="J66" s="1"/>
      <c r="K66" s="1"/>
      <c r="L66" s="1"/>
      <c r="M66" s="1"/>
      <c r="N66" s="1"/>
      <c r="O66" s="6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1"/>
      <c r="B67" s="45" t="s">
        <v>115</v>
      </c>
      <c r="C67" s="35">
        <v>404427</v>
      </c>
      <c r="D67" s="35">
        <v>424648.35000000009</v>
      </c>
      <c r="E67" s="35">
        <v>1106854</v>
      </c>
      <c r="F67" s="38">
        <f>F60-F64</f>
        <v>733714.69999999972</v>
      </c>
      <c r="G67" s="47"/>
      <c r="H67" s="48"/>
      <c r="I67" s="2"/>
      <c r="J67" s="1"/>
      <c r="K67" s="1"/>
      <c r="L67" s="1"/>
      <c r="M67" s="1"/>
      <c r="N67" s="1"/>
      <c r="O67" s="6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1"/>
      <c r="B68" s="49" t="s">
        <v>117</v>
      </c>
      <c r="C68" s="50">
        <v>7100000</v>
      </c>
      <c r="D68" s="50">
        <v>7100000</v>
      </c>
      <c r="E68" s="50">
        <v>7784500</v>
      </c>
      <c r="F68" s="50">
        <f>SUM(F69:F78)</f>
        <v>7672750</v>
      </c>
      <c r="G68" s="2"/>
      <c r="H68" s="51"/>
      <c r="I68" s="2"/>
      <c r="J68" s="1"/>
      <c r="K68" s="1"/>
      <c r="L68" s="1"/>
      <c r="M68" s="1"/>
      <c r="N68" s="1"/>
      <c r="O68" s="6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1"/>
      <c r="B69" s="43" t="s">
        <v>119</v>
      </c>
      <c r="C69" s="33">
        <v>3800000</v>
      </c>
      <c r="D69" s="33">
        <v>3800000</v>
      </c>
      <c r="E69" s="33">
        <v>3800000</v>
      </c>
      <c r="F69" s="33">
        <f t="shared" ref="F69:F75" si="5">E69</f>
        <v>3800000</v>
      </c>
      <c r="G69" s="2"/>
      <c r="H69" s="6"/>
      <c r="I69" s="2"/>
      <c r="J69" s="1"/>
      <c r="K69" s="1"/>
      <c r="L69" s="1"/>
      <c r="M69" s="1"/>
      <c r="N69" s="1"/>
      <c r="O69" s="6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">
      <c r="A70" s="1"/>
      <c r="B70" s="43" t="s">
        <v>120</v>
      </c>
      <c r="C70" s="33">
        <v>1300000</v>
      </c>
      <c r="D70" s="33">
        <v>1300000</v>
      </c>
      <c r="E70" s="33">
        <v>1300000</v>
      </c>
      <c r="F70" s="33">
        <f t="shared" si="5"/>
        <v>1300000</v>
      </c>
      <c r="G70" s="2"/>
      <c r="H70" s="6"/>
      <c r="I70" s="2"/>
      <c r="J70" s="1"/>
      <c r="K70" s="1"/>
      <c r="L70" s="1"/>
      <c r="M70" s="1"/>
      <c r="N70" s="1"/>
      <c r="O70" s="6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">
      <c r="A71" s="1"/>
      <c r="B71" s="43" t="s">
        <v>121</v>
      </c>
      <c r="C71" s="33">
        <v>620000</v>
      </c>
      <c r="D71" s="33">
        <v>620000</v>
      </c>
      <c r="E71" s="33">
        <v>620000</v>
      </c>
      <c r="F71" s="33">
        <f t="shared" si="5"/>
        <v>620000</v>
      </c>
      <c r="G71" s="2"/>
      <c r="H71" s="6"/>
      <c r="I71" s="2"/>
      <c r="J71" s="1"/>
      <c r="K71" s="1"/>
      <c r="L71" s="1"/>
      <c r="M71" s="1"/>
      <c r="N71" s="1"/>
      <c r="O71" s="6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">
      <c r="A72" s="1"/>
      <c r="B72" s="43" t="s">
        <v>122</v>
      </c>
      <c r="C72" s="33">
        <v>360000</v>
      </c>
      <c r="D72" s="33">
        <v>360000</v>
      </c>
      <c r="E72" s="33">
        <v>360000</v>
      </c>
      <c r="F72" s="33">
        <f t="shared" si="5"/>
        <v>360000</v>
      </c>
      <c r="G72" s="2"/>
      <c r="H72" s="6"/>
      <c r="I72" s="2"/>
      <c r="J72" s="1"/>
      <c r="K72" s="1"/>
      <c r="L72" s="1"/>
      <c r="M72" s="1"/>
      <c r="N72" s="1"/>
      <c r="O72" s="6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1"/>
      <c r="B73" s="43" t="s">
        <v>123</v>
      </c>
      <c r="C73" s="33">
        <v>7200</v>
      </c>
      <c r="D73" s="33">
        <v>7200</v>
      </c>
      <c r="E73" s="33">
        <v>7200</v>
      </c>
      <c r="F73" s="33">
        <f t="shared" si="5"/>
        <v>7200</v>
      </c>
      <c r="G73" s="2"/>
      <c r="H73" s="6"/>
      <c r="I73" s="2"/>
      <c r="J73" s="1"/>
      <c r="K73" s="1"/>
      <c r="L73" s="1"/>
      <c r="M73" s="1"/>
      <c r="N73" s="1"/>
      <c r="O73" s="6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1"/>
      <c r="B74" s="43" t="s">
        <v>124</v>
      </c>
      <c r="C74" s="33">
        <v>660000</v>
      </c>
      <c r="D74" s="33">
        <v>660000</v>
      </c>
      <c r="E74" s="33">
        <v>660000</v>
      </c>
      <c r="F74" s="33">
        <f t="shared" si="5"/>
        <v>660000</v>
      </c>
      <c r="G74" s="2"/>
      <c r="H74" s="6"/>
      <c r="I74" s="2"/>
      <c r="J74" s="1"/>
      <c r="K74" s="1"/>
      <c r="L74" s="1"/>
      <c r="M74" s="1"/>
      <c r="N74" s="1"/>
      <c r="O74" s="6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1"/>
      <c r="B75" s="43" t="s">
        <v>125</v>
      </c>
      <c r="C75" s="33">
        <v>352800</v>
      </c>
      <c r="D75" s="33">
        <v>352800</v>
      </c>
      <c r="E75" s="33">
        <v>352800</v>
      </c>
      <c r="F75" s="33">
        <f t="shared" si="5"/>
        <v>352800</v>
      </c>
      <c r="G75" s="2"/>
      <c r="H75" s="6"/>
      <c r="I75" s="2"/>
      <c r="J75" s="1"/>
      <c r="K75" s="1"/>
      <c r="L75" s="1"/>
      <c r="M75" s="1"/>
      <c r="N75" s="1"/>
      <c r="O75" s="6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1"/>
      <c r="B76" s="43" t="s">
        <v>126</v>
      </c>
      <c r="C76" s="33">
        <v>0</v>
      </c>
      <c r="D76" s="33"/>
      <c r="E76" s="33">
        <v>223500</v>
      </c>
      <c r="F76" s="37">
        <f>F88*D6</f>
        <v>156450</v>
      </c>
      <c r="G76" s="2" t="str">
        <f t="shared" ref="G76:G77" si="6">IF($P$32="Да", "[6]", "")</f>
        <v/>
      </c>
      <c r="H76" s="6"/>
      <c r="I76" s="2"/>
      <c r="J76" s="1"/>
      <c r="K76" s="1"/>
      <c r="L76" s="1"/>
      <c r="M76" s="1"/>
      <c r="N76" s="1"/>
      <c r="O76" s="6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1"/>
      <c r="B77" s="43" t="s">
        <v>127</v>
      </c>
      <c r="C77" s="33">
        <v>0</v>
      </c>
      <c r="D77" s="33"/>
      <c r="E77" s="33">
        <v>149000</v>
      </c>
      <c r="F77" s="37">
        <f>F88*D5</f>
        <v>104300</v>
      </c>
      <c r="G77" s="2" t="str">
        <f t="shared" si="6"/>
        <v/>
      </c>
      <c r="H77" s="6"/>
      <c r="I77" s="2"/>
      <c r="J77" s="1"/>
      <c r="K77" s="1"/>
      <c r="L77" s="1" t="s">
        <v>128</v>
      </c>
      <c r="M77" s="1"/>
      <c r="N77" s="1"/>
      <c r="O77" s="6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1"/>
      <c r="B78" s="45" t="s">
        <v>129</v>
      </c>
      <c r="C78" s="35">
        <v>0</v>
      </c>
      <c r="D78" s="35"/>
      <c r="E78" s="35">
        <v>312000</v>
      </c>
      <c r="F78" s="35">
        <f>E78</f>
        <v>312000</v>
      </c>
      <c r="G78" s="2"/>
      <c r="H78" s="6"/>
      <c r="I78" s="2"/>
      <c r="J78" s="1"/>
      <c r="K78" s="1"/>
      <c r="L78" s="1"/>
      <c r="M78" s="1"/>
      <c r="N78" s="1"/>
      <c r="O78" s="6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1"/>
      <c r="B79" s="46" t="s">
        <v>130</v>
      </c>
      <c r="C79" s="29">
        <v>2860352</v>
      </c>
      <c r="D79" s="29">
        <v>2880573.3499999996</v>
      </c>
      <c r="E79" s="29">
        <v>2878279</v>
      </c>
      <c r="F79" s="52">
        <f>F65-F68+F84</f>
        <v>2616889.6999999993</v>
      </c>
      <c r="G79" s="47"/>
      <c r="H79" s="6"/>
      <c r="I79" s="2"/>
      <c r="J79" s="1"/>
      <c r="K79" s="1"/>
      <c r="L79" s="1"/>
      <c r="M79" s="1"/>
      <c r="N79" s="1"/>
      <c r="O79" s="6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1"/>
      <c r="B80" s="34" t="s">
        <v>131</v>
      </c>
      <c r="C80" s="53">
        <v>0.20084885413679465</v>
      </c>
      <c r="D80" s="53">
        <v>0.2012399108795018</v>
      </c>
      <c r="E80" s="53">
        <v>0.17994296773462698</v>
      </c>
      <c r="F80" s="54">
        <f>F79/F58</f>
        <v>0.16779344252900005</v>
      </c>
      <c r="G80" s="2" t="str">
        <f>IF($P$33="Да", "[7]", "")</f>
        <v/>
      </c>
      <c r="H80" s="6"/>
      <c r="I80" s="2"/>
      <c r="J80" s="1"/>
      <c r="K80" s="1"/>
      <c r="L80" s="1"/>
      <c r="M80" s="1"/>
      <c r="N80" s="1"/>
      <c r="O80" s="6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1"/>
      <c r="B81" s="43" t="s">
        <v>132</v>
      </c>
      <c r="C81" s="33">
        <v>695838</v>
      </c>
      <c r="D81" s="33">
        <v>700893.33749999991</v>
      </c>
      <c r="E81" s="33">
        <v>700319.5</v>
      </c>
      <c r="F81" s="37">
        <f>(F79-F82-F84)*25%</f>
        <v>631222.42499999981</v>
      </c>
      <c r="G81" s="55">
        <v>0.25</v>
      </c>
      <c r="H81" s="6"/>
      <c r="I81" s="2"/>
      <c r="J81" s="1"/>
      <c r="K81" s="1"/>
      <c r="L81" s="1"/>
      <c r="M81" s="1"/>
      <c r="N81" s="1"/>
      <c r="O81" s="6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">
      <c r="A82" s="1"/>
      <c r="B82" s="45" t="s">
        <v>133</v>
      </c>
      <c r="C82" s="35">
        <v>0</v>
      </c>
      <c r="D82" s="35">
        <v>0</v>
      </c>
      <c r="E82" s="35">
        <v>1</v>
      </c>
      <c r="F82" s="38">
        <f>D21*D22/2</f>
        <v>15000</v>
      </c>
      <c r="G82" s="2" t="str">
        <f>IF($P$34="Да", "[8]", "")</f>
        <v/>
      </c>
      <c r="H82" s="56"/>
      <c r="I82" s="2"/>
      <c r="J82" s="1"/>
      <c r="K82" s="1"/>
      <c r="L82" s="1"/>
      <c r="M82" s="1"/>
      <c r="N82" s="1"/>
      <c r="O82" s="6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">
      <c r="A83" s="1"/>
      <c r="B83" s="49" t="s">
        <v>134</v>
      </c>
      <c r="C83" s="50">
        <v>2087514</v>
      </c>
      <c r="D83" s="50">
        <v>2102680.0124999997</v>
      </c>
      <c r="E83" s="50">
        <v>2100958.5</v>
      </c>
      <c r="F83" s="57">
        <f>F79-F81-F82-F84</f>
        <v>1893667.2749999994</v>
      </c>
      <c r="G83" s="47"/>
      <c r="H83" s="56"/>
      <c r="I83" s="2"/>
      <c r="J83" s="1"/>
      <c r="K83" s="1"/>
      <c r="L83" s="1"/>
      <c r="M83" s="1"/>
      <c r="N83" s="1"/>
      <c r="O83" s="6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">
      <c r="A84" s="1"/>
      <c r="B84" s="21" t="s">
        <v>135</v>
      </c>
      <c r="C84" s="33">
        <v>77000</v>
      </c>
      <c r="D84" s="33">
        <v>77000</v>
      </c>
      <c r="E84" s="33">
        <v>77000</v>
      </c>
      <c r="F84" s="33">
        <f>E84</f>
        <v>77000</v>
      </c>
      <c r="G84" s="55"/>
      <c r="H84" s="6"/>
      <c r="I84" s="2"/>
      <c r="J84" s="1"/>
      <c r="K84" s="1"/>
      <c r="L84" s="1"/>
      <c r="M84" s="1"/>
      <c r="N84" s="1"/>
      <c r="O84" s="6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">
      <c r="A85" s="1"/>
      <c r="B85" s="1" t="s">
        <v>136</v>
      </c>
      <c r="C85" s="1"/>
      <c r="D85" s="1"/>
      <c r="E85" s="16">
        <v>0.39020836385547503</v>
      </c>
      <c r="F85" s="58">
        <f>(F76+F77+F78)/(F60-C60)</f>
        <v>0.42282363208711288</v>
      </c>
      <c r="G85" s="55"/>
      <c r="H85" s="6"/>
      <c r="I85" s="2"/>
      <c r="J85" s="1"/>
      <c r="K85" s="1"/>
      <c r="L85" s="1"/>
      <c r="M85" s="1"/>
      <c r="N85" s="1"/>
      <c r="O85" s="6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">
      <c r="A86" s="1"/>
      <c r="B86" s="59" t="s">
        <v>137</v>
      </c>
      <c r="C86" s="60"/>
      <c r="D86" s="60"/>
      <c r="E86" s="60"/>
      <c r="F86" s="60"/>
      <c r="G86" s="2"/>
      <c r="H86" s="6"/>
      <c r="I86" s="2"/>
      <c r="J86" s="1"/>
      <c r="K86" s="1"/>
      <c r="L86" s="1"/>
      <c r="M86" s="1"/>
      <c r="N86" s="1"/>
      <c r="O86" s="6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">
      <c r="A87" s="1"/>
      <c r="B87" s="1" t="s">
        <v>138</v>
      </c>
      <c r="C87" s="61">
        <v>1490</v>
      </c>
      <c r="D87" s="61">
        <v>1564.5</v>
      </c>
      <c r="E87" s="61">
        <v>2980</v>
      </c>
      <c r="F87" s="62">
        <f>C87*(1+D14)</f>
        <v>2533</v>
      </c>
      <c r="G87" s="2" t="str">
        <f>IF($P$27="Да", "[1]", "")</f>
        <v/>
      </c>
      <c r="H87" s="6"/>
      <c r="I87" s="2"/>
      <c r="J87" s="1"/>
      <c r="K87" s="1"/>
      <c r="L87" s="1"/>
      <c r="M87" s="1"/>
      <c r="N87" s="1"/>
      <c r="O87" s="6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 t="s">
        <v>139</v>
      </c>
      <c r="C88" s="61">
        <v>0</v>
      </c>
      <c r="D88" s="61">
        <v>0</v>
      </c>
      <c r="E88" s="61">
        <v>1490</v>
      </c>
      <c r="F88" s="62">
        <f>F87-C87</f>
        <v>1043</v>
      </c>
      <c r="G88" s="2" t="str">
        <f>IF($P$28="Да", "[2]", "")</f>
        <v/>
      </c>
      <c r="H88" s="6"/>
      <c r="I88" s="2"/>
      <c r="J88" s="1"/>
      <c r="K88" s="1"/>
      <c r="L88" s="1"/>
      <c r="M88" s="1"/>
      <c r="N88" s="1"/>
      <c r="O88" s="6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21"/>
      <c r="C89" s="21"/>
      <c r="D89" s="21"/>
      <c r="E89" s="21"/>
      <c r="F89" s="21"/>
      <c r="G89" s="27"/>
      <c r="H89" s="6"/>
      <c r="I89" s="2"/>
      <c r="J89" s="1"/>
      <c r="K89" s="1"/>
      <c r="L89" s="1"/>
      <c r="M89" s="1"/>
      <c r="N89" s="1"/>
      <c r="O89" s="6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3" t="s">
        <v>140</v>
      </c>
      <c r="C90" s="3"/>
      <c r="D90" s="3"/>
      <c r="E90" s="3"/>
      <c r="F90" s="4"/>
      <c r="G90" s="5"/>
      <c r="H90" s="6"/>
      <c r="I90" s="2"/>
      <c r="J90" s="1"/>
      <c r="K90" s="1"/>
      <c r="L90" s="1"/>
      <c r="M90" s="1"/>
      <c r="N90" s="1"/>
      <c r="O90" s="6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">
      <c r="A91" s="1"/>
      <c r="B91" s="21"/>
      <c r="C91" s="10" t="s">
        <v>34</v>
      </c>
      <c r="D91" s="83" t="s">
        <v>4</v>
      </c>
      <c r="E91" s="84"/>
      <c r="F91" s="10" t="s">
        <v>5</v>
      </c>
      <c r="G91" s="2"/>
      <c r="H91" s="6"/>
      <c r="I91" s="2"/>
      <c r="J91" s="1"/>
      <c r="K91" s="1"/>
      <c r="L91" s="1"/>
      <c r="M91" s="1"/>
      <c r="N91" s="1"/>
      <c r="O91" s="6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">
      <c r="A92" s="1"/>
      <c r="B92" s="21"/>
      <c r="C92" s="26"/>
      <c r="D92" s="9" t="s">
        <v>36</v>
      </c>
      <c r="E92" s="9" t="s">
        <v>37</v>
      </c>
      <c r="F92" s="26"/>
      <c r="G92" s="2"/>
      <c r="H92" s="6"/>
      <c r="I92" s="2"/>
      <c r="J92" s="1"/>
      <c r="K92" s="1"/>
      <c r="L92" s="1"/>
      <c r="M92" s="1"/>
      <c r="N92" s="1"/>
      <c r="O92" s="6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">
      <c r="A93" s="1"/>
      <c r="B93" s="41" t="s">
        <v>141</v>
      </c>
      <c r="C93" s="42">
        <v>140000</v>
      </c>
      <c r="D93" s="42">
        <v>1250200.1999999993</v>
      </c>
      <c r="E93" s="42">
        <v>1250200.1999999993</v>
      </c>
      <c r="F93" s="42">
        <f>C125</f>
        <v>1250200.1999999993</v>
      </c>
      <c r="G93" s="2"/>
      <c r="H93" s="6"/>
      <c r="I93" s="2"/>
      <c r="J93" s="1"/>
      <c r="K93" s="1"/>
      <c r="L93" s="1"/>
      <c r="M93" s="1"/>
      <c r="N93" s="1"/>
      <c r="O93" s="6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">
      <c r="A94" s="1"/>
      <c r="B94" s="46"/>
      <c r="C94" s="63"/>
      <c r="D94" s="63"/>
      <c r="E94" s="63"/>
      <c r="F94" s="63"/>
      <c r="G94" s="2"/>
      <c r="H94" s="6"/>
      <c r="I94" s="2"/>
      <c r="J94" s="1"/>
      <c r="K94" s="1"/>
      <c r="L94" s="1"/>
      <c r="M94" s="1"/>
      <c r="N94" s="1"/>
      <c r="O94" s="6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64" t="s">
        <v>142</v>
      </c>
      <c r="C95" s="65"/>
      <c r="D95" s="65"/>
      <c r="E95" s="65"/>
      <c r="F95" s="65"/>
      <c r="G95" s="2"/>
      <c r="H95" s="6"/>
      <c r="I95" s="2"/>
      <c r="J95" s="1"/>
      <c r="K95" s="1"/>
      <c r="L95" s="1"/>
      <c r="M95" s="1"/>
      <c r="N95" s="1"/>
      <c r="O95" s="6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">
      <c r="A96" s="1"/>
      <c r="B96" s="46" t="s">
        <v>143</v>
      </c>
      <c r="C96" s="29">
        <v>13987316</v>
      </c>
      <c r="D96" s="29">
        <v>14314125.550000001</v>
      </c>
      <c r="E96" s="29">
        <v>15995507</v>
      </c>
      <c r="F96" s="29">
        <f>SUM(F97:F98)</f>
        <v>15595899.699999999</v>
      </c>
      <c r="G96" s="2"/>
      <c r="H96" s="6"/>
      <c r="I96" s="2"/>
      <c r="J96" s="1"/>
      <c r="K96" s="1"/>
      <c r="L96" s="1"/>
      <c r="M96" s="1"/>
      <c r="N96" s="1"/>
      <c r="O96" s="6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">
      <c r="A97" s="1"/>
      <c r="B97" s="43" t="s">
        <v>144</v>
      </c>
      <c r="C97" s="33">
        <v>12531125</v>
      </c>
      <c r="D97" s="33">
        <v>12785125</v>
      </c>
      <c r="E97" s="33">
        <v>12785125</v>
      </c>
      <c r="F97" s="33">
        <f>E97</f>
        <v>12785125</v>
      </c>
      <c r="G97" s="2"/>
      <c r="H97" s="6"/>
      <c r="I97" s="2"/>
      <c r="J97" s="1"/>
      <c r="K97" s="1"/>
      <c r="L97" s="1"/>
      <c r="M97" s="1"/>
      <c r="N97" s="1"/>
      <c r="O97" s="6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">
      <c r="A98" s="1"/>
      <c r="B98" s="43" t="s">
        <v>145</v>
      </c>
      <c r="C98" s="33">
        <v>1456191</v>
      </c>
      <c r="D98" s="33">
        <v>1529000.55</v>
      </c>
      <c r="E98" s="33">
        <v>3210382</v>
      </c>
      <c r="F98" s="37">
        <f>F60</f>
        <v>2810774.6999999997</v>
      </c>
      <c r="G98" s="2" t="str">
        <f>IF($P$45="Да", "[15]", "")</f>
        <v/>
      </c>
      <c r="H98" s="6"/>
      <c r="I98" s="2"/>
      <c r="J98" s="1"/>
      <c r="K98" s="1"/>
      <c r="L98" s="1"/>
      <c r="M98" s="1"/>
      <c r="N98" s="1"/>
      <c r="O98" s="6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46" t="s">
        <v>146</v>
      </c>
      <c r="C99" s="29">
        <v>-11027115.800000001</v>
      </c>
      <c r="D99" s="29">
        <v>-11789967.1787</v>
      </c>
      <c r="E99" s="29">
        <v>-13705866.388</v>
      </c>
      <c r="F99" s="29">
        <f>SUM(F100:F107)</f>
        <v>-13438546.176333334</v>
      </c>
      <c r="G99" s="47"/>
      <c r="H99" s="6"/>
      <c r="I99" s="2"/>
      <c r="J99" s="1"/>
      <c r="K99" s="1"/>
      <c r="L99" s="1"/>
      <c r="M99" s="1"/>
      <c r="N99" s="1"/>
      <c r="O99" s="6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66" t="s">
        <v>147</v>
      </c>
      <c r="C100" s="33">
        <v>-1922773</v>
      </c>
      <c r="D100" s="33">
        <v>-2034733.8411999999</v>
      </c>
      <c r="E100" s="33">
        <v>-3279706.8880000003</v>
      </c>
      <c r="F100" s="37">
        <f>-(F87*(D18+D19)+(F63-F84)+(F34-C34))</f>
        <v>-2950052.6680000001</v>
      </c>
      <c r="G100" s="2" t="str">
        <f>IF($P$46="Да", "[16]", "")</f>
        <v/>
      </c>
      <c r="H100" s="67"/>
      <c r="I100" s="2"/>
      <c r="J100" s="1"/>
      <c r="K100" s="1"/>
      <c r="L100" s="1"/>
      <c r="M100" s="1"/>
      <c r="N100" s="1"/>
      <c r="O100" s="6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68" t="s">
        <v>148</v>
      </c>
      <c r="C101" s="33">
        <v>-7666840</v>
      </c>
      <c r="D101" s="33">
        <v>-8034340</v>
      </c>
      <c r="E101" s="33">
        <v>-8333340</v>
      </c>
      <c r="F101" s="69">
        <f>-((F62+F69+F70+F71+F78)+D11*F87-(F51-C51))</f>
        <v>-8561521.083333334</v>
      </c>
      <c r="G101" s="47"/>
      <c r="H101" s="6"/>
      <c r="I101" s="2"/>
      <c r="J101" s="1"/>
      <c r="K101" s="1"/>
      <c r="L101" s="1"/>
      <c r="M101" s="1"/>
      <c r="N101" s="1"/>
      <c r="O101" s="6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66" t="s">
        <v>149</v>
      </c>
      <c r="C102" s="33">
        <v>-660000</v>
      </c>
      <c r="D102" s="33">
        <v>-660000</v>
      </c>
      <c r="E102" s="33">
        <v>-660000</v>
      </c>
      <c r="F102" s="33">
        <f t="shared" ref="F102:F103" si="7">E102</f>
        <v>-660000</v>
      </c>
      <c r="G102" s="47"/>
      <c r="H102" s="6"/>
      <c r="I102" s="2"/>
      <c r="J102" s="1"/>
      <c r="K102" s="1"/>
      <c r="L102" s="1"/>
      <c r="M102" s="1"/>
      <c r="N102" s="1"/>
      <c r="O102" s="6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66" t="s">
        <v>150</v>
      </c>
      <c r="C103" s="33">
        <v>-360000</v>
      </c>
      <c r="D103" s="33">
        <v>-360000</v>
      </c>
      <c r="E103" s="33">
        <v>-360000</v>
      </c>
      <c r="F103" s="33">
        <f t="shared" si="7"/>
        <v>-360000</v>
      </c>
      <c r="G103" s="47"/>
      <c r="H103" s="6"/>
      <c r="I103" s="2"/>
      <c r="J103" s="1"/>
      <c r="K103" s="1"/>
      <c r="L103" s="1"/>
      <c r="M103" s="1"/>
      <c r="N103" s="1"/>
      <c r="O103" s="6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66" t="s">
        <v>151</v>
      </c>
      <c r="C104" s="1"/>
      <c r="D104" s="1"/>
      <c r="E104" s="33">
        <v>-149000</v>
      </c>
      <c r="F104" s="37">
        <f>-F77</f>
        <v>-104300</v>
      </c>
      <c r="G104" s="47"/>
      <c r="H104" s="6"/>
      <c r="I104" s="2"/>
      <c r="J104" s="1"/>
      <c r="K104" s="1"/>
      <c r="L104" s="1"/>
      <c r="M104" s="1"/>
      <c r="N104" s="1"/>
      <c r="O104" s="6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66" t="s">
        <v>152</v>
      </c>
      <c r="C105" s="1"/>
      <c r="D105" s="1"/>
      <c r="E105" s="33">
        <v>-223500</v>
      </c>
      <c r="F105" s="37">
        <f>-F76</f>
        <v>-156450</v>
      </c>
      <c r="G105" s="2" t="str">
        <f>IF($P$48="Да", "[18]", "")</f>
        <v/>
      </c>
      <c r="H105" s="6"/>
      <c r="I105" s="2"/>
      <c r="J105" s="1"/>
      <c r="K105" s="1"/>
      <c r="L105" s="1"/>
      <c r="M105" s="1"/>
      <c r="N105" s="1"/>
      <c r="O105" s="6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66" t="s">
        <v>153</v>
      </c>
      <c r="C106" s="1"/>
      <c r="D106" s="1"/>
      <c r="E106" s="33"/>
      <c r="F106" s="37">
        <f>-D21*D22/2</f>
        <v>-15000</v>
      </c>
      <c r="G106" s="2" t="str">
        <f>IF($P$51="Да", "[21]", "")</f>
        <v/>
      </c>
      <c r="H106" s="6"/>
      <c r="I106" s="2"/>
      <c r="J106" s="1"/>
      <c r="K106" s="1"/>
      <c r="L106" s="1"/>
      <c r="M106" s="1"/>
      <c r="N106" s="1"/>
      <c r="O106" s="6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66" t="s">
        <v>154</v>
      </c>
      <c r="C107" s="33">
        <v>-417502.80000000005</v>
      </c>
      <c r="D107" s="33">
        <v>-700893.33749999991</v>
      </c>
      <c r="E107" s="33">
        <v>-700319.5</v>
      </c>
      <c r="F107" s="37">
        <f>-F81</f>
        <v>-631222.42499999981</v>
      </c>
      <c r="G107" s="2" t="str">
        <f>IF($P$52="Да", "[22]", "")</f>
        <v/>
      </c>
      <c r="H107" s="6"/>
      <c r="I107" s="2"/>
      <c r="J107" s="1"/>
      <c r="K107" s="1"/>
      <c r="L107" s="1"/>
      <c r="M107" s="1"/>
      <c r="N107" s="1"/>
      <c r="O107" s="6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49" t="s">
        <v>155</v>
      </c>
      <c r="C108" s="50">
        <v>2960200.1999999993</v>
      </c>
      <c r="D108" s="50">
        <v>2524158.3713000007</v>
      </c>
      <c r="E108" s="50">
        <v>2289640.6119999997</v>
      </c>
      <c r="F108" s="50">
        <f>F96+F99</f>
        <v>2157353.523666665</v>
      </c>
      <c r="G108" s="2"/>
      <c r="H108" s="6"/>
      <c r="I108" s="2"/>
      <c r="J108" s="1"/>
      <c r="K108" s="1"/>
      <c r="L108" s="1"/>
      <c r="M108" s="1"/>
      <c r="N108" s="1"/>
      <c r="O108" s="6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46"/>
      <c r="C109" s="63"/>
      <c r="D109" s="63"/>
      <c r="E109" s="63"/>
      <c r="F109" s="63"/>
      <c r="G109" s="2"/>
      <c r="H109" s="6"/>
      <c r="I109" s="2"/>
      <c r="J109" s="1"/>
      <c r="K109" s="1"/>
      <c r="L109" s="1"/>
      <c r="M109" s="1"/>
      <c r="N109" s="1"/>
      <c r="O109" s="6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64" t="s">
        <v>156</v>
      </c>
      <c r="C110" s="70"/>
      <c r="D110" s="70"/>
      <c r="E110" s="70"/>
      <c r="F110" s="70"/>
      <c r="G110" s="2"/>
      <c r="H110" s="6"/>
      <c r="I110" s="2"/>
      <c r="J110" s="1"/>
      <c r="K110" s="1"/>
      <c r="L110" s="1"/>
      <c r="M110" s="1"/>
      <c r="N110" s="1"/>
      <c r="O110" s="6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66" t="s">
        <v>157</v>
      </c>
      <c r="C111" s="33">
        <v>-500000</v>
      </c>
      <c r="D111" s="33"/>
      <c r="E111" s="33"/>
      <c r="F111" s="33"/>
      <c r="G111" s="2"/>
      <c r="H111" s="6"/>
      <c r="I111" s="2"/>
      <c r="J111" s="1"/>
      <c r="K111" s="1"/>
      <c r="L111" s="1"/>
      <c r="M111" s="1"/>
      <c r="N111" s="1"/>
      <c r="O111" s="6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66" t="s">
        <v>158</v>
      </c>
      <c r="C112" s="33"/>
      <c r="D112" s="33">
        <v>-2000000</v>
      </c>
      <c r="E112" s="33">
        <v>-2000000</v>
      </c>
      <c r="F112" s="33">
        <f>E112</f>
        <v>-2000000</v>
      </c>
      <c r="G112" s="2"/>
      <c r="H112" s="6"/>
      <c r="I112" s="2"/>
      <c r="J112" s="1"/>
      <c r="K112" s="1"/>
      <c r="L112" s="1"/>
      <c r="M112" s="1"/>
      <c r="N112" s="1"/>
      <c r="O112" s="6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49" t="s">
        <v>159</v>
      </c>
      <c r="C113" s="50">
        <v>-500000</v>
      </c>
      <c r="D113" s="50">
        <v>-2000000</v>
      </c>
      <c r="E113" s="50">
        <v>-2000000</v>
      </c>
      <c r="F113" s="50">
        <f>SUM(F111:F112)</f>
        <v>-2000000</v>
      </c>
      <c r="G113" s="2"/>
      <c r="H113" s="6"/>
      <c r="I113" s="2"/>
      <c r="J113" s="1"/>
      <c r="K113" s="1"/>
      <c r="L113" s="1"/>
      <c r="M113" s="1"/>
      <c r="N113" s="1"/>
      <c r="O113" s="6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46"/>
      <c r="C114" s="63"/>
      <c r="D114" s="63"/>
      <c r="E114" s="63"/>
      <c r="F114" s="63"/>
      <c r="G114" s="2"/>
      <c r="H114" s="6"/>
      <c r="I114" s="2"/>
      <c r="J114" s="1"/>
      <c r="K114" s="1"/>
      <c r="L114" s="1"/>
      <c r="M114" s="1"/>
      <c r="N114" s="1"/>
      <c r="O114" s="6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21"/>
      <c r="C115" s="1"/>
      <c r="D115" s="1"/>
      <c r="E115" s="1"/>
      <c r="F115" s="1"/>
      <c r="G115" s="2"/>
      <c r="H115" s="6"/>
      <c r="I115" s="2"/>
      <c r="J115" s="1"/>
      <c r="K115" s="1"/>
      <c r="L115" s="1"/>
      <c r="M115" s="1"/>
      <c r="N115" s="1"/>
      <c r="O115" s="6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64" t="s">
        <v>160</v>
      </c>
      <c r="C116" s="65"/>
      <c r="D116" s="65"/>
      <c r="E116" s="65"/>
      <c r="F116" s="65"/>
      <c r="G116" s="2"/>
      <c r="H116" s="6"/>
      <c r="I116" s="2"/>
      <c r="J116" s="1"/>
      <c r="K116" s="1"/>
      <c r="L116" s="1"/>
      <c r="M116" s="1"/>
      <c r="N116" s="1"/>
      <c r="O116" s="6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66" t="s">
        <v>161</v>
      </c>
      <c r="C117" s="33">
        <v>-360000</v>
      </c>
      <c r="D117" s="33">
        <v>-360000</v>
      </c>
      <c r="E117" s="33">
        <v>-360000</v>
      </c>
      <c r="F117" s="33">
        <f>E117</f>
        <v>-360000</v>
      </c>
      <c r="G117" s="2"/>
      <c r="H117" s="6"/>
      <c r="I117" s="2"/>
      <c r="J117" s="1"/>
      <c r="K117" s="1"/>
      <c r="L117" s="1"/>
      <c r="M117" s="1"/>
      <c r="N117" s="1"/>
      <c r="O117" s="6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66" t="s">
        <v>162</v>
      </c>
      <c r="C118" s="33">
        <v>-990000</v>
      </c>
      <c r="D118" s="33"/>
      <c r="E118" s="33"/>
      <c r="F118" s="33"/>
      <c r="G118" s="2"/>
      <c r="H118" s="6"/>
      <c r="I118" s="2"/>
      <c r="J118" s="1"/>
      <c r="K118" s="1"/>
      <c r="L118" s="1"/>
      <c r="M118" s="1"/>
      <c r="N118" s="1"/>
      <c r="O118" s="6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66" t="s">
        <v>163</v>
      </c>
      <c r="C119" s="33"/>
      <c r="D119" s="33"/>
      <c r="E119" s="33"/>
      <c r="F119" s="37">
        <f>D21</f>
        <v>300000</v>
      </c>
      <c r="G119" s="2" t="str">
        <f>IF($P$49="Да", "[19]", "")</f>
        <v/>
      </c>
      <c r="H119" s="6"/>
      <c r="I119" s="2"/>
      <c r="J119" s="1"/>
      <c r="K119" s="1"/>
      <c r="L119" s="1"/>
      <c r="M119" s="1"/>
      <c r="N119" s="1"/>
      <c r="O119" s="6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66" t="s">
        <v>164</v>
      </c>
      <c r="C120" s="33"/>
      <c r="D120" s="33"/>
      <c r="E120" s="33"/>
      <c r="F120" s="37">
        <f>-(D21/5/2)</f>
        <v>-30000</v>
      </c>
      <c r="G120" s="2" t="str">
        <f>IF($P$50="Да", "[20]", "")</f>
        <v/>
      </c>
      <c r="H120" s="6"/>
      <c r="I120" s="2"/>
      <c r="J120" s="1"/>
      <c r="K120" s="1"/>
      <c r="L120" s="1"/>
      <c r="M120" s="1"/>
      <c r="N120" s="1"/>
      <c r="O120" s="6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49" t="s">
        <v>165</v>
      </c>
      <c r="C121" s="50">
        <v>-1350000</v>
      </c>
      <c r="D121" s="50">
        <v>-360000</v>
      </c>
      <c r="E121" s="50">
        <v>-360000</v>
      </c>
      <c r="F121" s="50">
        <f>SUM(F117:F120)</f>
        <v>-90000</v>
      </c>
      <c r="G121" s="2"/>
      <c r="H121" s="6"/>
      <c r="I121" s="2"/>
      <c r="J121" s="1"/>
      <c r="K121" s="1"/>
      <c r="L121" s="1"/>
      <c r="M121" s="1"/>
      <c r="N121" s="1"/>
      <c r="O121" s="6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46" t="s">
        <v>166</v>
      </c>
      <c r="C122" s="29">
        <v>1110200.1999999993</v>
      </c>
      <c r="D122" s="29">
        <v>164158.3713000007</v>
      </c>
      <c r="E122" s="29">
        <v>-70359.388000000268</v>
      </c>
      <c r="F122" s="29">
        <f>F108+F113+F121</f>
        <v>67353.523666664958</v>
      </c>
      <c r="G122" s="2"/>
      <c r="H122" s="6"/>
      <c r="I122" s="2"/>
      <c r="J122" s="1"/>
      <c r="K122" s="1"/>
      <c r="L122" s="1"/>
      <c r="M122" s="1"/>
      <c r="N122" s="1"/>
      <c r="O122" s="6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49" t="s">
        <v>167</v>
      </c>
      <c r="C123" s="50"/>
      <c r="D123" s="50">
        <v>1274358.5713</v>
      </c>
      <c r="E123" s="50">
        <v>1039840.811999999</v>
      </c>
      <c r="F123" s="50">
        <f>C122+F122</f>
        <v>1177553.7236666642</v>
      </c>
      <c r="G123" s="2"/>
      <c r="H123" s="6"/>
      <c r="I123" s="2"/>
      <c r="J123" s="1"/>
      <c r="K123" s="1"/>
      <c r="L123" s="1"/>
      <c r="M123" s="1"/>
      <c r="N123" s="1"/>
      <c r="O123" s="6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21"/>
      <c r="C124" s="1"/>
      <c r="D124" s="1"/>
      <c r="E124" s="1"/>
      <c r="F124" s="1"/>
      <c r="G124" s="2"/>
      <c r="H124" s="6"/>
      <c r="I124" s="2"/>
      <c r="J124" s="1"/>
      <c r="K124" s="1"/>
      <c r="L124" s="1"/>
      <c r="M124" s="1"/>
      <c r="N124" s="1"/>
      <c r="O124" s="6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41" t="s">
        <v>168</v>
      </c>
      <c r="C125" s="42">
        <v>1250200.1999999993</v>
      </c>
      <c r="D125" s="42">
        <v>1414358.5713</v>
      </c>
      <c r="E125" s="42">
        <v>1179840.811999999</v>
      </c>
      <c r="F125" s="42">
        <f>F93+F122</f>
        <v>1317553.7236666642</v>
      </c>
      <c r="G125" s="47"/>
      <c r="H125" s="6"/>
      <c r="I125" s="2"/>
      <c r="J125" s="1"/>
      <c r="K125" s="1"/>
      <c r="L125" s="1"/>
      <c r="M125" s="1"/>
      <c r="N125" s="1"/>
      <c r="O125" s="6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21"/>
      <c r="C126" s="71"/>
      <c r="D126" s="71"/>
      <c r="E126" s="71"/>
      <c r="F126" s="33"/>
      <c r="G126" s="2"/>
      <c r="H126" s="6"/>
      <c r="I126" s="2"/>
      <c r="J126" s="1"/>
      <c r="K126" s="1"/>
      <c r="L126" s="1"/>
      <c r="M126" s="1"/>
      <c r="N126" s="1"/>
      <c r="O126" s="6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1"/>
      <c r="E127" s="1"/>
      <c r="F127" s="1"/>
      <c r="G127" s="2"/>
      <c r="H127" s="6"/>
      <c r="I127" s="2"/>
      <c r="J127" s="1"/>
      <c r="K127" s="1"/>
      <c r="L127" s="1"/>
      <c r="M127" s="1"/>
      <c r="N127" s="1"/>
      <c r="O127" s="6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3" t="s">
        <v>169</v>
      </c>
      <c r="C128" s="3"/>
      <c r="D128" s="3"/>
      <c r="E128" s="3"/>
      <c r="F128" s="4"/>
      <c r="G128" s="5"/>
      <c r="H128" s="6"/>
      <c r="I128" s="2"/>
      <c r="J128" s="1"/>
      <c r="K128" s="1"/>
      <c r="L128" s="1"/>
      <c r="M128" s="1"/>
      <c r="N128" s="1"/>
      <c r="O128" s="6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21"/>
      <c r="C129" s="21"/>
      <c r="D129" s="21"/>
      <c r="E129" s="1"/>
      <c r="F129" s="1"/>
      <c r="G129" s="2"/>
      <c r="H129" s="6"/>
      <c r="I129" s="2"/>
      <c r="J129" s="1"/>
      <c r="K129" s="1"/>
      <c r="L129" s="1"/>
      <c r="M129" s="1"/>
      <c r="N129" s="1"/>
      <c r="O129" s="6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72" t="s">
        <v>34</v>
      </c>
      <c r="C130" s="73" t="s">
        <v>76</v>
      </c>
      <c r="D130" s="73" t="s">
        <v>170</v>
      </c>
      <c r="E130" s="73" t="s">
        <v>171</v>
      </c>
      <c r="F130" s="73" t="s">
        <v>80</v>
      </c>
      <c r="G130" s="73" t="s">
        <v>172</v>
      </c>
      <c r="H130" s="6"/>
      <c r="I130" s="2"/>
      <c r="J130" s="1"/>
      <c r="K130" s="1"/>
      <c r="L130" s="1"/>
      <c r="M130" s="1"/>
      <c r="N130" s="1"/>
      <c r="O130" s="6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64" t="s">
        <v>173</v>
      </c>
      <c r="C131" s="42">
        <v>10000</v>
      </c>
      <c r="D131" s="42">
        <v>0</v>
      </c>
      <c r="E131" s="42">
        <v>420000</v>
      </c>
      <c r="F131" s="42">
        <v>1806681.6</v>
      </c>
      <c r="G131" s="74">
        <f t="shared" ref="G131:G138" si="8">SUM(C131:F131)</f>
        <v>2236681.6</v>
      </c>
      <c r="H131" s="6"/>
      <c r="I131" s="2"/>
      <c r="J131" s="1"/>
      <c r="K131" s="1"/>
      <c r="L131" s="1"/>
      <c r="M131" s="1"/>
      <c r="N131" s="1"/>
      <c r="O131" s="6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75" t="s">
        <v>174</v>
      </c>
      <c r="C132" s="33"/>
      <c r="D132" s="33"/>
      <c r="E132" s="33"/>
      <c r="F132" s="33"/>
      <c r="G132" s="47">
        <f t="shared" si="8"/>
        <v>0</v>
      </c>
      <c r="H132" s="6"/>
      <c r="I132" s="2"/>
      <c r="J132" s="1"/>
      <c r="K132" s="1"/>
      <c r="L132" s="1"/>
      <c r="M132" s="1"/>
      <c r="N132" s="1"/>
      <c r="O132" s="6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21" t="s">
        <v>134</v>
      </c>
      <c r="C133" s="33"/>
      <c r="D133" s="33"/>
      <c r="E133" s="33"/>
      <c r="F133" s="33"/>
      <c r="G133" s="47">
        <f t="shared" si="8"/>
        <v>0</v>
      </c>
      <c r="H133" s="6"/>
      <c r="I133" s="2"/>
      <c r="J133" s="1"/>
      <c r="K133" s="1"/>
      <c r="L133" s="1"/>
      <c r="M133" s="1"/>
      <c r="N133" s="1"/>
      <c r="O133" s="6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76" t="s">
        <v>175</v>
      </c>
      <c r="C134" s="33"/>
      <c r="D134" s="33"/>
      <c r="E134" s="33"/>
      <c r="F134" s="33"/>
      <c r="G134" s="47">
        <f t="shared" si="8"/>
        <v>0</v>
      </c>
      <c r="H134" s="6"/>
      <c r="I134" s="2"/>
      <c r="J134" s="1"/>
      <c r="K134" s="1"/>
      <c r="L134" s="1"/>
      <c r="M134" s="1"/>
      <c r="N134" s="1"/>
      <c r="O134" s="6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76" t="s">
        <v>176</v>
      </c>
      <c r="C135" s="33"/>
      <c r="D135" s="33"/>
      <c r="E135" s="33"/>
      <c r="F135" s="33"/>
      <c r="G135" s="47">
        <f t="shared" si="8"/>
        <v>0</v>
      </c>
      <c r="H135" s="6"/>
      <c r="I135" s="2"/>
      <c r="J135" s="1"/>
      <c r="K135" s="1"/>
      <c r="L135" s="1"/>
      <c r="M135" s="1"/>
      <c r="N135" s="1"/>
      <c r="O135" s="6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21" t="s">
        <v>177</v>
      </c>
      <c r="C136" s="33"/>
      <c r="D136" s="33"/>
      <c r="E136" s="33"/>
      <c r="F136" s="33"/>
      <c r="G136" s="47">
        <f t="shared" si="8"/>
        <v>0</v>
      </c>
      <c r="H136" s="6"/>
      <c r="I136" s="2"/>
      <c r="J136" s="1"/>
      <c r="K136" s="1"/>
      <c r="L136" s="1"/>
      <c r="M136" s="1"/>
      <c r="N136" s="1"/>
      <c r="O136" s="6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34" t="s">
        <v>178</v>
      </c>
      <c r="C137" s="33"/>
      <c r="D137" s="33"/>
      <c r="E137" s="33"/>
      <c r="F137" s="33"/>
      <c r="G137" s="47">
        <f t="shared" si="8"/>
        <v>0</v>
      </c>
      <c r="H137" s="6"/>
      <c r="I137" s="2"/>
      <c r="J137" s="1"/>
      <c r="K137" s="1"/>
      <c r="L137" s="1"/>
      <c r="M137" s="1"/>
      <c r="N137" s="1"/>
      <c r="O137" s="6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49" t="s">
        <v>179</v>
      </c>
      <c r="C138" s="42">
        <v>10000</v>
      </c>
      <c r="D138" s="42">
        <v>0</v>
      </c>
      <c r="E138" s="42">
        <v>420000</v>
      </c>
      <c r="F138" s="42">
        <v>1806681.6</v>
      </c>
      <c r="G138" s="74">
        <f t="shared" si="8"/>
        <v>2236681.6</v>
      </c>
      <c r="H138" s="6"/>
      <c r="I138" s="2"/>
      <c r="J138" s="1"/>
      <c r="K138" s="1"/>
      <c r="L138" s="1"/>
      <c r="M138" s="1"/>
      <c r="N138" s="1"/>
      <c r="O138" s="6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21"/>
      <c r="C139" s="21"/>
      <c r="D139" s="1"/>
      <c r="E139" s="1"/>
      <c r="F139" s="1"/>
      <c r="G139" s="2"/>
      <c r="H139" s="6"/>
      <c r="I139" s="2"/>
      <c r="J139" s="1"/>
      <c r="K139" s="1"/>
      <c r="L139" s="1"/>
      <c r="M139" s="1"/>
      <c r="N139" s="1"/>
      <c r="O139" s="6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77" t="s">
        <v>4</v>
      </c>
      <c r="C140" s="73" t="s">
        <v>76</v>
      </c>
      <c r="D140" s="73" t="s">
        <v>170</v>
      </c>
      <c r="E140" s="73" t="s">
        <v>171</v>
      </c>
      <c r="F140" s="73" t="s">
        <v>80</v>
      </c>
      <c r="G140" s="73" t="s">
        <v>172</v>
      </c>
      <c r="H140" s="6"/>
      <c r="I140" s="2"/>
      <c r="J140" s="1"/>
      <c r="K140" s="1"/>
      <c r="L140" s="1"/>
      <c r="M140" s="1"/>
      <c r="N140" s="1"/>
      <c r="O140" s="6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64" t="s">
        <v>173</v>
      </c>
      <c r="C141" s="42">
        <f>C42</f>
        <v>10000</v>
      </c>
      <c r="D141" s="42">
        <v>0</v>
      </c>
      <c r="E141" s="42">
        <f>C43</f>
        <v>420000</v>
      </c>
      <c r="F141" s="42">
        <f>C44</f>
        <v>1806681.6</v>
      </c>
      <c r="G141" s="74">
        <f t="shared" ref="G141:G148" si="9">SUM(C141:F141)</f>
        <v>2236681.6</v>
      </c>
      <c r="H141" s="6"/>
      <c r="I141" s="2"/>
      <c r="J141" s="1"/>
      <c r="K141" s="1"/>
      <c r="L141" s="1"/>
      <c r="M141" s="1"/>
      <c r="N141" s="1"/>
      <c r="O141" s="6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75" t="s">
        <v>174</v>
      </c>
      <c r="C142" s="33"/>
      <c r="D142" s="33"/>
      <c r="E142" s="33"/>
      <c r="F142" s="33"/>
      <c r="G142" s="47">
        <f t="shared" si="9"/>
        <v>0</v>
      </c>
      <c r="H142" s="6"/>
      <c r="I142" s="2"/>
      <c r="J142" s="1"/>
      <c r="K142" s="1"/>
      <c r="L142" s="1"/>
      <c r="M142" s="1"/>
      <c r="N142" s="1"/>
      <c r="O142" s="6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21" t="s">
        <v>134</v>
      </c>
      <c r="C143" s="33"/>
      <c r="D143" s="33"/>
      <c r="E143" s="33"/>
      <c r="F143" s="33">
        <f>E83</f>
        <v>2100958.5</v>
      </c>
      <c r="G143" s="47">
        <f t="shared" si="9"/>
        <v>2100958.5</v>
      </c>
      <c r="H143" s="6"/>
      <c r="I143" s="2"/>
      <c r="J143" s="1"/>
      <c r="K143" s="1"/>
      <c r="L143" s="1"/>
      <c r="M143" s="1"/>
      <c r="N143" s="1"/>
      <c r="O143" s="6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76" t="s">
        <v>175</v>
      </c>
      <c r="C144" s="33"/>
      <c r="D144" s="33"/>
      <c r="E144" s="33"/>
      <c r="F144" s="33"/>
      <c r="G144" s="47">
        <f t="shared" si="9"/>
        <v>0</v>
      </c>
      <c r="H144" s="6"/>
      <c r="I144" s="2"/>
      <c r="J144" s="1"/>
      <c r="K144" s="1"/>
      <c r="L144" s="1"/>
      <c r="M144" s="1"/>
      <c r="N144" s="1"/>
      <c r="O144" s="6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76" t="s">
        <v>176</v>
      </c>
      <c r="C145" s="33"/>
      <c r="D145" s="33"/>
      <c r="E145" s="33"/>
      <c r="F145" s="33"/>
      <c r="G145" s="47">
        <f t="shared" si="9"/>
        <v>0</v>
      </c>
      <c r="H145" s="6"/>
      <c r="I145" s="2"/>
      <c r="J145" s="1"/>
      <c r="K145" s="1"/>
      <c r="L145" s="1"/>
      <c r="M145" s="1"/>
      <c r="N145" s="1"/>
      <c r="O145" s="6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21" t="s">
        <v>177</v>
      </c>
      <c r="C146" s="33"/>
      <c r="D146" s="33"/>
      <c r="E146" s="33"/>
      <c r="F146" s="33"/>
      <c r="G146" s="47">
        <f t="shared" si="9"/>
        <v>0</v>
      </c>
      <c r="H146" s="6"/>
      <c r="I146" s="2"/>
      <c r="J146" s="1"/>
      <c r="K146" s="1"/>
      <c r="L146" s="1"/>
      <c r="M146" s="1"/>
      <c r="N146" s="1"/>
      <c r="O146" s="6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34" t="s">
        <v>178</v>
      </c>
      <c r="C147" s="33"/>
      <c r="D147" s="33"/>
      <c r="E147" s="33"/>
      <c r="F147" s="33"/>
      <c r="G147" s="47">
        <f t="shared" si="9"/>
        <v>0</v>
      </c>
      <c r="H147" s="6"/>
      <c r="I147" s="2"/>
      <c r="J147" s="1"/>
      <c r="K147" s="1"/>
      <c r="L147" s="1"/>
      <c r="M147" s="1"/>
      <c r="N147" s="1"/>
      <c r="O147" s="6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49" t="s">
        <v>179</v>
      </c>
      <c r="C148" s="42">
        <f t="shared" ref="C148:F148" si="10">SUM(C141:C147)</f>
        <v>10000</v>
      </c>
      <c r="D148" s="42">
        <f t="shared" si="10"/>
        <v>0</v>
      </c>
      <c r="E148" s="42">
        <f t="shared" si="10"/>
        <v>420000</v>
      </c>
      <c r="F148" s="42">
        <f t="shared" si="10"/>
        <v>3907640.1</v>
      </c>
      <c r="G148" s="74">
        <f t="shared" si="9"/>
        <v>4337640.0999999996</v>
      </c>
      <c r="H148" s="6"/>
      <c r="I148" s="2"/>
      <c r="M148" s="1"/>
      <c r="N148" s="1"/>
      <c r="O148" s="6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G149" s="78"/>
      <c r="H149" s="6"/>
      <c r="I149" s="2"/>
      <c r="M149" s="1"/>
      <c r="N149" s="1"/>
      <c r="O149" s="6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72" t="s">
        <v>5</v>
      </c>
      <c r="C150" s="73" t="s">
        <v>76</v>
      </c>
      <c r="D150" s="73" t="s">
        <v>170</v>
      </c>
      <c r="E150" s="73" t="s">
        <v>171</v>
      </c>
      <c r="F150" s="73" t="s">
        <v>80</v>
      </c>
      <c r="G150" s="73" t="s">
        <v>172</v>
      </c>
      <c r="H150" s="6"/>
      <c r="I150" s="2"/>
      <c r="N150" s="1"/>
      <c r="O150" s="6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64" t="s">
        <v>173</v>
      </c>
      <c r="C151" s="42">
        <f>C141</f>
        <v>10000</v>
      </c>
      <c r="D151" s="42">
        <v>0</v>
      </c>
      <c r="E151" s="42">
        <f t="shared" ref="E151:F151" si="11">E141</f>
        <v>420000</v>
      </c>
      <c r="F151" s="42">
        <f t="shared" si="11"/>
        <v>1806681.6</v>
      </c>
      <c r="G151" s="74">
        <f t="shared" ref="G151:G158" si="12">SUM(C151:F151)</f>
        <v>2236681.6</v>
      </c>
      <c r="H151" s="6"/>
      <c r="I151" s="2"/>
      <c r="N151" s="1"/>
      <c r="O151" s="6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75" t="s">
        <v>174</v>
      </c>
      <c r="C152" s="33"/>
      <c r="D152" s="33"/>
      <c r="E152" s="33"/>
      <c r="F152" s="33"/>
      <c r="G152" s="47">
        <f t="shared" si="12"/>
        <v>0</v>
      </c>
      <c r="H152" s="6"/>
      <c r="I152" s="2"/>
      <c r="N152" s="1"/>
      <c r="O152" s="6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21" t="s">
        <v>134</v>
      </c>
      <c r="C153" s="33"/>
      <c r="D153" s="33"/>
      <c r="E153" s="33"/>
      <c r="F153" s="37">
        <f>F83</f>
        <v>1893667.2749999994</v>
      </c>
      <c r="G153" s="47">
        <f t="shared" si="12"/>
        <v>1893667.2749999994</v>
      </c>
      <c r="H153" s="2" t="str">
        <f>IF($P$55="Да", "[23]", "")</f>
        <v/>
      </c>
      <c r="I153" s="2"/>
      <c r="N153" s="1"/>
      <c r="O153" s="6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76" t="s">
        <v>175</v>
      </c>
      <c r="C154" s="33"/>
      <c r="D154" s="33"/>
      <c r="E154" s="33"/>
      <c r="F154" s="33"/>
      <c r="G154" s="47">
        <f t="shared" si="12"/>
        <v>0</v>
      </c>
      <c r="H154" s="6"/>
      <c r="I154" s="2"/>
      <c r="J154" s="1"/>
      <c r="K154" s="1"/>
      <c r="L154" s="1"/>
      <c r="M154" s="1"/>
      <c r="N154" s="1"/>
      <c r="O154" s="6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76" t="s">
        <v>176</v>
      </c>
      <c r="C155" s="33"/>
      <c r="D155" s="33"/>
      <c r="E155" s="33"/>
      <c r="F155" s="33"/>
      <c r="G155" s="47">
        <f t="shared" si="12"/>
        <v>0</v>
      </c>
      <c r="H155" s="6"/>
      <c r="I155" s="2"/>
      <c r="J155" s="1"/>
      <c r="K155" s="1"/>
      <c r="L155" s="1"/>
      <c r="M155" s="1"/>
      <c r="N155" s="1"/>
      <c r="O155" s="6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21" t="s">
        <v>177</v>
      </c>
      <c r="C156" s="33"/>
      <c r="D156" s="33"/>
      <c r="E156" s="33"/>
      <c r="F156" s="33"/>
      <c r="G156" s="47">
        <f t="shared" si="12"/>
        <v>0</v>
      </c>
      <c r="H156" s="6"/>
      <c r="I156" s="2"/>
      <c r="J156" s="1"/>
      <c r="K156" s="1"/>
      <c r="L156" s="1"/>
      <c r="M156" s="1"/>
      <c r="N156" s="1"/>
      <c r="O156" s="6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34" t="s">
        <v>178</v>
      </c>
      <c r="C157" s="33"/>
      <c r="D157" s="33"/>
      <c r="E157" s="33"/>
      <c r="F157" s="33"/>
      <c r="G157" s="47">
        <f t="shared" si="12"/>
        <v>0</v>
      </c>
      <c r="H157" s="6"/>
      <c r="I157" s="2"/>
      <c r="J157" s="1"/>
      <c r="K157" s="1"/>
      <c r="L157" s="1"/>
      <c r="M157" s="1"/>
      <c r="N157" s="1"/>
      <c r="O157" s="6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49" t="s">
        <v>179</v>
      </c>
      <c r="C158" s="42">
        <f t="shared" ref="C158:F158" si="13">SUM(C151:C157)</f>
        <v>10000</v>
      </c>
      <c r="D158" s="42">
        <f t="shared" si="13"/>
        <v>0</v>
      </c>
      <c r="E158" s="42">
        <f t="shared" si="13"/>
        <v>420000</v>
      </c>
      <c r="F158" s="42">
        <f t="shared" si="13"/>
        <v>3700348.8749999995</v>
      </c>
      <c r="G158" s="74">
        <f t="shared" si="12"/>
        <v>4130348.8749999995</v>
      </c>
      <c r="H158" s="6"/>
      <c r="I158" s="2"/>
      <c r="J158" s="1"/>
      <c r="K158" s="1"/>
      <c r="L158" s="1"/>
      <c r="M158" s="1"/>
      <c r="N158" s="1"/>
      <c r="O158" s="6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1"/>
      <c r="E159" s="1"/>
      <c r="F159" s="1"/>
      <c r="G159" s="2"/>
      <c r="H159" s="6"/>
      <c r="I159" s="2"/>
      <c r="J159" s="1"/>
      <c r="K159" s="1"/>
      <c r="L159" s="1"/>
      <c r="M159" s="1"/>
      <c r="N159" s="1"/>
      <c r="O159" s="6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1"/>
      <c r="E160" s="1"/>
      <c r="F160" s="1"/>
      <c r="G160" s="2"/>
      <c r="H160" s="1"/>
      <c r="I160" s="2"/>
      <c r="J160" s="1"/>
      <c r="K160" s="1"/>
      <c r="L160" s="1"/>
      <c r="M160" s="1"/>
      <c r="N160" s="1"/>
      <c r="O160" s="6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 t="s">
        <v>180</v>
      </c>
      <c r="C161" s="1" t="s">
        <v>116</v>
      </c>
      <c r="D161" s="1" t="s">
        <v>118</v>
      </c>
      <c r="E161" s="1"/>
      <c r="F161" s="1"/>
      <c r="G161" s="2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>
        <f>(E64+E63)/((E34+C34)/2)</f>
        <v>8.0023795964495541</v>
      </c>
      <c r="D162" s="79">
        <f>(F63+F64)/((F34+C34)/2)</f>
        <v>8.6627480668259036</v>
      </c>
      <c r="E162" s="80"/>
      <c r="F162" s="1"/>
      <c r="G162" s="2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>
        <f t="shared" ref="C163:D163" si="14">365/C162</f>
        <v>45.611432899526655</v>
      </c>
      <c r="D163" s="79">
        <f t="shared" si="14"/>
        <v>42.134435537583258</v>
      </c>
      <c r="E163" s="1"/>
      <c r="F163" s="1"/>
      <c r="G163" s="2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1"/>
      <c r="E164" s="1"/>
      <c r="F164" s="1"/>
      <c r="G164" s="2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1"/>
      <c r="E165" s="1"/>
      <c r="F165" s="1"/>
      <c r="G165" s="2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1"/>
      <c r="E166" s="1"/>
      <c r="F166" s="1"/>
      <c r="G166" s="2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1"/>
      <c r="E167" s="1"/>
      <c r="F167" s="1"/>
      <c r="G167" s="2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1"/>
      <c r="E168" s="1"/>
      <c r="F168" s="1"/>
      <c r="G168" s="2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1"/>
      <c r="E169" s="1"/>
      <c r="F169" s="1"/>
      <c r="G169" s="2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1"/>
      <c r="E170" s="1"/>
      <c r="F170" s="1"/>
      <c r="G170" s="2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1"/>
      <c r="E171" s="1"/>
      <c r="F171" s="1"/>
      <c r="G171" s="2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1"/>
      <c r="E172" s="1"/>
      <c r="F172" s="1"/>
      <c r="G172" s="2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1"/>
      <c r="E173" s="1"/>
      <c r="F173" s="1"/>
      <c r="G173" s="2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1"/>
      <c r="E174" s="1"/>
      <c r="F174" s="1"/>
      <c r="G174" s="2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1"/>
      <c r="E175" s="1"/>
      <c r="F175" s="1"/>
      <c r="G175" s="2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1"/>
      <c r="E176" s="1"/>
      <c r="F176" s="1"/>
      <c r="G176" s="2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1"/>
      <c r="E177" s="1"/>
      <c r="F177" s="1"/>
      <c r="G177" s="2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1"/>
      <c r="E178" s="1"/>
      <c r="F178" s="1"/>
      <c r="G178" s="2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1"/>
      <c r="E179" s="1"/>
      <c r="F179" s="1"/>
      <c r="G179" s="2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1"/>
      <c r="E180" s="1"/>
      <c r="F180" s="1"/>
      <c r="G180" s="2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1"/>
      <c r="E181" s="1"/>
      <c r="F181" s="1"/>
      <c r="G181" s="2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1"/>
      <c r="E182" s="1"/>
      <c r="F182" s="1"/>
      <c r="G182" s="2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1"/>
      <c r="E183" s="1"/>
      <c r="F183" s="1"/>
      <c r="G183" s="2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1"/>
      <c r="E184" s="1"/>
      <c r="F184" s="1"/>
      <c r="G184" s="2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1"/>
      <c r="E185" s="1"/>
      <c r="F185" s="1"/>
      <c r="G185" s="2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1"/>
      <c r="E186" s="1"/>
      <c r="F186" s="1"/>
      <c r="G186" s="2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1"/>
      <c r="E187" s="1"/>
      <c r="F187" s="1"/>
      <c r="G187" s="2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1"/>
      <c r="E188" s="1"/>
      <c r="F188" s="1"/>
      <c r="G188" s="2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1"/>
      <c r="E189" s="1"/>
      <c r="F189" s="1"/>
      <c r="G189" s="2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1"/>
      <c r="E190" s="1"/>
      <c r="F190" s="1"/>
      <c r="G190" s="2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1"/>
      <c r="E191" s="1"/>
      <c r="F191" s="1"/>
      <c r="G191" s="2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1"/>
      <c r="E192" s="1"/>
      <c r="F192" s="1"/>
      <c r="G192" s="2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1"/>
      <c r="E193" s="1"/>
      <c r="F193" s="1"/>
      <c r="G193" s="2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1"/>
      <c r="E194" s="1"/>
      <c r="F194" s="1"/>
      <c r="G194" s="2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1"/>
      <c r="E195" s="1"/>
      <c r="F195" s="1"/>
      <c r="G195" s="2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1"/>
      <c r="E196" s="1"/>
      <c r="F196" s="1"/>
      <c r="G196" s="2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1"/>
      <c r="E197" s="1"/>
      <c r="F197" s="1"/>
      <c r="G197" s="2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1"/>
      <c r="E198" s="1"/>
      <c r="F198" s="1"/>
      <c r="G198" s="2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1"/>
      <c r="E199" s="1"/>
      <c r="F199" s="1"/>
      <c r="G199" s="2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1"/>
      <c r="E200" s="1"/>
      <c r="F200" s="1"/>
      <c r="G200" s="2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1"/>
      <c r="E201" s="1"/>
      <c r="F201" s="1"/>
      <c r="G201" s="2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1"/>
      <c r="E202" s="1"/>
      <c r="F202" s="1"/>
      <c r="G202" s="2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1"/>
      <c r="E203" s="1"/>
      <c r="F203" s="1"/>
      <c r="G203" s="2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1"/>
      <c r="E204" s="1"/>
      <c r="F204" s="1"/>
      <c r="G204" s="2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1"/>
      <c r="E205" s="1"/>
      <c r="F205" s="1"/>
      <c r="G205" s="2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1"/>
      <c r="E206" s="1"/>
      <c r="F206" s="1"/>
      <c r="G206" s="2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1"/>
      <c r="E207" s="1"/>
      <c r="F207" s="1"/>
      <c r="G207" s="2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1"/>
      <c r="E208" s="1"/>
      <c r="F208" s="1"/>
      <c r="G208" s="2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1"/>
      <c r="E209" s="1"/>
      <c r="F209" s="1"/>
      <c r="G209" s="2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1"/>
      <c r="E210" s="1"/>
      <c r="F210" s="1"/>
      <c r="G210" s="2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1"/>
      <c r="E211" s="1"/>
      <c r="F211" s="1"/>
      <c r="G211" s="2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1"/>
      <c r="E212" s="1"/>
      <c r="F212" s="1"/>
      <c r="G212" s="2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1"/>
      <c r="E213" s="1"/>
      <c r="F213" s="1"/>
      <c r="G213" s="2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1"/>
      <c r="E214" s="1"/>
      <c r="F214" s="1"/>
      <c r="G214" s="2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1"/>
      <c r="E215" s="1"/>
      <c r="F215" s="1"/>
      <c r="G215" s="2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1"/>
      <c r="E216" s="1"/>
      <c r="F216" s="1"/>
      <c r="G216" s="2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1"/>
      <c r="E217" s="1"/>
      <c r="F217" s="1"/>
      <c r="G217" s="2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1"/>
      <c r="E218" s="1"/>
      <c r="F218" s="1"/>
      <c r="G218" s="2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1"/>
      <c r="E219" s="1"/>
      <c r="F219" s="1"/>
      <c r="G219" s="2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1"/>
      <c r="E220" s="1"/>
      <c r="F220" s="1"/>
      <c r="G220" s="2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1"/>
      <c r="E221" s="1"/>
      <c r="F221" s="1"/>
      <c r="G221" s="2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1"/>
      <c r="E222" s="1"/>
      <c r="F222" s="1"/>
      <c r="G222" s="2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1"/>
      <c r="E223" s="1"/>
      <c r="F223" s="1"/>
      <c r="G223" s="2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1"/>
      <c r="E224" s="1"/>
      <c r="F224" s="1"/>
      <c r="G224" s="2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1"/>
      <c r="E225" s="1"/>
      <c r="F225" s="1"/>
      <c r="G225" s="2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1"/>
      <c r="E226" s="1"/>
      <c r="F226" s="1"/>
      <c r="G226" s="2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1"/>
      <c r="E227" s="1"/>
      <c r="F227" s="1"/>
      <c r="G227" s="2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1"/>
      <c r="E228" s="1"/>
      <c r="F228" s="1"/>
      <c r="G228" s="2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1"/>
      <c r="E229" s="1"/>
      <c r="F229" s="1"/>
      <c r="G229" s="2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1"/>
      <c r="E230" s="1"/>
      <c r="F230" s="1"/>
      <c r="G230" s="2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1"/>
      <c r="E231" s="1"/>
      <c r="F231" s="1"/>
      <c r="G231" s="2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1"/>
      <c r="E232" s="1"/>
      <c r="F232" s="1"/>
      <c r="G232" s="2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1"/>
      <c r="E233" s="1"/>
      <c r="F233" s="1"/>
      <c r="G233" s="2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1"/>
      <c r="E234" s="1"/>
      <c r="F234" s="1"/>
      <c r="G234" s="2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1"/>
      <c r="E235" s="1"/>
      <c r="F235" s="1"/>
      <c r="G235" s="2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1"/>
      <c r="E236" s="1"/>
      <c r="F236" s="1"/>
      <c r="G236" s="2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1"/>
      <c r="E237" s="1"/>
      <c r="F237" s="1"/>
      <c r="G237" s="2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1"/>
      <c r="E238" s="1"/>
      <c r="F238" s="1"/>
      <c r="G238" s="2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1"/>
      <c r="E239" s="1"/>
      <c r="F239" s="1"/>
      <c r="G239" s="2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1"/>
      <c r="E240" s="1"/>
      <c r="F240" s="1"/>
      <c r="G240" s="2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1"/>
      <c r="E241" s="1"/>
      <c r="F241" s="1"/>
      <c r="G241" s="2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1"/>
      <c r="E242" s="1"/>
      <c r="F242" s="1"/>
      <c r="G242" s="2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1"/>
      <c r="E243" s="1"/>
      <c r="F243" s="1"/>
      <c r="G243" s="2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1"/>
      <c r="E244" s="1"/>
      <c r="F244" s="1"/>
      <c r="G244" s="2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1"/>
      <c r="E245" s="1"/>
      <c r="F245" s="1"/>
      <c r="G245" s="2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1"/>
      <c r="E246" s="1"/>
      <c r="F246" s="1"/>
      <c r="G246" s="2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1"/>
      <c r="E247" s="1"/>
      <c r="F247" s="1"/>
      <c r="G247" s="2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1"/>
      <c r="E248" s="1"/>
      <c r="F248" s="1"/>
      <c r="G248" s="2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1"/>
      <c r="E249" s="1"/>
      <c r="F249" s="1"/>
      <c r="G249" s="2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1"/>
      <c r="E250" s="1"/>
      <c r="F250" s="1"/>
      <c r="G250" s="2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1"/>
      <c r="E251" s="1"/>
      <c r="F251" s="1"/>
      <c r="G251" s="2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1"/>
      <c r="E252" s="1"/>
      <c r="F252" s="1"/>
      <c r="G252" s="2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1"/>
      <c r="E253" s="1"/>
      <c r="F253" s="1"/>
      <c r="G253" s="2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1"/>
      <c r="E254" s="1"/>
      <c r="F254" s="1"/>
      <c r="G254" s="2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1"/>
      <c r="E255" s="1"/>
      <c r="F255" s="1"/>
      <c r="G255" s="2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1"/>
      <c r="E256" s="1"/>
      <c r="F256" s="1"/>
      <c r="G256" s="2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1"/>
      <c r="E257" s="1"/>
      <c r="F257" s="1"/>
      <c r="G257" s="2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1"/>
      <c r="E258" s="1"/>
      <c r="F258" s="1"/>
      <c r="G258" s="2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1"/>
      <c r="E259" s="1"/>
      <c r="F259" s="1"/>
      <c r="G259" s="2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1"/>
      <c r="E260" s="1"/>
      <c r="F260" s="1"/>
      <c r="G260" s="2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1"/>
      <c r="E261" s="1"/>
      <c r="F261" s="1"/>
      <c r="G261" s="2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1"/>
      <c r="E262" s="1"/>
      <c r="F262" s="1"/>
      <c r="G262" s="2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1"/>
      <c r="E263" s="1"/>
      <c r="F263" s="1"/>
      <c r="G263" s="2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1"/>
      <c r="E264" s="1"/>
      <c r="F264" s="1"/>
      <c r="G264" s="2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1"/>
      <c r="E265" s="1"/>
      <c r="F265" s="1"/>
      <c r="G265" s="2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1"/>
      <c r="E266" s="1"/>
      <c r="F266" s="1"/>
      <c r="G266" s="2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1"/>
      <c r="E267" s="1"/>
      <c r="F267" s="1"/>
      <c r="G267" s="2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1"/>
      <c r="E268" s="1"/>
      <c r="F268" s="1"/>
      <c r="G268" s="2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1"/>
      <c r="E269" s="1"/>
      <c r="F269" s="1"/>
      <c r="G269" s="2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1"/>
      <c r="E270" s="1"/>
      <c r="F270" s="1"/>
      <c r="G270" s="2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1"/>
      <c r="E271" s="1"/>
      <c r="F271" s="1"/>
      <c r="G271" s="2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1"/>
      <c r="E272" s="1"/>
      <c r="F272" s="1"/>
      <c r="G272" s="2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1"/>
      <c r="E273" s="1"/>
      <c r="F273" s="1"/>
      <c r="G273" s="2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1"/>
      <c r="E274" s="1"/>
      <c r="F274" s="1"/>
      <c r="G274" s="2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1"/>
      <c r="E275" s="1"/>
      <c r="F275" s="1"/>
      <c r="G275" s="2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1"/>
      <c r="E276" s="1"/>
      <c r="F276" s="1"/>
      <c r="G276" s="2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1"/>
      <c r="E277" s="1"/>
      <c r="F277" s="1"/>
      <c r="G277" s="2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1"/>
      <c r="E278" s="1"/>
      <c r="F278" s="1"/>
      <c r="G278" s="2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1"/>
      <c r="E279" s="1"/>
      <c r="F279" s="1"/>
      <c r="G279" s="2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1"/>
      <c r="E280" s="1"/>
      <c r="F280" s="1"/>
      <c r="G280" s="2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1"/>
      <c r="E281" s="1"/>
      <c r="F281" s="1"/>
      <c r="G281" s="2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1"/>
      <c r="E282" s="1"/>
      <c r="F282" s="1"/>
      <c r="G282" s="2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1"/>
      <c r="E283" s="1"/>
      <c r="F283" s="1"/>
      <c r="G283" s="2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1"/>
      <c r="E284" s="1"/>
      <c r="F284" s="1"/>
      <c r="G284" s="2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1"/>
      <c r="E285" s="1"/>
      <c r="F285" s="1"/>
      <c r="G285" s="2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1"/>
      <c r="E286" s="1"/>
      <c r="F286" s="1"/>
      <c r="G286" s="2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1"/>
      <c r="E287" s="1"/>
      <c r="F287" s="1"/>
      <c r="G287" s="2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1"/>
      <c r="E288" s="1"/>
      <c r="F288" s="1"/>
      <c r="G288" s="2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1"/>
      <c r="E289" s="1"/>
      <c r="F289" s="1"/>
      <c r="G289" s="2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1"/>
      <c r="E290" s="1"/>
      <c r="F290" s="1"/>
      <c r="G290" s="2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1"/>
      <c r="E291" s="1"/>
      <c r="F291" s="1"/>
      <c r="G291" s="2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1"/>
      <c r="E292" s="1"/>
      <c r="F292" s="1"/>
      <c r="G292" s="2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1"/>
      <c r="E293" s="1"/>
      <c r="F293" s="1"/>
      <c r="G293" s="2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1"/>
      <c r="E294" s="1"/>
      <c r="F294" s="1"/>
      <c r="G294" s="2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1"/>
      <c r="E295" s="1"/>
      <c r="F295" s="1"/>
      <c r="G295" s="2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1"/>
      <c r="E296" s="1"/>
      <c r="F296" s="1"/>
      <c r="G296" s="2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1"/>
      <c r="E297" s="1"/>
      <c r="F297" s="1"/>
      <c r="G297" s="2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1"/>
      <c r="E298" s="1"/>
      <c r="F298" s="1"/>
      <c r="G298" s="2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1"/>
      <c r="E299" s="1"/>
      <c r="F299" s="1"/>
      <c r="G299" s="2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1"/>
      <c r="E300" s="1"/>
      <c r="F300" s="1"/>
      <c r="G300" s="2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1"/>
      <c r="E301" s="1"/>
      <c r="F301" s="1"/>
      <c r="G301" s="2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1"/>
      <c r="E302" s="1"/>
      <c r="F302" s="1"/>
      <c r="G302" s="2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1"/>
      <c r="E303" s="1"/>
      <c r="F303" s="1"/>
      <c r="G303" s="2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1"/>
      <c r="E304" s="1"/>
      <c r="F304" s="1"/>
      <c r="G304" s="2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1"/>
      <c r="E305" s="1"/>
      <c r="F305" s="1"/>
      <c r="G305" s="2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1"/>
      <c r="E306" s="1"/>
      <c r="F306" s="1"/>
      <c r="G306" s="2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1"/>
      <c r="E307" s="1"/>
      <c r="F307" s="1"/>
      <c r="G307" s="2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1"/>
      <c r="E308" s="1"/>
      <c r="F308" s="1"/>
      <c r="G308" s="2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1"/>
      <c r="E309" s="1"/>
      <c r="F309" s="1"/>
      <c r="G309" s="2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1"/>
      <c r="E310" s="1"/>
      <c r="F310" s="1"/>
      <c r="G310" s="2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1"/>
      <c r="E311" s="1"/>
      <c r="F311" s="1"/>
      <c r="G311" s="2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1"/>
      <c r="E312" s="1"/>
      <c r="F312" s="1"/>
      <c r="G312" s="2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1"/>
      <c r="E313" s="1"/>
      <c r="F313" s="1"/>
      <c r="G313" s="2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1"/>
      <c r="E314" s="1"/>
      <c r="F314" s="1"/>
      <c r="G314" s="2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1"/>
      <c r="E315" s="1"/>
      <c r="F315" s="1"/>
      <c r="G315" s="2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1"/>
      <c r="E316" s="1"/>
      <c r="F316" s="1"/>
      <c r="G316" s="2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1"/>
      <c r="E317" s="1"/>
      <c r="F317" s="1"/>
      <c r="G317" s="2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1"/>
      <c r="E318" s="1"/>
      <c r="F318" s="1"/>
      <c r="G318" s="2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1"/>
      <c r="E319" s="1"/>
      <c r="F319" s="1"/>
      <c r="G319" s="2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1"/>
      <c r="E320" s="1"/>
      <c r="F320" s="1"/>
      <c r="G320" s="2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1"/>
      <c r="E321" s="1"/>
      <c r="F321" s="1"/>
      <c r="G321" s="2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1"/>
      <c r="E322" s="1"/>
      <c r="F322" s="1"/>
      <c r="G322" s="2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1"/>
      <c r="E323" s="1"/>
      <c r="F323" s="1"/>
      <c r="G323" s="2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1"/>
      <c r="E324" s="1"/>
      <c r="F324" s="1"/>
      <c r="G324" s="2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1"/>
      <c r="E325" s="1"/>
      <c r="F325" s="1"/>
      <c r="G325" s="2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1"/>
      <c r="E326" s="1"/>
      <c r="F326" s="1"/>
      <c r="G326" s="2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1"/>
      <c r="E327" s="1"/>
      <c r="F327" s="1"/>
      <c r="G327" s="2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1"/>
      <c r="E328" s="1"/>
      <c r="F328" s="1"/>
      <c r="G328" s="2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1"/>
      <c r="E329" s="1"/>
      <c r="F329" s="1"/>
      <c r="G329" s="2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1"/>
      <c r="E330" s="1"/>
      <c r="F330" s="1"/>
      <c r="G330" s="2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1"/>
      <c r="E331" s="1"/>
      <c r="F331" s="1"/>
      <c r="G331" s="2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1"/>
      <c r="E332" s="1"/>
      <c r="F332" s="1"/>
      <c r="G332" s="2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1"/>
      <c r="E333" s="1"/>
      <c r="F333" s="1"/>
      <c r="G333" s="2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1"/>
      <c r="E334" s="1"/>
      <c r="F334" s="1"/>
      <c r="G334" s="2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1"/>
      <c r="E335" s="1"/>
      <c r="F335" s="1"/>
      <c r="G335" s="2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1"/>
      <c r="E336" s="1"/>
      <c r="F336" s="1"/>
      <c r="G336" s="2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1"/>
      <c r="E337" s="1"/>
      <c r="F337" s="1"/>
      <c r="G337" s="2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1"/>
      <c r="E338" s="1"/>
      <c r="F338" s="1"/>
      <c r="G338" s="2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1"/>
      <c r="E339" s="1"/>
      <c r="F339" s="1"/>
      <c r="G339" s="2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1"/>
      <c r="E340" s="1"/>
      <c r="F340" s="1"/>
      <c r="G340" s="2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1"/>
      <c r="E341" s="1"/>
      <c r="F341" s="1"/>
      <c r="G341" s="2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1"/>
      <c r="E342" s="1"/>
      <c r="F342" s="1"/>
      <c r="G342" s="2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1"/>
      <c r="E343" s="1"/>
      <c r="F343" s="1"/>
      <c r="G343" s="2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1"/>
      <c r="E344" s="1"/>
      <c r="F344" s="1"/>
      <c r="G344" s="2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1"/>
      <c r="E345" s="1"/>
      <c r="F345" s="1"/>
      <c r="G345" s="2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1"/>
      <c r="E346" s="1"/>
      <c r="F346" s="1"/>
      <c r="G346" s="2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1"/>
      <c r="E347" s="1"/>
      <c r="F347" s="1"/>
      <c r="G347" s="2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1"/>
      <c r="E348" s="1"/>
      <c r="F348" s="1"/>
      <c r="G348" s="2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1"/>
      <c r="E349" s="1"/>
      <c r="F349" s="1"/>
      <c r="G349" s="2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1"/>
      <c r="E350" s="1"/>
      <c r="F350" s="1"/>
      <c r="G350" s="2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1"/>
      <c r="E351" s="1"/>
      <c r="F351" s="1"/>
      <c r="G351" s="2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1"/>
      <c r="E352" s="1"/>
      <c r="F352" s="1"/>
      <c r="G352" s="2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1"/>
      <c r="E353" s="1"/>
      <c r="F353" s="1"/>
      <c r="G353" s="2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1"/>
      <c r="E354" s="1"/>
      <c r="F354" s="1"/>
      <c r="G354" s="2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1"/>
      <c r="E355" s="1"/>
      <c r="F355" s="1"/>
      <c r="G355" s="2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1"/>
      <c r="E356" s="1"/>
      <c r="F356" s="1"/>
      <c r="G356" s="2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1"/>
      <c r="E357" s="1"/>
      <c r="F357" s="1"/>
      <c r="G357" s="2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1"/>
      <c r="E358" s="1"/>
      <c r="F358" s="1"/>
      <c r="G358" s="2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1"/>
      <c r="E359" s="1"/>
      <c r="F359" s="1"/>
      <c r="G359" s="2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1"/>
      <c r="E360" s="1"/>
      <c r="F360" s="1"/>
      <c r="G360" s="2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1"/>
      <c r="E361" s="1"/>
      <c r="F361" s="1"/>
      <c r="G361" s="2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1"/>
      <c r="E362" s="1"/>
      <c r="F362" s="1"/>
      <c r="G362" s="2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1"/>
      <c r="E363" s="1"/>
      <c r="F363" s="1"/>
      <c r="G363" s="2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1"/>
      <c r="E364" s="1"/>
      <c r="F364" s="1"/>
      <c r="G364" s="2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1"/>
      <c r="E365" s="1"/>
      <c r="F365" s="1"/>
      <c r="G365" s="2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1"/>
      <c r="E366" s="1"/>
      <c r="F366" s="1"/>
      <c r="G366" s="2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1"/>
      <c r="E367" s="1"/>
      <c r="F367" s="1"/>
      <c r="G367" s="2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1"/>
      <c r="E368" s="1"/>
      <c r="F368" s="1"/>
      <c r="G368" s="2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1"/>
      <c r="E369" s="1"/>
      <c r="F369" s="1"/>
      <c r="G369" s="2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1"/>
      <c r="E370" s="1"/>
      <c r="F370" s="1"/>
      <c r="G370" s="2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1"/>
      <c r="E371" s="1"/>
      <c r="F371" s="1"/>
      <c r="G371" s="2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1"/>
      <c r="E372" s="1"/>
      <c r="F372" s="1"/>
      <c r="G372" s="2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1"/>
      <c r="E373" s="1"/>
      <c r="F373" s="1"/>
      <c r="G373" s="2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1"/>
      <c r="E374" s="1"/>
      <c r="F374" s="1"/>
      <c r="G374" s="2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1"/>
      <c r="E375" s="1"/>
      <c r="F375" s="1"/>
      <c r="G375" s="2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1"/>
      <c r="E376" s="1"/>
      <c r="F376" s="1"/>
      <c r="G376" s="2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1"/>
      <c r="E377" s="1"/>
      <c r="F377" s="1"/>
      <c r="G377" s="2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1"/>
      <c r="E378" s="1"/>
      <c r="F378" s="1"/>
      <c r="G378" s="2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1"/>
      <c r="E379" s="1"/>
      <c r="F379" s="1"/>
      <c r="G379" s="2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1"/>
      <c r="E380" s="1"/>
      <c r="F380" s="1"/>
      <c r="G380" s="2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1"/>
      <c r="E381" s="1"/>
      <c r="F381" s="1"/>
      <c r="G381" s="2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1"/>
      <c r="E382" s="1"/>
      <c r="F382" s="1"/>
      <c r="G382" s="2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1"/>
      <c r="E383" s="1"/>
      <c r="F383" s="1"/>
      <c r="G383" s="2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1"/>
      <c r="E384" s="1"/>
      <c r="F384" s="1"/>
      <c r="G384" s="2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1"/>
      <c r="E385" s="1"/>
      <c r="F385" s="1"/>
      <c r="G385" s="2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1"/>
      <c r="E386" s="1"/>
      <c r="F386" s="1"/>
      <c r="G386" s="2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1"/>
      <c r="E387" s="1"/>
      <c r="F387" s="1"/>
      <c r="G387" s="2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1"/>
      <c r="E388" s="1"/>
      <c r="F388" s="1"/>
      <c r="G388" s="2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1"/>
      <c r="E389" s="1"/>
      <c r="F389" s="1"/>
      <c r="G389" s="2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1"/>
      <c r="E390" s="1"/>
      <c r="F390" s="1"/>
      <c r="G390" s="2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1"/>
      <c r="E391" s="1"/>
      <c r="F391" s="1"/>
      <c r="G391" s="2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1"/>
      <c r="E392" s="1"/>
      <c r="F392" s="1"/>
      <c r="G392" s="2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1"/>
      <c r="E393" s="1"/>
      <c r="F393" s="1"/>
      <c r="G393" s="2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1"/>
      <c r="E394" s="1"/>
      <c r="F394" s="1"/>
      <c r="G394" s="2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1"/>
      <c r="E395" s="1"/>
      <c r="F395" s="1"/>
      <c r="G395" s="2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1"/>
      <c r="E396" s="1"/>
      <c r="F396" s="1"/>
      <c r="G396" s="2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1"/>
      <c r="E397" s="1"/>
      <c r="F397" s="1"/>
      <c r="G397" s="2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1"/>
      <c r="E398" s="1"/>
      <c r="F398" s="1"/>
      <c r="G398" s="2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1"/>
      <c r="E399" s="1"/>
      <c r="F399" s="1"/>
      <c r="G399" s="2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1"/>
      <c r="E400" s="1"/>
      <c r="F400" s="1"/>
      <c r="G400" s="2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1"/>
      <c r="E401" s="1"/>
      <c r="F401" s="1"/>
      <c r="G401" s="2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1"/>
      <c r="E402" s="1"/>
      <c r="F402" s="1"/>
      <c r="G402" s="2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1"/>
      <c r="E403" s="1"/>
      <c r="F403" s="1"/>
      <c r="G403" s="2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1"/>
      <c r="E404" s="1"/>
      <c r="F404" s="1"/>
      <c r="G404" s="2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1"/>
      <c r="E405" s="1"/>
      <c r="F405" s="1"/>
      <c r="G405" s="2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1"/>
      <c r="E406" s="1"/>
      <c r="F406" s="1"/>
      <c r="G406" s="2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1"/>
      <c r="E407" s="1"/>
      <c r="F407" s="1"/>
      <c r="G407" s="2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1"/>
      <c r="E408" s="1"/>
      <c r="F408" s="1"/>
      <c r="G408" s="2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1"/>
      <c r="E409" s="1"/>
      <c r="F409" s="1"/>
      <c r="G409" s="2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1"/>
      <c r="E410" s="1"/>
      <c r="F410" s="1"/>
      <c r="G410" s="2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1"/>
      <c r="E411" s="1"/>
      <c r="F411" s="1"/>
      <c r="G411" s="2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1"/>
      <c r="E412" s="1"/>
      <c r="F412" s="1"/>
      <c r="G412" s="2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1"/>
      <c r="E413" s="1"/>
      <c r="F413" s="1"/>
      <c r="G413" s="2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1"/>
      <c r="E414" s="1"/>
      <c r="F414" s="1"/>
      <c r="G414" s="2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1"/>
      <c r="E415" s="1"/>
      <c r="F415" s="1"/>
      <c r="G415" s="2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1"/>
      <c r="E416" s="1"/>
      <c r="F416" s="1"/>
      <c r="G416" s="2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1"/>
      <c r="E417" s="1"/>
      <c r="F417" s="1"/>
      <c r="G417" s="2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1"/>
      <c r="E418" s="1"/>
      <c r="F418" s="1"/>
      <c r="G418" s="2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1"/>
      <c r="E419" s="1"/>
      <c r="F419" s="1"/>
      <c r="G419" s="2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1"/>
      <c r="E420" s="1"/>
      <c r="F420" s="1"/>
      <c r="G420" s="2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1"/>
      <c r="E421" s="1"/>
      <c r="F421" s="1"/>
      <c r="G421" s="2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1"/>
      <c r="E422" s="1"/>
      <c r="F422" s="1"/>
      <c r="G422" s="2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1"/>
      <c r="E423" s="1"/>
      <c r="F423" s="1"/>
      <c r="G423" s="2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1"/>
      <c r="E424" s="1"/>
      <c r="F424" s="1"/>
      <c r="G424" s="2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1"/>
      <c r="E425" s="1"/>
      <c r="F425" s="1"/>
      <c r="G425" s="2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1"/>
      <c r="E426" s="1"/>
      <c r="F426" s="1"/>
      <c r="G426" s="2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1"/>
      <c r="E427" s="1"/>
      <c r="F427" s="1"/>
      <c r="G427" s="2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1"/>
      <c r="E428" s="1"/>
      <c r="F428" s="1"/>
      <c r="G428" s="2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1"/>
      <c r="E429" s="1"/>
      <c r="F429" s="1"/>
      <c r="G429" s="2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1"/>
      <c r="E430" s="1"/>
      <c r="F430" s="1"/>
      <c r="G430" s="2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1"/>
      <c r="E431" s="1"/>
      <c r="F431" s="1"/>
      <c r="G431" s="2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1"/>
      <c r="E432" s="1"/>
      <c r="F432" s="1"/>
      <c r="G432" s="2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1"/>
      <c r="E433" s="1"/>
      <c r="F433" s="1"/>
      <c r="G433" s="2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1"/>
      <c r="E434" s="1"/>
      <c r="F434" s="1"/>
      <c r="G434" s="2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1"/>
      <c r="E435" s="1"/>
      <c r="F435" s="1"/>
      <c r="G435" s="2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1"/>
      <c r="E436" s="1"/>
      <c r="F436" s="1"/>
      <c r="G436" s="2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1"/>
      <c r="E437" s="1"/>
      <c r="F437" s="1"/>
      <c r="G437" s="2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1"/>
      <c r="E438" s="1"/>
      <c r="F438" s="1"/>
      <c r="G438" s="2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1"/>
      <c r="E439" s="1"/>
      <c r="F439" s="1"/>
      <c r="G439" s="2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1"/>
      <c r="E440" s="1"/>
      <c r="F440" s="1"/>
      <c r="G440" s="2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1"/>
      <c r="E441" s="1"/>
      <c r="F441" s="1"/>
      <c r="G441" s="2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1"/>
      <c r="E442" s="1"/>
      <c r="F442" s="1"/>
      <c r="G442" s="2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1"/>
      <c r="E443" s="1"/>
      <c r="F443" s="1"/>
      <c r="G443" s="2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1"/>
      <c r="E444" s="1"/>
      <c r="F444" s="1"/>
      <c r="G444" s="2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1"/>
      <c r="E445" s="1"/>
      <c r="F445" s="1"/>
      <c r="G445" s="2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1"/>
      <c r="E446" s="1"/>
      <c r="F446" s="1"/>
      <c r="G446" s="2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1"/>
      <c r="E447" s="1"/>
      <c r="F447" s="1"/>
      <c r="G447" s="2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1"/>
      <c r="E448" s="1"/>
      <c r="F448" s="1"/>
      <c r="G448" s="2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1"/>
      <c r="E449" s="1"/>
      <c r="F449" s="1"/>
      <c r="G449" s="2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1"/>
      <c r="E450" s="1"/>
      <c r="F450" s="1"/>
      <c r="G450" s="2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1"/>
      <c r="E451" s="1"/>
      <c r="F451" s="1"/>
      <c r="G451" s="2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1"/>
      <c r="E452" s="1"/>
      <c r="F452" s="1"/>
      <c r="G452" s="2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1"/>
      <c r="E453" s="1"/>
      <c r="F453" s="1"/>
      <c r="G453" s="2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1"/>
      <c r="E454" s="1"/>
      <c r="F454" s="1"/>
      <c r="G454" s="2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1"/>
      <c r="E455" s="1"/>
      <c r="F455" s="1"/>
      <c r="G455" s="2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1"/>
      <c r="E456" s="1"/>
      <c r="F456" s="1"/>
      <c r="G456" s="2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1"/>
      <c r="E457" s="1"/>
      <c r="F457" s="1"/>
      <c r="G457" s="2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1"/>
      <c r="E458" s="1"/>
      <c r="F458" s="1"/>
      <c r="G458" s="2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1"/>
      <c r="E459" s="1"/>
      <c r="F459" s="1"/>
      <c r="G459" s="2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1"/>
      <c r="E460" s="1"/>
      <c r="F460" s="1"/>
      <c r="G460" s="2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1"/>
      <c r="E461" s="1"/>
      <c r="F461" s="1"/>
      <c r="G461" s="2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1"/>
      <c r="E462" s="1"/>
      <c r="F462" s="1"/>
      <c r="G462" s="2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1"/>
      <c r="E463" s="1"/>
      <c r="F463" s="1"/>
      <c r="G463" s="2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1"/>
      <c r="E464" s="1"/>
      <c r="F464" s="1"/>
      <c r="G464" s="2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1"/>
      <c r="E465" s="1"/>
      <c r="F465" s="1"/>
      <c r="G465" s="2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1"/>
      <c r="E466" s="1"/>
      <c r="F466" s="1"/>
      <c r="G466" s="2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1"/>
      <c r="E467" s="1"/>
      <c r="F467" s="1"/>
      <c r="G467" s="2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1"/>
      <c r="E468" s="1"/>
      <c r="F468" s="1"/>
      <c r="G468" s="2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1"/>
      <c r="E469" s="1"/>
      <c r="F469" s="1"/>
      <c r="G469" s="2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1"/>
      <c r="E470" s="1"/>
      <c r="F470" s="1"/>
      <c r="G470" s="2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1"/>
      <c r="E471" s="1"/>
      <c r="F471" s="1"/>
      <c r="G471" s="2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1"/>
      <c r="E472" s="1"/>
      <c r="F472" s="1"/>
      <c r="G472" s="2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1"/>
      <c r="E473" s="1"/>
      <c r="F473" s="1"/>
      <c r="G473" s="2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1"/>
      <c r="E474" s="1"/>
      <c r="F474" s="1"/>
      <c r="G474" s="2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1"/>
      <c r="E475" s="1"/>
      <c r="F475" s="1"/>
      <c r="G475" s="2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1"/>
      <c r="E476" s="1"/>
      <c r="F476" s="1"/>
      <c r="G476" s="2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1"/>
      <c r="E477" s="1"/>
      <c r="F477" s="1"/>
      <c r="G477" s="2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1"/>
      <c r="E478" s="1"/>
      <c r="F478" s="1"/>
      <c r="G478" s="2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1"/>
      <c r="E479" s="1"/>
      <c r="F479" s="1"/>
      <c r="G479" s="2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1"/>
      <c r="E480" s="1"/>
      <c r="F480" s="1"/>
      <c r="G480" s="2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1"/>
      <c r="E481" s="1"/>
      <c r="F481" s="1"/>
      <c r="G481" s="2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1"/>
      <c r="E482" s="1"/>
      <c r="F482" s="1"/>
      <c r="G482" s="2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1"/>
      <c r="E483" s="1"/>
      <c r="F483" s="1"/>
      <c r="G483" s="2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1"/>
      <c r="E484" s="1"/>
      <c r="F484" s="1"/>
      <c r="G484" s="2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1"/>
      <c r="E485" s="1"/>
      <c r="F485" s="1"/>
      <c r="G485" s="2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1"/>
      <c r="E486" s="1"/>
      <c r="F486" s="1"/>
      <c r="G486" s="2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1"/>
      <c r="E487" s="1"/>
      <c r="F487" s="1"/>
      <c r="G487" s="2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1"/>
      <c r="E488" s="1"/>
      <c r="F488" s="1"/>
      <c r="G488" s="2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1"/>
      <c r="E489" s="1"/>
      <c r="F489" s="1"/>
      <c r="G489" s="2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1"/>
      <c r="E490" s="1"/>
      <c r="F490" s="1"/>
      <c r="G490" s="2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1"/>
      <c r="E491" s="1"/>
      <c r="F491" s="1"/>
      <c r="G491" s="2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1"/>
      <c r="E492" s="1"/>
      <c r="F492" s="1"/>
      <c r="G492" s="2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1"/>
      <c r="E493" s="1"/>
      <c r="F493" s="1"/>
      <c r="G493" s="2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1"/>
      <c r="E494" s="1"/>
      <c r="F494" s="1"/>
      <c r="G494" s="2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1"/>
      <c r="E495" s="1"/>
      <c r="F495" s="1"/>
      <c r="G495" s="2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1"/>
      <c r="E496" s="1"/>
      <c r="F496" s="1"/>
      <c r="G496" s="2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1"/>
      <c r="E497" s="1"/>
      <c r="F497" s="1"/>
      <c r="G497" s="2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1"/>
      <c r="E498" s="1"/>
      <c r="F498" s="1"/>
      <c r="G498" s="2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1"/>
      <c r="E499" s="1"/>
      <c r="F499" s="1"/>
      <c r="G499" s="2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1"/>
      <c r="E500" s="1"/>
      <c r="F500" s="1"/>
      <c r="G500" s="2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1"/>
      <c r="E501" s="1"/>
      <c r="F501" s="1"/>
      <c r="G501" s="2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1"/>
      <c r="E502" s="1"/>
      <c r="F502" s="1"/>
      <c r="G502" s="2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1"/>
      <c r="E503" s="1"/>
      <c r="F503" s="1"/>
      <c r="G503" s="2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1"/>
      <c r="E504" s="1"/>
      <c r="F504" s="1"/>
      <c r="G504" s="2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1"/>
      <c r="E505" s="1"/>
      <c r="F505" s="1"/>
      <c r="G505" s="2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1"/>
      <c r="E506" s="1"/>
      <c r="F506" s="1"/>
      <c r="G506" s="2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1"/>
      <c r="E507" s="1"/>
      <c r="F507" s="1"/>
      <c r="G507" s="2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1"/>
      <c r="E508" s="1"/>
      <c r="F508" s="1"/>
      <c r="G508" s="2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1"/>
      <c r="E509" s="1"/>
      <c r="F509" s="1"/>
      <c r="G509" s="2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1"/>
      <c r="E510" s="1"/>
      <c r="F510" s="1"/>
      <c r="G510" s="2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1"/>
      <c r="E511" s="1"/>
      <c r="F511" s="1"/>
      <c r="G511" s="2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1"/>
      <c r="E512" s="1"/>
      <c r="F512" s="1"/>
      <c r="G512" s="2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1"/>
      <c r="E513" s="1"/>
      <c r="F513" s="1"/>
      <c r="G513" s="2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1"/>
      <c r="E514" s="1"/>
      <c r="F514" s="1"/>
      <c r="G514" s="2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1"/>
      <c r="E515" s="1"/>
      <c r="F515" s="1"/>
      <c r="G515" s="2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1"/>
      <c r="E516" s="1"/>
      <c r="F516" s="1"/>
      <c r="G516" s="2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1"/>
      <c r="E517" s="1"/>
      <c r="F517" s="1"/>
      <c r="G517" s="2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1"/>
      <c r="E518" s="1"/>
      <c r="F518" s="1"/>
      <c r="G518" s="2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1"/>
      <c r="E519" s="1"/>
      <c r="F519" s="1"/>
      <c r="G519" s="2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1"/>
      <c r="E520" s="1"/>
      <c r="F520" s="1"/>
      <c r="G520" s="2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1"/>
      <c r="E521" s="1"/>
      <c r="F521" s="1"/>
      <c r="G521" s="2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1"/>
      <c r="E522" s="1"/>
      <c r="F522" s="1"/>
      <c r="G522" s="2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1"/>
      <c r="E523" s="1"/>
      <c r="F523" s="1"/>
      <c r="G523" s="2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1"/>
      <c r="E524" s="1"/>
      <c r="F524" s="1"/>
      <c r="G524" s="2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1"/>
      <c r="E525" s="1"/>
      <c r="F525" s="1"/>
      <c r="G525" s="2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1"/>
      <c r="E526" s="1"/>
      <c r="F526" s="1"/>
      <c r="G526" s="2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1"/>
      <c r="E527" s="1"/>
      <c r="F527" s="1"/>
      <c r="G527" s="2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1"/>
      <c r="E528" s="1"/>
      <c r="F528" s="1"/>
      <c r="G528" s="2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1"/>
      <c r="E529" s="1"/>
      <c r="F529" s="1"/>
      <c r="G529" s="2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1"/>
      <c r="E530" s="1"/>
      <c r="F530" s="1"/>
      <c r="G530" s="2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1"/>
      <c r="E531" s="1"/>
      <c r="F531" s="1"/>
      <c r="G531" s="2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1"/>
      <c r="E532" s="1"/>
      <c r="F532" s="1"/>
      <c r="G532" s="2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1"/>
      <c r="E533" s="1"/>
      <c r="F533" s="1"/>
      <c r="G533" s="2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1"/>
      <c r="E534" s="1"/>
      <c r="F534" s="1"/>
      <c r="G534" s="2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1"/>
      <c r="E535" s="1"/>
      <c r="F535" s="1"/>
      <c r="G535" s="2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1"/>
      <c r="E536" s="1"/>
      <c r="F536" s="1"/>
      <c r="G536" s="2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1"/>
      <c r="E537" s="1"/>
      <c r="F537" s="1"/>
      <c r="G537" s="2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1"/>
      <c r="E538" s="1"/>
      <c r="F538" s="1"/>
      <c r="G538" s="2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1"/>
      <c r="E539" s="1"/>
      <c r="F539" s="1"/>
      <c r="G539" s="2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1"/>
      <c r="E540" s="1"/>
      <c r="F540" s="1"/>
      <c r="G540" s="2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1"/>
      <c r="E541" s="1"/>
      <c r="F541" s="1"/>
      <c r="G541" s="2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1"/>
      <c r="E542" s="1"/>
      <c r="F542" s="1"/>
      <c r="G542" s="2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1"/>
      <c r="E543" s="1"/>
      <c r="F543" s="1"/>
      <c r="G543" s="2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1"/>
      <c r="E544" s="1"/>
      <c r="F544" s="1"/>
      <c r="G544" s="2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1"/>
      <c r="E545" s="1"/>
      <c r="F545" s="1"/>
      <c r="G545" s="2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1"/>
      <c r="E546" s="1"/>
      <c r="F546" s="1"/>
      <c r="G546" s="2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1"/>
      <c r="E547" s="1"/>
      <c r="F547" s="1"/>
      <c r="G547" s="2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1"/>
      <c r="E548" s="1"/>
      <c r="F548" s="1"/>
      <c r="G548" s="2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1"/>
      <c r="E549" s="1"/>
      <c r="F549" s="1"/>
      <c r="G549" s="2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1"/>
      <c r="E550" s="1"/>
      <c r="F550" s="1"/>
      <c r="G550" s="2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1"/>
      <c r="E551" s="1"/>
      <c r="F551" s="1"/>
      <c r="G551" s="2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1"/>
      <c r="E552" s="1"/>
      <c r="F552" s="1"/>
      <c r="G552" s="2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1"/>
      <c r="E553" s="1"/>
      <c r="F553" s="1"/>
      <c r="G553" s="2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1"/>
      <c r="E554" s="1"/>
      <c r="F554" s="1"/>
      <c r="G554" s="2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1"/>
      <c r="E555" s="1"/>
      <c r="F555" s="1"/>
      <c r="G555" s="2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1"/>
      <c r="E556" s="1"/>
      <c r="F556" s="1"/>
      <c r="G556" s="2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1"/>
      <c r="E557" s="1"/>
      <c r="F557" s="1"/>
      <c r="G557" s="2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1"/>
      <c r="E558" s="1"/>
      <c r="F558" s="1"/>
      <c r="G558" s="2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1"/>
      <c r="E559" s="1"/>
      <c r="F559" s="1"/>
      <c r="G559" s="2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1"/>
      <c r="E560" s="1"/>
      <c r="F560" s="1"/>
      <c r="G560" s="2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1"/>
      <c r="E561" s="1"/>
      <c r="F561" s="1"/>
      <c r="G561" s="2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1"/>
      <c r="E562" s="1"/>
      <c r="F562" s="1"/>
      <c r="G562" s="2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1"/>
      <c r="E563" s="1"/>
      <c r="F563" s="1"/>
      <c r="G563" s="2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1"/>
      <c r="E564" s="1"/>
      <c r="F564" s="1"/>
      <c r="G564" s="2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1"/>
      <c r="E565" s="1"/>
      <c r="F565" s="1"/>
      <c r="G565" s="2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1"/>
      <c r="E566" s="1"/>
      <c r="F566" s="1"/>
      <c r="G566" s="2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1"/>
      <c r="E567" s="1"/>
      <c r="F567" s="1"/>
      <c r="G567" s="2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1"/>
      <c r="E568" s="1"/>
      <c r="F568" s="1"/>
      <c r="G568" s="2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1"/>
      <c r="E569" s="1"/>
      <c r="F569" s="1"/>
      <c r="G569" s="2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1"/>
      <c r="E570" s="1"/>
      <c r="F570" s="1"/>
      <c r="G570" s="2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1"/>
      <c r="E571" s="1"/>
      <c r="F571" s="1"/>
      <c r="G571" s="2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1"/>
      <c r="E572" s="1"/>
      <c r="F572" s="1"/>
      <c r="G572" s="2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1"/>
      <c r="E573" s="1"/>
      <c r="F573" s="1"/>
      <c r="G573" s="2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1"/>
      <c r="E574" s="1"/>
      <c r="F574" s="1"/>
      <c r="G574" s="2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1"/>
      <c r="E575" s="1"/>
      <c r="F575" s="1"/>
      <c r="G575" s="2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1"/>
      <c r="E576" s="1"/>
      <c r="F576" s="1"/>
      <c r="G576" s="2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1"/>
      <c r="E577" s="1"/>
      <c r="F577" s="1"/>
      <c r="G577" s="2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1"/>
      <c r="E578" s="1"/>
      <c r="F578" s="1"/>
      <c r="G578" s="2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1"/>
      <c r="E579" s="1"/>
      <c r="F579" s="1"/>
      <c r="G579" s="2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1"/>
      <c r="E580" s="1"/>
      <c r="F580" s="1"/>
      <c r="G580" s="2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1"/>
      <c r="E581" s="1"/>
      <c r="F581" s="1"/>
      <c r="G581" s="2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1"/>
      <c r="E582" s="1"/>
      <c r="F582" s="1"/>
      <c r="G582" s="2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1"/>
      <c r="E583" s="1"/>
      <c r="F583" s="1"/>
      <c r="G583" s="2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1"/>
      <c r="E584" s="1"/>
      <c r="F584" s="1"/>
      <c r="G584" s="2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1"/>
      <c r="E585" s="1"/>
      <c r="F585" s="1"/>
      <c r="G585" s="2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1"/>
      <c r="E586" s="1"/>
      <c r="F586" s="1"/>
      <c r="G586" s="2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1"/>
      <c r="E587" s="1"/>
      <c r="F587" s="1"/>
      <c r="G587" s="2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1"/>
      <c r="E588" s="1"/>
      <c r="F588" s="1"/>
      <c r="G588" s="2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1"/>
      <c r="E589" s="1"/>
      <c r="F589" s="1"/>
      <c r="G589" s="2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1"/>
      <c r="E590" s="1"/>
      <c r="F590" s="1"/>
      <c r="G590" s="2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1"/>
      <c r="E591" s="1"/>
      <c r="F591" s="1"/>
      <c r="G591" s="2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1"/>
      <c r="E592" s="1"/>
      <c r="F592" s="1"/>
      <c r="G592" s="2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1"/>
      <c r="E593" s="1"/>
      <c r="F593" s="1"/>
      <c r="G593" s="2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1"/>
      <c r="E594" s="1"/>
      <c r="F594" s="1"/>
      <c r="G594" s="2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1"/>
      <c r="E595" s="1"/>
      <c r="F595" s="1"/>
      <c r="G595" s="2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1"/>
      <c r="E596" s="1"/>
      <c r="F596" s="1"/>
      <c r="G596" s="2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1"/>
      <c r="E597" s="1"/>
      <c r="F597" s="1"/>
      <c r="G597" s="2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1"/>
      <c r="E598" s="1"/>
      <c r="F598" s="1"/>
      <c r="G598" s="2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1"/>
      <c r="E599" s="1"/>
      <c r="F599" s="1"/>
      <c r="G599" s="2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1"/>
      <c r="E600" s="1"/>
      <c r="F600" s="1"/>
      <c r="G600" s="2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1"/>
      <c r="E601" s="1"/>
      <c r="F601" s="1"/>
      <c r="G601" s="2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1"/>
      <c r="E602" s="1"/>
      <c r="F602" s="1"/>
      <c r="G602" s="2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1"/>
      <c r="E603" s="1"/>
      <c r="F603" s="1"/>
      <c r="G603" s="2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1"/>
      <c r="E604" s="1"/>
      <c r="F604" s="1"/>
      <c r="G604" s="2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1"/>
      <c r="E605" s="1"/>
      <c r="F605" s="1"/>
      <c r="G605" s="2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1"/>
      <c r="E606" s="1"/>
      <c r="F606" s="1"/>
      <c r="G606" s="2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1"/>
      <c r="E607" s="1"/>
      <c r="F607" s="1"/>
      <c r="G607" s="2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1"/>
      <c r="E608" s="1"/>
      <c r="F608" s="1"/>
      <c r="G608" s="2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1"/>
      <c r="E609" s="1"/>
      <c r="F609" s="1"/>
      <c r="G609" s="2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1"/>
      <c r="E610" s="1"/>
      <c r="F610" s="1"/>
      <c r="G610" s="2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1"/>
      <c r="E611" s="1"/>
      <c r="F611" s="1"/>
      <c r="G611" s="2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1"/>
      <c r="E612" s="1"/>
      <c r="F612" s="1"/>
      <c r="G612" s="2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1"/>
      <c r="E613" s="1"/>
      <c r="F613" s="1"/>
      <c r="G613" s="2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1"/>
      <c r="E614" s="1"/>
      <c r="F614" s="1"/>
      <c r="G614" s="2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1"/>
      <c r="E615" s="1"/>
      <c r="F615" s="1"/>
      <c r="G615" s="2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1"/>
      <c r="E616" s="1"/>
      <c r="F616" s="1"/>
      <c r="G616" s="2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1"/>
      <c r="E617" s="1"/>
      <c r="F617" s="1"/>
      <c r="G617" s="2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1"/>
      <c r="E618" s="1"/>
      <c r="F618" s="1"/>
      <c r="G618" s="2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1"/>
      <c r="E619" s="1"/>
      <c r="F619" s="1"/>
      <c r="G619" s="2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1"/>
      <c r="E620" s="1"/>
      <c r="F620" s="1"/>
      <c r="G620" s="2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1"/>
      <c r="E621" s="1"/>
      <c r="F621" s="1"/>
      <c r="G621" s="2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1"/>
      <c r="E622" s="1"/>
      <c r="F622" s="1"/>
      <c r="G622" s="2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1"/>
      <c r="E623" s="1"/>
      <c r="F623" s="1"/>
      <c r="G623" s="2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1"/>
      <c r="E624" s="1"/>
      <c r="F624" s="1"/>
      <c r="G624" s="2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1"/>
      <c r="E625" s="1"/>
      <c r="F625" s="1"/>
      <c r="G625" s="2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1"/>
      <c r="E626" s="1"/>
      <c r="F626" s="1"/>
      <c r="G626" s="2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1"/>
      <c r="E627" s="1"/>
      <c r="F627" s="1"/>
      <c r="G627" s="2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1"/>
      <c r="E628" s="1"/>
      <c r="F628" s="1"/>
      <c r="G628" s="2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1"/>
      <c r="E629" s="1"/>
      <c r="F629" s="1"/>
      <c r="G629" s="2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1"/>
      <c r="E630" s="1"/>
      <c r="F630" s="1"/>
      <c r="G630" s="2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1"/>
      <c r="E631" s="1"/>
      <c r="F631" s="1"/>
      <c r="G631" s="2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1"/>
      <c r="E632" s="1"/>
      <c r="F632" s="1"/>
      <c r="G632" s="2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1"/>
      <c r="E633" s="1"/>
      <c r="F633" s="1"/>
      <c r="G633" s="2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1"/>
      <c r="E634" s="1"/>
      <c r="F634" s="1"/>
      <c r="G634" s="2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1"/>
      <c r="E635" s="1"/>
      <c r="F635" s="1"/>
      <c r="G635" s="2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1"/>
      <c r="E636" s="1"/>
      <c r="F636" s="1"/>
      <c r="G636" s="2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1"/>
      <c r="E637" s="1"/>
      <c r="F637" s="1"/>
      <c r="G637" s="2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1"/>
      <c r="E638" s="1"/>
      <c r="F638" s="1"/>
      <c r="G638" s="2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1"/>
      <c r="E639" s="1"/>
      <c r="F639" s="1"/>
      <c r="G639" s="2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1"/>
      <c r="E640" s="1"/>
      <c r="F640" s="1"/>
      <c r="G640" s="2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1"/>
      <c r="E641" s="1"/>
      <c r="F641" s="1"/>
      <c r="G641" s="2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1"/>
      <c r="E642" s="1"/>
      <c r="F642" s="1"/>
      <c r="G642" s="2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1"/>
      <c r="E643" s="1"/>
      <c r="F643" s="1"/>
      <c r="G643" s="2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1"/>
      <c r="E644" s="1"/>
      <c r="F644" s="1"/>
      <c r="G644" s="2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1"/>
      <c r="E645" s="1"/>
      <c r="F645" s="1"/>
      <c r="G645" s="2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1"/>
      <c r="E646" s="1"/>
      <c r="F646" s="1"/>
      <c r="G646" s="2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1"/>
      <c r="E647" s="1"/>
      <c r="F647" s="1"/>
      <c r="G647" s="2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1"/>
      <c r="E648" s="1"/>
      <c r="F648" s="1"/>
      <c r="G648" s="2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1"/>
      <c r="E649" s="1"/>
      <c r="F649" s="1"/>
      <c r="G649" s="2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1"/>
      <c r="E650" s="1"/>
      <c r="F650" s="1"/>
      <c r="G650" s="2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1"/>
      <c r="E651" s="1"/>
      <c r="F651" s="1"/>
      <c r="G651" s="2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1"/>
      <c r="E652" s="1"/>
      <c r="F652" s="1"/>
      <c r="G652" s="2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1"/>
      <c r="E653" s="1"/>
      <c r="F653" s="1"/>
      <c r="G653" s="2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1"/>
      <c r="E654" s="1"/>
      <c r="F654" s="1"/>
      <c r="G654" s="2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1"/>
      <c r="E655" s="1"/>
      <c r="F655" s="1"/>
      <c r="G655" s="2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1"/>
      <c r="E656" s="1"/>
      <c r="F656" s="1"/>
      <c r="G656" s="2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1"/>
      <c r="E657" s="1"/>
      <c r="F657" s="1"/>
      <c r="G657" s="2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1"/>
      <c r="E658" s="1"/>
      <c r="F658" s="1"/>
      <c r="G658" s="2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1"/>
      <c r="E659" s="1"/>
      <c r="F659" s="1"/>
      <c r="G659" s="2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1"/>
      <c r="E660" s="1"/>
      <c r="F660" s="1"/>
      <c r="G660" s="2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1"/>
      <c r="E661" s="1"/>
      <c r="F661" s="1"/>
      <c r="G661" s="2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1"/>
      <c r="E662" s="1"/>
      <c r="F662" s="1"/>
      <c r="G662" s="2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1"/>
      <c r="E663" s="1"/>
      <c r="F663" s="1"/>
      <c r="G663" s="2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1"/>
      <c r="E664" s="1"/>
      <c r="F664" s="1"/>
      <c r="G664" s="2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1"/>
      <c r="E665" s="1"/>
      <c r="F665" s="1"/>
      <c r="G665" s="2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1"/>
      <c r="E666" s="1"/>
      <c r="F666" s="1"/>
      <c r="G666" s="2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1"/>
      <c r="E667" s="1"/>
      <c r="F667" s="1"/>
      <c r="G667" s="2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1"/>
      <c r="E668" s="1"/>
      <c r="F668" s="1"/>
      <c r="G668" s="2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1"/>
      <c r="E669" s="1"/>
      <c r="F669" s="1"/>
      <c r="G669" s="2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1"/>
      <c r="E670" s="1"/>
      <c r="F670" s="1"/>
      <c r="G670" s="2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1"/>
      <c r="E671" s="1"/>
      <c r="F671" s="1"/>
      <c r="G671" s="2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1"/>
      <c r="E672" s="1"/>
      <c r="F672" s="1"/>
      <c r="G672" s="2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1"/>
      <c r="E673" s="1"/>
      <c r="F673" s="1"/>
      <c r="G673" s="2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1"/>
      <c r="E674" s="1"/>
      <c r="F674" s="1"/>
      <c r="G674" s="2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1"/>
      <c r="E675" s="1"/>
      <c r="F675" s="1"/>
      <c r="G675" s="2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1"/>
      <c r="E676" s="1"/>
      <c r="F676" s="1"/>
      <c r="G676" s="2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1"/>
      <c r="E677" s="1"/>
      <c r="F677" s="1"/>
      <c r="G677" s="2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1"/>
      <c r="E678" s="1"/>
      <c r="F678" s="1"/>
      <c r="G678" s="2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1"/>
      <c r="E679" s="1"/>
      <c r="F679" s="1"/>
      <c r="G679" s="2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1"/>
      <c r="E680" s="1"/>
      <c r="F680" s="1"/>
      <c r="G680" s="2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1"/>
      <c r="E681" s="1"/>
      <c r="F681" s="1"/>
      <c r="G681" s="2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1"/>
      <c r="E682" s="1"/>
      <c r="F682" s="1"/>
      <c r="G682" s="2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1"/>
      <c r="E683" s="1"/>
      <c r="F683" s="1"/>
      <c r="G683" s="2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1"/>
      <c r="E684" s="1"/>
      <c r="F684" s="1"/>
      <c r="G684" s="2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1"/>
      <c r="E685" s="1"/>
      <c r="F685" s="1"/>
      <c r="G685" s="2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1"/>
      <c r="E686" s="1"/>
      <c r="F686" s="1"/>
      <c r="G686" s="2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1"/>
      <c r="E687" s="1"/>
      <c r="F687" s="1"/>
      <c r="G687" s="2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1"/>
      <c r="E688" s="1"/>
      <c r="F688" s="1"/>
      <c r="G688" s="2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1"/>
      <c r="E689" s="1"/>
      <c r="F689" s="1"/>
      <c r="G689" s="2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1"/>
      <c r="E690" s="1"/>
      <c r="F690" s="1"/>
      <c r="G690" s="2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1"/>
      <c r="E691" s="1"/>
      <c r="F691" s="1"/>
      <c r="G691" s="2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1"/>
      <c r="E692" s="1"/>
      <c r="F692" s="1"/>
      <c r="G692" s="2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1"/>
      <c r="E693" s="1"/>
      <c r="F693" s="1"/>
      <c r="G693" s="2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1"/>
      <c r="E694" s="1"/>
      <c r="F694" s="1"/>
      <c r="G694" s="2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1"/>
      <c r="E695" s="1"/>
      <c r="F695" s="1"/>
      <c r="G695" s="2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1"/>
      <c r="E696" s="1"/>
      <c r="F696" s="1"/>
      <c r="G696" s="2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1"/>
      <c r="E697" s="1"/>
      <c r="F697" s="1"/>
      <c r="G697" s="2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1"/>
      <c r="E698" s="1"/>
      <c r="F698" s="1"/>
      <c r="G698" s="2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1"/>
      <c r="E699" s="1"/>
      <c r="F699" s="1"/>
      <c r="G699" s="2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1"/>
      <c r="E700" s="1"/>
      <c r="F700" s="1"/>
      <c r="G700" s="2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1"/>
      <c r="E701" s="1"/>
      <c r="F701" s="1"/>
      <c r="G701" s="2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1"/>
      <c r="E702" s="1"/>
      <c r="F702" s="1"/>
      <c r="G702" s="2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1"/>
      <c r="E703" s="1"/>
      <c r="F703" s="1"/>
      <c r="G703" s="2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1"/>
      <c r="E704" s="1"/>
      <c r="F704" s="1"/>
      <c r="G704" s="2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1"/>
      <c r="E705" s="1"/>
      <c r="F705" s="1"/>
      <c r="G705" s="2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1"/>
      <c r="E706" s="1"/>
      <c r="F706" s="1"/>
      <c r="G706" s="2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1"/>
      <c r="E707" s="1"/>
      <c r="F707" s="1"/>
      <c r="G707" s="2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1"/>
      <c r="E708" s="1"/>
      <c r="F708" s="1"/>
      <c r="G708" s="2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1"/>
      <c r="E709" s="1"/>
      <c r="F709" s="1"/>
      <c r="G709" s="2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1"/>
      <c r="E710" s="1"/>
      <c r="F710" s="1"/>
      <c r="G710" s="2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1"/>
      <c r="E711" s="1"/>
      <c r="F711" s="1"/>
      <c r="G711" s="2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1"/>
      <c r="E712" s="1"/>
      <c r="F712" s="1"/>
      <c r="G712" s="2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1"/>
      <c r="E713" s="1"/>
      <c r="F713" s="1"/>
      <c r="G713" s="2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1"/>
      <c r="E714" s="1"/>
      <c r="F714" s="1"/>
      <c r="G714" s="2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1"/>
      <c r="E715" s="1"/>
      <c r="F715" s="1"/>
      <c r="G715" s="2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1"/>
      <c r="E716" s="1"/>
      <c r="F716" s="1"/>
      <c r="G716" s="2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1"/>
      <c r="E717" s="1"/>
      <c r="F717" s="1"/>
      <c r="G717" s="2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1"/>
      <c r="E718" s="1"/>
      <c r="F718" s="1"/>
      <c r="G718" s="2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1"/>
      <c r="E719" s="1"/>
      <c r="F719" s="1"/>
      <c r="G719" s="2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1"/>
      <c r="E720" s="1"/>
      <c r="F720" s="1"/>
      <c r="G720" s="2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1"/>
      <c r="E721" s="1"/>
      <c r="F721" s="1"/>
      <c r="G721" s="2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1"/>
      <c r="E722" s="1"/>
      <c r="F722" s="1"/>
      <c r="G722" s="2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1"/>
      <c r="E723" s="1"/>
      <c r="F723" s="1"/>
      <c r="G723" s="2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1"/>
      <c r="E724" s="1"/>
      <c r="F724" s="1"/>
      <c r="G724" s="2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1"/>
      <c r="E725" s="1"/>
      <c r="F725" s="1"/>
      <c r="G725" s="2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1"/>
      <c r="E726" s="1"/>
      <c r="F726" s="1"/>
      <c r="G726" s="2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1"/>
      <c r="E727" s="1"/>
      <c r="F727" s="1"/>
      <c r="G727" s="2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1"/>
      <c r="E728" s="1"/>
      <c r="F728" s="1"/>
      <c r="G728" s="2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1"/>
      <c r="E729" s="1"/>
      <c r="F729" s="1"/>
      <c r="G729" s="2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1"/>
      <c r="E730" s="1"/>
      <c r="F730" s="1"/>
      <c r="G730" s="2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1"/>
      <c r="E731" s="1"/>
      <c r="F731" s="1"/>
      <c r="G731" s="2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1"/>
      <c r="E732" s="1"/>
      <c r="F732" s="1"/>
      <c r="G732" s="2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1"/>
      <c r="E733" s="1"/>
      <c r="F733" s="1"/>
      <c r="G733" s="2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1"/>
      <c r="E734" s="1"/>
      <c r="F734" s="1"/>
      <c r="G734" s="2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1"/>
      <c r="E735" s="1"/>
      <c r="F735" s="1"/>
      <c r="G735" s="2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1"/>
      <c r="E736" s="1"/>
      <c r="F736" s="1"/>
      <c r="G736" s="2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1"/>
      <c r="E737" s="1"/>
      <c r="F737" s="1"/>
      <c r="G737" s="2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1"/>
      <c r="E738" s="1"/>
      <c r="F738" s="1"/>
      <c r="G738" s="2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1"/>
      <c r="E739" s="1"/>
      <c r="F739" s="1"/>
      <c r="G739" s="2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1"/>
      <c r="E740" s="1"/>
      <c r="F740" s="1"/>
      <c r="G740" s="2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1"/>
      <c r="E741" s="1"/>
      <c r="F741" s="1"/>
      <c r="G741" s="2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1"/>
      <c r="E742" s="1"/>
      <c r="F742" s="1"/>
      <c r="G742" s="2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1"/>
      <c r="E743" s="1"/>
      <c r="F743" s="1"/>
      <c r="G743" s="2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1"/>
      <c r="E744" s="1"/>
      <c r="F744" s="1"/>
      <c r="G744" s="2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1"/>
      <c r="E745" s="1"/>
      <c r="F745" s="1"/>
      <c r="G745" s="2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1"/>
      <c r="E746" s="1"/>
      <c r="F746" s="1"/>
      <c r="G746" s="2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1"/>
      <c r="E747" s="1"/>
      <c r="F747" s="1"/>
      <c r="G747" s="2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1"/>
      <c r="E748" s="1"/>
      <c r="F748" s="1"/>
      <c r="G748" s="2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1"/>
      <c r="E749" s="1"/>
      <c r="F749" s="1"/>
      <c r="G749" s="2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1"/>
      <c r="E750" s="1"/>
      <c r="F750" s="1"/>
      <c r="G750" s="2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1"/>
      <c r="E751" s="1"/>
      <c r="F751" s="1"/>
      <c r="G751" s="2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1"/>
      <c r="E752" s="1"/>
      <c r="F752" s="1"/>
      <c r="G752" s="2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1"/>
      <c r="E753" s="1"/>
      <c r="F753" s="1"/>
      <c r="G753" s="2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1"/>
      <c r="E754" s="1"/>
      <c r="F754" s="1"/>
      <c r="G754" s="2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1"/>
      <c r="E755" s="1"/>
      <c r="F755" s="1"/>
      <c r="G755" s="2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1"/>
      <c r="E756" s="1"/>
      <c r="F756" s="1"/>
      <c r="G756" s="2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1"/>
      <c r="E757" s="1"/>
      <c r="F757" s="1"/>
      <c r="G757" s="2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1"/>
      <c r="E758" s="1"/>
      <c r="F758" s="1"/>
      <c r="G758" s="2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1"/>
      <c r="E759" s="1"/>
      <c r="F759" s="1"/>
      <c r="G759" s="2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1"/>
      <c r="E760" s="1"/>
      <c r="F760" s="1"/>
      <c r="G760" s="2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1"/>
      <c r="E761" s="1"/>
      <c r="F761" s="1"/>
      <c r="G761" s="2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1"/>
      <c r="E762" s="1"/>
      <c r="F762" s="1"/>
      <c r="G762" s="2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1"/>
      <c r="E763" s="1"/>
      <c r="F763" s="1"/>
      <c r="G763" s="2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1"/>
      <c r="E764" s="1"/>
      <c r="F764" s="1"/>
      <c r="G764" s="2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1"/>
      <c r="E765" s="1"/>
      <c r="F765" s="1"/>
      <c r="G765" s="2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1"/>
      <c r="E766" s="1"/>
      <c r="F766" s="1"/>
      <c r="G766" s="2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1"/>
      <c r="E767" s="1"/>
      <c r="F767" s="1"/>
      <c r="G767" s="2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1"/>
      <c r="E768" s="1"/>
      <c r="F768" s="1"/>
      <c r="G768" s="2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1"/>
      <c r="E769" s="1"/>
      <c r="F769" s="1"/>
      <c r="G769" s="2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1"/>
      <c r="E770" s="1"/>
      <c r="F770" s="1"/>
      <c r="G770" s="2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1"/>
      <c r="E771" s="1"/>
      <c r="F771" s="1"/>
      <c r="G771" s="2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1"/>
      <c r="E772" s="1"/>
      <c r="F772" s="1"/>
      <c r="G772" s="2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1"/>
      <c r="E773" s="1"/>
      <c r="F773" s="1"/>
      <c r="G773" s="2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1"/>
      <c r="E774" s="1"/>
      <c r="F774" s="1"/>
      <c r="G774" s="2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1"/>
      <c r="E775" s="1"/>
      <c r="F775" s="1"/>
      <c r="G775" s="2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1"/>
      <c r="E776" s="1"/>
      <c r="F776" s="1"/>
      <c r="G776" s="2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1"/>
      <c r="E777" s="1"/>
      <c r="F777" s="1"/>
      <c r="G777" s="2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1"/>
      <c r="E778" s="1"/>
      <c r="F778" s="1"/>
      <c r="G778" s="2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1"/>
      <c r="E779" s="1"/>
      <c r="F779" s="1"/>
      <c r="G779" s="2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1"/>
      <c r="E780" s="1"/>
      <c r="F780" s="1"/>
      <c r="G780" s="2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1"/>
      <c r="E781" s="1"/>
      <c r="F781" s="1"/>
      <c r="G781" s="2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1"/>
      <c r="E782" s="1"/>
      <c r="F782" s="1"/>
      <c r="G782" s="2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1"/>
      <c r="E783" s="1"/>
      <c r="F783" s="1"/>
      <c r="G783" s="2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1"/>
      <c r="E784" s="1"/>
      <c r="F784" s="1"/>
      <c r="G784" s="2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1"/>
      <c r="E785" s="1"/>
      <c r="F785" s="1"/>
      <c r="G785" s="2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1"/>
      <c r="E786" s="1"/>
      <c r="F786" s="1"/>
      <c r="G786" s="2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1"/>
      <c r="E787" s="1"/>
      <c r="F787" s="1"/>
      <c r="G787" s="2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1"/>
      <c r="E788" s="1"/>
      <c r="F788" s="1"/>
      <c r="G788" s="2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1"/>
      <c r="E789" s="1"/>
      <c r="F789" s="1"/>
      <c r="G789" s="2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1"/>
      <c r="E790" s="1"/>
      <c r="F790" s="1"/>
      <c r="G790" s="2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1"/>
      <c r="E791" s="1"/>
      <c r="F791" s="1"/>
      <c r="G791" s="2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1"/>
      <c r="E792" s="1"/>
      <c r="F792" s="1"/>
      <c r="G792" s="2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1"/>
      <c r="E793" s="1"/>
      <c r="F793" s="1"/>
      <c r="G793" s="2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1"/>
      <c r="E794" s="1"/>
      <c r="F794" s="1"/>
      <c r="G794" s="2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1"/>
      <c r="E795" s="1"/>
      <c r="F795" s="1"/>
      <c r="G795" s="2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1"/>
      <c r="E796" s="1"/>
      <c r="F796" s="1"/>
      <c r="G796" s="2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1"/>
      <c r="E797" s="1"/>
      <c r="F797" s="1"/>
      <c r="G797" s="2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1"/>
      <c r="E798" s="1"/>
      <c r="F798" s="1"/>
      <c r="G798" s="2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1"/>
      <c r="E799" s="1"/>
      <c r="F799" s="1"/>
      <c r="G799" s="2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1"/>
      <c r="E800" s="1"/>
      <c r="F800" s="1"/>
      <c r="G800" s="2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1"/>
      <c r="E801" s="1"/>
      <c r="F801" s="1"/>
      <c r="G801" s="2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1"/>
      <c r="E802" s="1"/>
      <c r="F802" s="1"/>
      <c r="G802" s="2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1"/>
      <c r="E803" s="1"/>
      <c r="F803" s="1"/>
      <c r="G803" s="2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1"/>
      <c r="E804" s="1"/>
      <c r="F804" s="1"/>
      <c r="G804" s="2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1"/>
      <c r="E805" s="1"/>
      <c r="F805" s="1"/>
      <c r="G805" s="2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1"/>
      <c r="E806" s="1"/>
      <c r="F806" s="1"/>
      <c r="G806" s="2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1"/>
      <c r="E807" s="1"/>
      <c r="F807" s="1"/>
      <c r="G807" s="2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1"/>
      <c r="E808" s="1"/>
      <c r="F808" s="1"/>
      <c r="G808" s="2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1"/>
      <c r="E809" s="1"/>
      <c r="F809" s="1"/>
      <c r="G809" s="2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1"/>
      <c r="E810" s="1"/>
      <c r="F810" s="1"/>
      <c r="G810" s="2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1"/>
      <c r="E811" s="1"/>
      <c r="F811" s="1"/>
      <c r="G811" s="2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1"/>
      <c r="E812" s="1"/>
      <c r="F812" s="1"/>
      <c r="G812" s="2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1"/>
      <c r="E813" s="1"/>
      <c r="F813" s="1"/>
      <c r="G813" s="2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1"/>
      <c r="E814" s="1"/>
      <c r="F814" s="1"/>
      <c r="G814" s="2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1"/>
      <c r="E815" s="1"/>
      <c r="F815" s="1"/>
      <c r="G815" s="2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1"/>
      <c r="E816" s="1"/>
      <c r="F816" s="1"/>
      <c r="G816" s="2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1"/>
      <c r="E817" s="1"/>
      <c r="F817" s="1"/>
      <c r="G817" s="2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1"/>
      <c r="E818" s="1"/>
      <c r="F818" s="1"/>
      <c r="G818" s="2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1"/>
      <c r="E819" s="1"/>
      <c r="F819" s="1"/>
      <c r="G819" s="2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1"/>
      <c r="E820" s="1"/>
      <c r="F820" s="1"/>
      <c r="G820" s="2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1"/>
      <c r="E821" s="1"/>
      <c r="F821" s="1"/>
      <c r="G821" s="2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1"/>
      <c r="E822" s="1"/>
      <c r="F822" s="1"/>
      <c r="G822" s="2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1"/>
      <c r="E823" s="1"/>
      <c r="F823" s="1"/>
      <c r="G823" s="2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1"/>
      <c r="E824" s="1"/>
      <c r="F824" s="1"/>
      <c r="G824" s="2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1"/>
      <c r="E825" s="1"/>
      <c r="F825" s="1"/>
      <c r="G825" s="2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1"/>
      <c r="E826" s="1"/>
      <c r="F826" s="1"/>
      <c r="G826" s="2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1"/>
      <c r="E827" s="1"/>
      <c r="F827" s="1"/>
      <c r="G827" s="2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1"/>
      <c r="E828" s="1"/>
      <c r="F828" s="1"/>
      <c r="G828" s="2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1"/>
      <c r="E829" s="1"/>
      <c r="F829" s="1"/>
      <c r="G829" s="2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1"/>
      <c r="E830" s="1"/>
      <c r="F830" s="1"/>
      <c r="G830" s="2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1"/>
      <c r="E831" s="1"/>
      <c r="F831" s="1"/>
      <c r="G831" s="2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1"/>
      <c r="E832" s="1"/>
      <c r="F832" s="1"/>
      <c r="G832" s="2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1"/>
      <c r="E833" s="1"/>
      <c r="F833" s="1"/>
      <c r="G833" s="2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1"/>
      <c r="E834" s="1"/>
      <c r="F834" s="1"/>
      <c r="G834" s="2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1"/>
      <c r="E835" s="1"/>
      <c r="F835" s="1"/>
      <c r="G835" s="2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1"/>
      <c r="E836" s="1"/>
      <c r="F836" s="1"/>
      <c r="G836" s="2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1"/>
      <c r="E837" s="1"/>
      <c r="F837" s="1"/>
      <c r="G837" s="2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1"/>
      <c r="E838" s="1"/>
      <c r="F838" s="1"/>
      <c r="G838" s="2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1"/>
      <c r="E839" s="1"/>
      <c r="F839" s="1"/>
      <c r="G839" s="2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1"/>
      <c r="E840" s="1"/>
      <c r="F840" s="1"/>
      <c r="G840" s="2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1"/>
      <c r="E841" s="1"/>
      <c r="F841" s="1"/>
      <c r="G841" s="2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1"/>
      <c r="E842" s="1"/>
      <c r="F842" s="1"/>
      <c r="G842" s="2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1"/>
      <c r="E843" s="1"/>
      <c r="F843" s="1"/>
      <c r="G843" s="2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1"/>
      <c r="E844" s="1"/>
      <c r="F844" s="1"/>
      <c r="G844" s="2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1"/>
      <c r="E845" s="1"/>
      <c r="F845" s="1"/>
      <c r="G845" s="2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1"/>
      <c r="E846" s="1"/>
      <c r="F846" s="1"/>
      <c r="G846" s="2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1"/>
      <c r="E847" s="1"/>
      <c r="F847" s="1"/>
      <c r="G847" s="2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1"/>
      <c r="E848" s="1"/>
      <c r="F848" s="1"/>
      <c r="G848" s="2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1"/>
      <c r="E849" s="1"/>
      <c r="F849" s="1"/>
      <c r="G849" s="2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1"/>
      <c r="E850" s="1"/>
      <c r="F850" s="1"/>
      <c r="G850" s="2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1"/>
      <c r="E851" s="1"/>
      <c r="F851" s="1"/>
      <c r="G851" s="2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1"/>
      <c r="E852" s="1"/>
      <c r="F852" s="1"/>
      <c r="G852" s="2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1"/>
      <c r="E853" s="1"/>
      <c r="F853" s="1"/>
      <c r="G853" s="2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1"/>
      <c r="E854" s="1"/>
      <c r="F854" s="1"/>
      <c r="G854" s="2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1"/>
      <c r="E855" s="1"/>
      <c r="F855" s="1"/>
      <c r="G855" s="2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1"/>
      <c r="E856" s="1"/>
      <c r="F856" s="1"/>
      <c r="G856" s="2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1"/>
      <c r="E857" s="1"/>
      <c r="F857" s="1"/>
      <c r="G857" s="2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1"/>
      <c r="E858" s="1"/>
      <c r="F858" s="1"/>
      <c r="G858" s="2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1"/>
      <c r="E859" s="1"/>
      <c r="F859" s="1"/>
      <c r="G859" s="2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1"/>
      <c r="E860" s="1"/>
      <c r="F860" s="1"/>
      <c r="G860" s="2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1"/>
      <c r="E861" s="1"/>
      <c r="F861" s="1"/>
      <c r="G861" s="2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1"/>
      <c r="E862" s="1"/>
      <c r="F862" s="1"/>
      <c r="G862" s="2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1"/>
      <c r="E863" s="1"/>
      <c r="F863" s="1"/>
      <c r="G863" s="2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1"/>
      <c r="E864" s="1"/>
      <c r="F864" s="1"/>
      <c r="G864" s="2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1"/>
      <c r="E865" s="1"/>
      <c r="F865" s="1"/>
      <c r="G865" s="2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1"/>
      <c r="E866" s="1"/>
      <c r="F866" s="1"/>
      <c r="G866" s="2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1"/>
      <c r="E867" s="1"/>
      <c r="F867" s="1"/>
      <c r="G867" s="2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1"/>
      <c r="E868" s="1"/>
      <c r="F868" s="1"/>
      <c r="G868" s="2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1"/>
      <c r="E869" s="1"/>
      <c r="F869" s="1"/>
      <c r="G869" s="2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1"/>
      <c r="E870" s="1"/>
      <c r="F870" s="1"/>
      <c r="G870" s="2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1"/>
      <c r="E871" s="1"/>
      <c r="F871" s="1"/>
      <c r="G871" s="2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1"/>
      <c r="E872" s="1"/>
      <c r="F872" s="1"/>
      <c r="G872" s="2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1"/>
      <c r="E873" s="1"/>
      <c r="F873" s="1"/>
      <c r="G873" s="2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1"/>
      <c r="E874" s="1"/>
      <c r="F874" s="1"/>
      <c r="G874" s="2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1"/>
      <c r="E875" s="1"/>
      <c r="F875" s="1"/>
      <c r="G875" s="2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1"/>
      <c r="E876" s="1"/>
      <c r="F876" s="1"/>
      <c r="G876" s="2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1"/>
      <c r="E877" s="1"/>
      <c r="F877" s="1"/>
      <c r="G877" s="2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1"/>
      <c r="E878" s="1"/>
      <c r="F878" s="1"/>
      <c r="G878" s="2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1"/>
      <c r="E879" s="1"/>
      <c r="F879" s="1"/>
      <c r="G879" s="2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1"/>
      <c r="E880" s="1"/>
      <c r="F880" s="1"/>
      <c r="G880" s="2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1"/>
      <c r="E881" s="1"/>
      <c r="F881" s="1"/>
      <c r="G881" s="2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1"/>
      <c r="E882" s="1"/>
      <c r="F882" s="1"/>
      <c r="G882" s="2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1"/>
      <c r="E883" s="1"/>
      <c r="F883" s="1"/>
      <c r="G883" s="2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1"/>
      <c r="E884" s="1"/>
      <c r="F884" s="1"/>
      <c r="G884" s="2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1"/>
      <c r="E885" s="1"/>
      <c r="F885" s="1"/>
      <c r="G885" s="2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1"/>
      <c r="E886" s="1"/>
      <c r="F886" s="1"/>
      <c r="G886" s="2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1"/>
      <c r="E887" s="1"/>
      <c r="F887" s="1"/>
      <c r="G887" s="2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1"/>
      <c r="E888" s="1"/>
      <c r="F888" s="1"/>
      <c r="G888" s="2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1"/>
      <c r="E889" s="1"/>
      <c r="F889" s="1"/>
      <c r="G889" s="2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1"/>
      <c r="E890" s="1"/>
      <c r="F890" s="1"/>
      <c r="G890" s="2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1"/>
      <c r="E891" s="1"/>
      <c r="F891" s="1"/>
      <c r="G891" s="2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1"/>
      <c r="E892" s="1"/>
      <c r="F892" s="1"/>
      <c r="G892" s="2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1"/>
      <c r="E893" s="1"/>
      <c r="F893" s="1"/>
      <c r="G893" s="2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1"/>
      <c r="E894" s="1"/>
      <c r="F894" s="1"/>
      <c r="G894" s="2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1"/>
      <c r="E895" s="1"/>
      <c r="F895" s="1"/>
      <c r="G895" s="2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1"/>
      <c r="E896" s="1"/>
      <c r="F896" s="1"/>
      <c r="G896" s="2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1"/>
      <c r="E897" s="1"/>
      <c r="F897" s="1"/>
      <c r="G897" s="2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1"/>
      <c r="E898" s="1"/>
      <c r="F898" s="1"/>
      <c r="G898" s="2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1"/>
      <c r="E899" s="1"/>
      <c r="F899" s="1"/>
      <c r="G899" s="2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1"/>
      <c r="E900" s="1"/>
      <c r="F900" s="1"/>
      <c r="G900" s="2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1"/>
      <c r="E901" s="1"/>
      <c r="F901" s="1"/>
      <c r="G901" s="2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1"/>
      <c r="E902" s="1"/>
      <c r="F902" s="1"/>
      <c r="G902" s="2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1"/>
      <c r="E903" s="1"/>
      <c r="F903" s="1"/>
      <c r="G903" s="2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1"/>
      <c r="E904" s="1"/>
      <c r="F904" s="1"/>
      <c r="G904" s="2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1"/>
      <c r="E905" s="1"/>
      <c r="F905" s="1"/>
      <c r="G905" s="2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1"/>
      <c r="E906" s="1"/>
      <c r="F906" s="1"/>
      <c r="G906" s="2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1"/>
      <c r="E907" s="1"/>
      <c r="F907" s="1"/>
      <c r="G907" s="2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1"/>
      <c r="E908" s="1"/>
      <c r="F908" s="1"/>
      <c r="G908" s="2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1"/>
      <c r="E909" s="1"/>
      <c r="F909" s="1"/>
      <c r="G909" s="2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1"/>
      <c r="E910" s="1"/>
      <c r="F910" s="1"/>
      <c r="G910" s="2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1"/>
      <c r="E911" s="1"/>
      <c r="F911" s="1"/>
      <c r="G911" s="2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1"/>
      <c r="E912" s="1"/>
      <c r="F912" s="1"/>
      <c r="G912" s="2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1"/>
      <c r="E913" s="1"/>
      <c r="F913" s="1"/>
      <c r="G913" s="2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1"/>
      <c r="E914" s="1"/>
      <c r="F914" s="1"/>
      <c r="G914" s="2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1"/>
      <c r="E915" s="1"/>
      <c r="F915" s="1"/>
      <c r="G915" s="2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1"/>
      <c r="E916" s="1"/>
      <c r="F916" s="1"/>
      <c r="G916" s="2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1"/>
      <c r="E917" s="1"/>
      <c r="F917" s="1"/>
      <c r="G917" s="2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1"/>
      <c r="E918" s="1"/>
      <c r="F918" s="1"/>
      <c r="G918" s="2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1"/>
      <c r="E919" s="1"/>
      <c r="F919" s="1"/>
      <c r="G919" s="2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1"/>
      <c r="E920" s="1"/>
      <c r="F920" s="1"/>
      <c r="G920" s="2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1"/>
      <c r="E921" s="1"/>
      <c r="F921" s="1"/>
      <c r="G921" s="2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1"/>
      <c r="E922" s="1"/>
      <c r="F922" s="1"/>
      <c r="G922" s="2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1"/>
      <c r="E923" s="1"/>
      <c r="F923" s="1"/>
      <c r="G923" s="2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1"/>
      <c r="E924" s="1"/>
      <c r="F924" s="1"/>
      <c r="G924" s="2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1"/>
      <c r="E925" s="1"/>
      <c r="F925" s="1"/>
      <c r="G925" s="2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1"/>
      <c r="E926" s="1"/>
      <c r="F926" s="1"/>
      <c r="G926" s="2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1"/>
      <c r="E927" s="1"/>
      <c r="F927" s="1"/>
      <c r="G927" s="2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1"/>
      <c r="E928" s="1"/>
      <c r="F928" s="1"/>
      <c r="G928" s="2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1"/>
      <c r="E929" s="1"/>
      <c r="F929" s="1"/>
      <c r="G929" s="2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1"/>
      <c r="E930" s="1"/>
      <c r="F930" s="1"/>
      <c r="G930" s="2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1"/>
      <c r="E931" s="1"/>
      <c r="F931" s="1"/>
      <c r="G931" s="2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1"/>
      <c r="E932" s="1"/>
      <c r="F932" s="1"/>
      <c r="G932" s="2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1"/>
      <c r="E933" s="1"/>
      <c r="F933" s="1"/>
      <c r="G933" s="2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1"/>
      <c r="E934" s="1"/>
      <c r="F934" s="1"/>
      <c r="G934" s="2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1"/>
      <c r="E935" s="1"/>
      <c r="F935" s="1"/>
      <c r="G935" s="2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1"/>
      <c r="E936" s="1"/>
      <c r="F936" s="1"/>
      <c r="G936" s="2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1"/>
      <c r="E937" s="1"/>
      <c r="F937" s="1"/>
      <c r="G937" s="2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1"/>
      <c r="E938" s="1"/>
      <c r="F938" s="1"/>
      <c r="G938" s="2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1"/>
      <c r="E939" s="1"/>
      <c r="F939" s="1"/>
      <c r="G939" s="2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1"/>
      <c r="E940" s="1"/>
      <c r="F940" s="1"/>
      <c r="G940" s="2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1"/>
      <c r="E941" s="1"/>
      <c r="F941" s="1"/>
      <c r="G941" s="2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1"/>
      <c r="E942" s="1"/>
      <c r="F942" s="1"/>
      <c r="G942" s="2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1"/>
      <c r="E943" s="1"/>
      <c r="F943" s="1"/>
      <c r="G943" s="2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1"/>
      <c r="E944" s="1"/>
      <c r="F944" s="1"/>
      <c r="G944" s="2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1"/>
      <c r="E945" s="1"/>
      <c r="F945" s="1"/>
      <c r="G945" s="2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1"/>
      <c r="E946" s="1"/>
      <c r="F946" s="1"/>
      <c r="G946" s="2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1"/>
      <c r="E947" s="1"/>
      <c r="F947" s="1"/>
      <c r="G947" s="2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1"/>
      <c r="E948" s="1"/>
      <c r="F948" s="1"/>
      <c r="G948" s="2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1"/>
      <c r="E949" s="1"/>
      <c r="F949" s="1"/>
      <c r="G949" s="2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1"/>
      <c r="E950" s="1"/>
      <c r="F950" s="1"/>
      <c r="G950" s="2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1"/>
      <c r="E951" s="1"/>
      <c r="F951" s="1"/>
      <c r="G951" s="2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1"/>
      <c r="E952" s="1"/>
      <c r="F952" s="1"/>
      <c r="G952" s="2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1"/>
      <c r="E953" s="1"/>
      <c r="F953" s="1"/>
      <c r="G953" s="2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1"/>
      <c r="E954" s="1"/>
      <c r="F954" s="1"/>
      <c r="G954" s="2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1"/>
      <c r="E955" s="1"/>
      <c r="F955" s="1"/>
      <c r="G955" s="2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1"/>
      <c r="E956" s="1"/>
      <c r="F956" s="1"/>
      <c r="G956" s="2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1"/>
      <c r="E957" s="1"/>
      <c r="F957" s="1"/>
      <c r="G957" s="2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1"/>
      <c r="E958" s="1"/>
      <c r="F958" s="1"/>
      <c r="G958" s="2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1"/>
      <c r="E959" s="1"/>
      <c r="F959" s="1"/>
      <c r="G959" s="2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1"/>
      <c r="E960" s="1"/>
      <c r="F960" s="1"/>
      <c r="G960" s="2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1"/>
      <c r="E961" s="1"/>
      <c r="F961" s="1"/>
      <c r="G961" s="2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1"/>
      <c r="E962" s="1"/>
      <c r="F962" s="1"/>
      <c r="G962" s="2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1"/>
      <c r="E963" s="1"/>
      <c r="F963" s="1"/>
      <c r="G963" s="2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1"/>
      <c r="E964" s="1"/>
      <c r="F964" s="1"/>
      <c r="G964" s="2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1"/>
      <c r="E965" s="1"/>
      <c r="F965" s="1"/>
      <c r="G965" s="2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1"/>
      <c r="E966" s="1"/>
      <c r="F966" s="1"/>
      <c r="G966" s="2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1"/>
      <c r="E967" s="1"/>
      <c r="F967" s="1"/>
      <c r="G967" s="2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1"/>
      <c r="E968" s="1"/>
      <c r="F968" s="1"/>
      <c r="G968" s="2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1"/>
      <c r="E969" s="1"/>
      <c r="F969" s="1"/>
      <c r="G969" s="2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1"/>
      <c r="E970" s="1"/>
      <c r="F970" s="1"/>
      <c r="G970" s="2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1"/>
      <c r="E971" s="1"/>
      <c r="F971" s="1"/>
      <c r="G971" s="2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1"/>
      <c r="E972" s="1"/>
      <c r="F972" s="1"/>
      <c r="G972" s="2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1"/>
      <c r="E973" s="1"/>
      <c r="F973" s="1"/>
      <c r="G973" s="2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1"/>
      <c r="E974" s="1"/>
      <c r="F974" s="1"/>
      <c r="G974" s="2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1"/>
      <c r="E975" s="1"/>
      <c r="F975" s="1"/>
      <c r="G975" s="2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1"/>
      <c r="E976" s="1"/>
      <c r="F976" s="1"/>
      <c r="G976" s="2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1"/>
      <c r="E977" s="1"/>
      <c r="F977" s="1"/>
      <c r="G977" s="2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1"/>
      <c r="E978" s="1"/>
      <c r="F978" s="1"/>
      <c r="G978" s="2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1"/>
      <c r="E979" s="1"/>
      <c r="F979" s="1"/>
      <c r="G979" s="2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1"/>
      <c r="E980" s="1"/>
      <c r="F980" s="1"/>
      <c r="G980" s="2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1"/>
      <c r="E981" s="1"/>
      <c r="F981" s="1"/>
      <c r="G981" s="2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1"/>
      <c r="E982" s="1"/>
      <c r="F982" s="1"/>
      <c r="G982" s="2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1"/>
      <c r="E983" s="1"/>
      <c r="F983" s="1"/>
      <c r="G983" s="2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1"/>
      <c r="E984" s="1"/>
      <c r="F984" s="1"/>
      <c r="G984" s="2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1"/>
      <c r="E985" s="1"/>
      <c r="F985" s="1"/>
      <c r="G985" s="2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1"/>
      <c r="E986" s="1"/>
      <c r="F986" s="1"/>
      <c r="G986" s="2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1"/>
      <c r="E987" s="1"/>
      <c r="F987" s="1"/>
      <c r="G987" s="2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1"/>
      <c r="E988" s="1"/>
      <c r="F988" s="1"/>
      <c r="G988" s="2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1"/>
      <c r="E989" s="1"/>
      <c r="F989" s="1"/>
      <c r="G989" s="2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1"/>
      <c r="E990" s="1"/>
      <c r="F990" s="1"/>
      <c r="G990" s="2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1"/>
      <c r="E991" s="1"/>
      <c r="F991" s="1"/>
      <c r="G991" s="2"/>
      <c r="H991" s="1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1"/>
      <c r="E992" s="1"/>
      <c r="F992" s="1"/>
      <c r="G992" s="2"/>
      <c r="H992" s="1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1"/>
      <c r="E993" s="1"/>
      <c r="F993" s="1"/>
      <c r="G993" s="2"/>
      <c r="H993" s="1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1"/>
      <c r="E994" s="1"/>
      <c r="F994" s="1"/>
      <c r="G994" s="2"/>
      <c r="H994" s="1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1"/>
      <c r="E995" s="1"/>
      <c r="F995" s="1"/>
      <c r="G995" s="2"/>
      <c r="H995" s="1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1"/>
      <c r="E996" s="1"/>
      <c r="F996" s="1"/>
      <c r="G996" s="2"/>
      <c r="H996" s="1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1"/>
      <c r="E997" s="1"/>
      <c r="F997" s="1"/>
      <c r="G997" s="2"/>
      <c r="H997" s="1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1"/>
      <c r="E998" s="1"/>
      <c r="F998" s="1"/>
      <c r="G998" s="2"/>
      <c r="H998" s="1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1"/>
      <c r="E999" s="1"/>
      <c r="F999" s="1"/>
      <c r="G999" s="2"/>
      <c r="H999" s="1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1"/>
      <c r="E1000" s="1"/>
      <c r="F1000" s="1"/>
      <c r="G1000" s="2"/>
      <c r="H1000" s="1"/>
      <c r="I1000" s="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D25:E25"/>
    <mergeCell ref="D55:E55"/>
    <mergeCell ref="D91:E91"/>
  </mergeCells>
  <dataValidations count="1">
    <dataValidation type="list" allowBlank="1" showErrorMessage="1" sqref="P27:P36 P39:P42 P45:P55 P60" xr:uid="{00000000-0002-0000-0000-000000000000}">
      <formula1>$U$3:$U$4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Z1000"/>
  <sheetViews>
    <sheetView showGridLines="0" workbookViewId="0"/>
  </sheetViews>
  <sheetFormatPr baseColWidth="10" defaultColWidth="14.5" defaultRowHeight="15" customHeight="1" x14ac:dyDescent="0.2"/>
  <cols>
    <col min="1" max="1" width="8.83203125" customWidth="1"/>
    <col min="2" max="2" width="4.1640625" customWidth="1"/>
    <col min="3" max="3" width="128.5" customWidth="1"/>
    <col min="4" max="4" width="99.5" customWidth="1"/>
    <col min="5" max="26" width="8.83203125" customWidth="1"/>
  </cols>
  <sheetData>
    <row r="3" spans="1:26" x14ac:dyDescent="0.2">
      <c r="A3" s="21"/>
      <c r="B3" s="21"/>
      <c r="C3" s="5" t="s">
        <v>181</v>
      </c>
      <c r="D3" s="5" t="s">
        <v>182</v>
      </c>
    </row>
    <row r="4" spans="1:26" x14ac:dyDescent="0.2">
      <c r="A4" s="21"/>
      <c r="B4" s="21" t="s">
        <v>183</v>
      </c>
      <c r="C4" s="21" t="s">
        <v>184</v>
      </c>
      <c r="D4" s="81" t="s">
        <v>185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x14ac:dyDescent="0.2">
      <c r="A5" s="21"/>
      <c r="B5" s="21" t="s">
        <v>186</v>
      </c>
      <c r="C5" s="21" t="s">
        <v>187</v>
      </c>
      <c r="D5" s="81" t="s">
        <v>188</v>
      </c>
      <c r="E5" s="82"/>
    </row>
    <row r="6" spans="1:26" x14ac:dyDescent="0.2">
      <c r="A6" s="21"/>
      <c r="B6" s="21" t="s">
        <v>189</v>
      </c>
      <c r="C6" s="21" t="s">
        <v>190</v>
      </c>
      <c r="D6" s="81" t="s">
        <v>191</v>
      </c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</row>
    <row r="7" spans="1:26" x14ac:dyDescent="0.2">
      <c r="A7" s="21"/>
      <c r="B7" s="21" t="s">
        <v>192</v>
      </c>
      <c r="C7" s="21" t="s">
        <v>193</v>
      </c>
      <c r="D7" s="81" t="s">
        <v>194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</row>
    <row r="8" spans="1:26" x14ac:dyDescent="0.2">
      <c r="A8" s="21"/>
      <c r="B8" s="21" t="s">
        <v>195</v>
      </c>
      <c r="C8" s="21" t="s">
        <v>196</v>
      </c>
      <c r="D8" s="81" t="s">
        <v>197</v>
      </c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x14ac:dyDescent="0.2">
      <c r="A9" s="21"/>
      <c r="B9" s="21"/>
      <c r="C9" s="21"/>
      <c r="D9" s="21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Проект</vt:lpstr>
      <vt:lpstr>Вопросы по проекту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Eirena</dc:creator>
  <cp:lastModifiedBy>Андрей Киселев</cp:lastModifiedBy>
  <dcterms:created xsi:type="dcterms:W3CDTF">2015-06-05T18:17:20Z</dcterms:created>
  <dcterms:modified xsi:type="dcterms:W3CDTF">2026-07-20T13:46:26Z</dcterms:modified>
</cp:coreProperties>
</file>