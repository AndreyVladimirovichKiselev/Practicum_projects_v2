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166925"/>
  <mc:AlternateContent xmlns:mc="http://schemas.openxmlformats.org/markup-compatibility/2006">
    <mc:Choice Requires="x15">
      <x15ac:absPath xmlns:x15ac="http://schemas.microsoft.com/office/spreadsheetml/2010/11/ac" url="/Users/andrey/Desktop/"/>
    </mc:Choice>
  </mc:AlternateContent>
  <xr:revisionPtr revIDLastSave="0" documentId="13_ncr:1_{5FE418CE-9B3F-7F4B-9B1A-2CB554D4031B}" xr6:coauthVersionLast="47" xr6:coauthVersionMax="47" xr10:uidLastSave="{00000000-0000-0000-0000-000000000000}"/>
  <bookViews>
    <workbookView xWindow="-5420" yWindow="-21100" windowWidth="38400" windowHeight="21100" tabRatio="768" activeTab="4" xr2:uid="{79EA3802-2090-44D2-8405-14349E7E4863}"/>
  </bookViews>
  <sheets>
    <sheet name="Последовательность расчётов" sheetId="14" r:id="rId1"/>
    <sheet name="Для презентации" sheetId="32" r:id="rId2"/>
    <sheet name="Факт--&gt;" sheetId="18" r:id="rId3"/>
    <sheet name="План-Факт" sheetId="12" r:id="rId4"/>
    <sheet name="Свод факта" sheetId="19" r:id="rId5"/>
    <sheet name="Выгрузка персонал" sheetId="28" r:id="rId6"/>
    <sheet name="Выгрузка оборудование" sheetId="27" r:id="rId7"/>
    <sheet name="Выгрузка лицензии" sheetId="26" r:id="rId8"/>
    <sheet name="Бюджет--&gt;" sheetId="17" r:id="rId9"/>
    <sheet name="Цели" sheetId="15" r:id="rId10"/>
    <sheet name="Аналитика" sheetId="10" r:id="rId11"/>
    <sheet name="Расчеты" sheetId="11" r:id="rId12"/>
    <sheet name="Бюджет" sheetId="16" r:id="rId13"/>
  </sheets>
  <definedNames>
    <definedName name="_xlnm._FilterDatabase" localSheetId="7" hidden="1">'Выгрузка лицензии'!$A$1:$H$75</definedName>
    <definedName name="_xlnm._FilterDatabase" localSheetId="5" hidden="1">'Выгрузка персонал'!$A$1:$F$900</definedName>
  </definedNames>
  <calcPr calcId="191028"/>
  <pivotCaches>
    <pivotCache cacheId="232" r:id="rId14"/>
    <pivotCache cacheId="233" r:id="rId15"/>
    <pivotCache cacheId="234" r:id="rId1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C9" i="32" l="1"/>
  <c r="B9" i="32"/>
  <c r="L21" i="27"/>
  <c r="E4" i="32"/>
  <c r="D4" i="32"/>
  <c r="B4" i="32"/>
  <c r="C4" i="32"/>
  <c r="N217" i="19" l="1"/>
  <c r="M217" i="19"/>
  <c r="L217" i="19"/>
  <c r="K217" i="19"/>
  <c r="J217" i="19"/>
  <c r="I217" i="19"/>
  <c r="H217" i="19"/>
  <c r="G217" i="19"/>
  <c r="F217" i="19"/>
  <c r="E217" i="19"/>
  <c r="D217" i="19"/>
  <c r="C217" i="19"/>
  <c r="N216" i="19"/>
  <c r="M216" i="19"/>
  <c r="L216" i="19"/>
  <c r="K216" i="19"/>
  <c r="J216" i="19"/>
  <c r="I216" i="19"/>
  <c r="H216" i="19"/>
  <c r="G216" i="19"/>
  <c r="F216" i="19"/>
  <c r="E216" i="19"/>
  <c r="D216" i="19"/>
  <c r="C216" i="19"/>
  <c r="N215" i="19"/>
  <c r="M215" i="19"/>
  <c r="L215" i="19"/>
  <c r="K215" i="19"/>
  <c r="J215" i="19"/>
  <c r="I215" i="19"/>
  <c r="H215" i="19"/>
  <c r="G215" i="19"/>
  <c r="F215" i="19"/>
  <c r="E215" i="19"/>
  <c r="D215" i="19"/>
  <c r="C215" i="19"/>
  <c r="N214" i="19"/>
  <c r="M214" i="19"/>
  <c r="L214" i="19"/>
  <c r="K214" i="19"/>
  <c r="J214" i="19"/>
  <c r="I214" i="19"/>
  <c r="H214" i="19"/>
  <c r="G214" i="19"/>
  <c r="F214" i="19"/>
  <c r="E214" i="19"/>
  <c r="D214" i="19"/>
  <c r="C214" i="19"/>
  <c r="N213" i="19"/>
  <c r="M213" i="19"/>
  <c r="L213" i="19"/>
  <c r="K213" i="19"/>
  <c r="J213" i="19"/>
  <c r="I213" i="19"/>
  <c r="H213" i="19"/>
  <c r="G213" i="19"/>
  <c r="F213" i="19"/>
  <c r="E213" i="19"/>
  <c r="D213" i="19"/>
  <c r="C213" i="19"/>
  <c r="N211" i="19"/>
  <c r="M211" i="19"/>
  <c r="L211" i="19"/>
  <c r="K211" i="19"/>
  <c r="J211" i="19"/>
  <c r="I211" i="19"/>
  <c r="H211" i="19"/>
  <c r="G211" i="19"/>
  <c r="F211" i="19"/>
  <c r="E211" i="19"/>
  <c r="D211" i="19"/>
  <c r="C211" i="19"/>
  <c r="N210" i="19"/>
  <c r="M210" i="19"/>
  <c r="L210" i="19"/>
  <c r="K210" i="19"/>
  <c r="J210" i="19"/>
  <c r="I210" i="19"/>
  <c r="H210" i="19"/>
  <c r="G210" i="19"/>
  <c r="F210" i="19"/>
  <c r="E210" i="19"/>
  <c r="D210" i="19"/>
  <c r="C210" i="19"/>
  <c r="N209" i="19"/>
  <c r="M209" i="19"/>
  <c r="L209" i="19"/>
  <c r="K209" i="19"/>
  <c r="J209" i="19"/>
  <c r="I209" i="19"/>
  <c r="H209" i="19"/>
  <c r="G209" i="19"/>
  <c r="F209" i="19"/>
  <c r="E209" i="19"/>
  <c r="D209" i="19"/>
  <c r="C209" i="19"/>
  <c r="N208" i="19"/>
  <c r="M208" i="19"/>
  <c r="L208" i="19"/>
  <c r="K208" i="19"/>
  <c r="J208" i="19"/>
  <c r="I208" i="19"/>
  <c r="H208" i="19"/>
  <c r="G208" i="19"/>
  <c r="F208" i="19"/>
  <c r="E208" i="19"/>
  <c r="D208" i="19"/>
  <c r="C208" i="19"/>
  <c r="N207" i="19"/>
  <c r="M207" i="19"/>
  <c r="L207" i="19"/>
  <c r="K207" i="19"/>
  <c r="J207" i="19"/>
  <c r="I207" i="19"/>
  <c r="H207" i="19"/>
  <c r="G207" i="19"/>
  <c r="F207" i="19"/>
  <c r="E207" i="19"/>
  <c r="D207" i="19"/>
  <c r="C207" i="19"/>
  <c r="O207" i="19"/>
  <c r="AH64" i="19"/>
  <c r="AD59" i="19"/>
  <c r="AB37" i="19"/>
  <c r="AB36" i="19"/>
  <c r="AB35" i="19"/>
  <c r="AB34" i="19"/>
  <c r="AB33" i="19"/>
  <c r="AB31" i="19"/>
  <c r="AB30" i="19"/>
  <c r="AB29" i="19"/>
  <c r="AB27" i="19"/>
  <c r="K212" i="19" l="1"/>
  <c r="J212" i="19"/>
  <c r="I212" i="19"/>
  <c r="H212" i="19"/>
  <c r="G212" i="19"/>
  <c r="F212" i="19"/>
  <c r="E212" i="19"/>
  <c r="D212" i="19"/>
  <c r="C212" i="19"/>
  <c r="V19" i="28"/>
  <c r="V18" i="28"/>
  <c r="V17" i="28"/>
  <c r="C235" i="19"/>
  <c r="N212" i="19" l="1"/>
  <c r="M212" i="19"/>
  <c r="L212" i="19"/>
  <c r="S21" i="27"/>
  <c r="R21" i="27"/>
  <c r="Q21" i="27"/>
  <c r="P21" i="27"/>
  <c r="O21" i="27"/>
  <c r="N21" i="27"/>
  <c r="M21" i="27"/>
  <c r="K21" i="27"/>
  <c r="J21" i="27"/>
  <c r="J20" i="27"/>
  <c r="AN64" i="19" l="1"/>
  <c r="AM64" i="19"/>
  <c r="AL64" i="19"/>
  <c r="AK64" i="19"/>
  <c r="AJ64" i="19"/>
  <c r="AI64" i="19"/>
  <c r="AG64" i="19"/>
  <c r="AF64" i="19"/>
  <c r="AE64" i="19"/>
  <c r="AD64" i="19"/>
  <c r="AN59" i="19"/>
  <c r="AM59" i="19"/>
  <c r="AL59" i="19"/>
  <c r="AK59" i="19"/>
  <c r="AJ59" i="19"/>
  <c r="AI59" i="19"/>
  <c r="AH59" i="19"/>
  <c r="AG59" i="19"/>
  <c r="AF59" i="19"/>
  <c r="AE59" i="19"/>
  <c r="C172" i="11"/>
  <c r="AA185" i="19"/>
  <c r="Z185" i="19"/>
  <c r="Y185" i="19"/>
  <c r="X185" i="19"/>
  <c r="W185" i="19"/>
  <c r="V185" i="19"/>
  <c r="U185" i="19"/>
  <c r="T185" i="19"/>
  <c r="S185" i="19"/>
  <c r="R185" i="19"/>
  <c r="Q185" i="19"/>
  <c r="P185" i="19"/>
  <c r="AB185" i="19" s="1"/>
  <c r="AA184" i="19"/>
  <c r="Z184" i="19"/>
  <c r="Y184" i="19"/>
  <c r="X184" i="19"/>
  <c r="W184" i="19"/>
  <c r="V184" i="19"/>
  <c r="U184" i="19"/>
  <c r="T184" i="19"/>
  <c r="S184" i="19"/>
  <c r="R184" i="19"/>
  <c r="Q184" i="19"/>
  <c r="P184" i="19"/>
  <c r="AB184" i="19" s="1"/>
  <c r="AA183" i="19"/>
  <c r="Z183" i="19"/>
  <c r="Y183" i="19"/>
  <c r="X183" i="19"/>
  <c r="W183" i="19"/>
  <c r="V183" i="19"/>
  <c r="U183" i="19"/>
  <c r="T183" i="19"/>
  <c r="S183" i="19"/>
  <c r="R183" i="19"/>
  <c r="Q183" i="19"/>
  <c r="P183" i="19"/>
  <c r="AB183" i="19" s="1"/>
  <c r="AA182" i="19"/>
  <c r="Z182" i="19"/>
  <c r="Y182" i="19"/>
  <c r="X182" i="19"/>
  <c r="W182" i="19"/>
  <c r="V182" i="19"/>
  <c r="U182" i="19"/>
  <c r="T182" i="19"/>
  <c r="S182" i="19"/>
  <c r="R182" i="19"/>
  <c r="Q182" i="19"/>
  <c r="P182" i="19"/>
  <c r="AB182" i="19" s="1"/>
  <c r="AA181" i="19"/>
  <c r="AA180" i="19" s="1"/>
  <c r="Z181" i="19"/>
  <c r="Z180" i="19" s="1"/>
  <c r="Y181" i="19"/>
  <c r="Y180" i="19" s="1"/>
  <c r="X181" i="19"/>
  <c r="X180" i="19" s="1"/>
  <c r="W181" i="19"/>
  <c r="W180" i="19" s="1"/>
  <c r="V181" i="19"/>
  <c r="V180" i="19" s="1"/>
  <c r="U181" i="19"/>
  <c r="U180" i="19" s="1"/>
  <c r="T181" i="19"/>
  <c r="T180" i="19" s="1"/>
  <c r="S181" i="19"/>
  <c r="S180" i="19" s="1"/>
  <c r="R181" i="19"/>
  <c r="R180" i="19" s="1"/>
  <c r="Q181" i="19"/>
  <c r="Q180" i="19" s="1"/>
  <c r="P181" i="19"/>
  <c r="P180" i="19" s="1"/>
  <c r="AA179" i="19"/>
  <c r="Z179" i="19"/>
  <c r="Y179" i="19"/>
  <c r="X179" i="19"/>
  <c r="W179" i="19"/>
  <c r="V179" i="19"/>
  <c r="U179" i="19"/>
  <c r="T179" i="19"/>
  <c r="S179" i="19"/>
  <c r="R179" i="19"/>
  <c r="Q179" i="19"/>
  <c r="AA178" i="19"/>
  <c r="Z178" i="19"/>
  <c r="Y178" i="19"/>
  <c r="X178" i="19"/>
  <c r="W178" i="19"/>
  <c r="V178" i="19"/>
  <c r="U178" i="19"/>
  <c r="T178" i="19"/>
  <c r="S178" i="19"/>
  <c r="R178" i="19"/>
  <c r="Q178" i="19"/>
  <c r="AA177" i="19"/>
  <c r="Z177" i="19"/>
  <c r="Y177" i="19"/>
  <c r="X177" i="19"/>
  <c r="W177" i="19"/>
  <c r="V177" i="19"/>
  <c r="U177" i="19"/>
  <c r="T177" i="19"/>
  <c r="S177" i="19"/>
  <c r="R177" i="19"/>
  <c r="Q177" i="19"/>
  <c r="AA176" i="19"/>
  <c r="Z176" i="19"/>
  <c r="Y176" i="19"/>
  <c r="X176" i="19"/>
  <c r="W176" i="19"/>
  <c r="V176" i="19"/>
  <c r="U176" i="19"/>
  <c r="T176" i="19"/>
  <c r="S176" i="19"/>
  <c r="R176" i="19"/>
  <c r="Q176" i="19"/>
  <c r="P179" i="19"/>
  <c r="AB179" i="19" s="1"/>
  <c r="P178" i="19"/>
  <c r="AB178" i="19" s="1"/>
  <c r="P177" i="19"/>
  <c r="AB177" i="19" s="1"/>
  <c r="P176" i="19"/>
  <c r="AB176" i="19" s="1"/>
  <c r="AA175" i="19"/>
  <c r="AA174" i="19" s="1"/>
  <c r="Z175" i="19"/>
  <c r="Z174" i="19" s="1"/>
  <c r="Y175" i="19"/>
  <c r="Y174" i="19" s="1"/>
  <c r="X175" i="19"/>
  <c r="X174" i="19" s="1"/>
  <c r="W175" i="19"/>
  <c r="W174" i="19" s="1"/>
  <c r="V175" i="19"/>
  <c r="V174" i="19" s="1"/>
  <c r="U175" i="19"/>
  <c r="U174" i="19" s="1"/>
  <c r="T175" i="19"/>
  <c r="T174" i="19" s="1"/>
  <c r="S175" i="19"/>
  <c r="S174" i="19" s="1"/>
  <c r="R175" i="19"/>
  <c r="R174" i="19" s="1"/>
  <c r="Q175" i="19"/>
  <c r="Q174" i="19" s="1"/>
  <c r="P175" i="19"/>
  <c r="AB175" i="19" s="1"/>
  <c r="C119" i="11"/>
  <c r="D119" i="11"/>
  <c r="E119" i="11"/>
  <c r="F119" i="11"/>
  <c r="G119" i="11"/>
  <c r="H119" i="11"/>
  <c r="I119" i="11"/>
  <c r="J119" i="11"/>
  <c r="K119" i="11"/>
  <c r="L119" i="11"/>
  <c r="M119" i="11"/>
  <c r="N119" i="11"/>
  <c r="J19" i="27"/>
  <c r="AB181" i="19" l="1"/>
  <c r="P174" i="19"/>
  <c r="AB174" i="19" s="1"/>
  <c r="AB180" i="19"/>
  <c r="I206" i="19"/>
  <c r="AA121" i="19"/>
  <c r="Z121" i="19"/>
  <c r="Y121" i="19"/>
  <c r="X121" i="19"/>
  <c r="W121" i="19"/>
  <c r="V121" i="19"/>
  <c r="U121" i="19"/>
  <c r="T121" i="19"/>
  <c r="S121" i="19"/>
  <c r="R121" i="19"/>
  <c r="Q121" i="19"/>
  <c r="AA120" i="19"/>
  <c r="Z120" i="19"/>
  <c r="Y120" i="19"/>
  <c r="X120" i="19"/>
  <c r="W120" i="19"/>
  <c r="V120" i="19"/>
  <c r="U120" i="19"/>
  <c r="T120" i="19"/>
  <c r="S120" i="19"/>
  <c r="R120" i="19"/>
  <c r="Q120" i="19"/>
  <c r="AA119" i="19"/>
  <c r="Z119" i="19"/>
  <c r="Y119" i="19"/>
  <c r="X119" i="19"/>
  <c r="W119" i="19"/>
  <c r="V119" i="19"/>
  <c r="U119" i="19"/>
  <c r="T119" i="19"/>
  <c r="S119" i="19"/>
  <c r="R119" i="19"/>
  <c r="Q119" i="19"/>
  <c r="P121" i="19"/>
  <c r="P120" i="19"/>
  <c r="P119" i="19"/>
  <c r="AA117" i="19"/>
  <c r="Z117" i="19"/>
  <c r="Y117" i="19"/>
  <c r="X117" i="19"/>
  <c r="W117" i="19"/>
  <c r="V117" i="19"/>
  <c r="U117" i="19"/>
  <c r="T117" i="19"/>
  <c r="S117" i="19"/>
  <c r="R117" i="19"/>
  <c r="Q117" i="19"/>
  <c r="P117" i="19"/>
  <c r="AA115" i="19"/>
  <c r="Z115" i="19"/>
  <c r="Y115" i="19"/>
  <c r="X115" i="19"/>
  <c r="W115" i="19"/>
  <c r="V115" i="19"/>
  <c r="U115" i="19"/>
  <c r="T115" i="19"/>
  <c r="S115" i="19"/>
  <c r="R115" i="19"/>
  <c r="Q115" i="19"/>
  <c r="AA114" i="19"/>
  <c r="Z114" i="19"/>
  <c r="Y114" i="19"/>
  <c r="X114" i="19"/>
  <c r="W114" i="19"/>
  <c r="V114" i="19"/>
  <c r="U114" i="19"/>
  <c r="T114" i="19"/>
  <c r="S114" i="19"/>
  <c r="R114" i="19"/>
  <c r="Q114" i="19"/>
  <c r="AA113" i="19"/>
  <c r="Z113" i="19"/>
  <c r="Y113" i="19"/>
  <c r="X113" i="19"/>
  <c r="W113" i="19"/>
  <c r="V113" i="19"/>
  <c r="U113" i="19"/>
  <c r="T113" i="19"/>
  <c r="S113" i="19"/>
  <c r="R113" i="19"/>
  <c r="Q113" i="19"/>
  <c r="AA112" i="19"/>
  <c r="Z112" i="19"/>
  <c r="Y112" i="19"/>
  <c r="X112" i="19"/>
  <c r="W112" i="19"/>
  <c r="V112" i="19"/>
  <c r="U112" i="19"/>
  <c r="T112" i="19"/>
  <c r="S112" i="19"/>
  <c r="R112" i="19"/>
  <c r="Q112" i="19"/>
  <c r="P115" i="19"/>
  <c r="P114" i="19"/>
  <c r="P113" i="19"/>
  <c r="P112" i="19"/>
  <c r="AA111" i="19"/>
  <c r="Z111" i="19"/>
  <c r="Y111" i="19"/>
  <c r="X111" i="19"/>
  <c r="W111" i="19"/>
  <c r="V111" i="19"/>
  <c r="U111" i="19"/>
  <c r="T111" i="19"/>
  <c r="S111" i="19"/>
  <c r="R111" i="19"/>
  <c r="Q111" i="19"/>
  <c r="P111" i="19"/>
  <c r="O217" i="19" l="1"/>
  <c r="O216" i="19"/>
  <c r="O215" i="19"/>
  <c r="O214" i="19"/>
  <c r="O213" i="19"/>
  <c r="H206" i="19"/>
  <c r="N206" i="19"/>
  <c r="M206" i="19"/>
  <c r="L206" i="19"/>
  <c r="K206" i="19"/>
  <c r="J206" i="19"/>
  <c r="G206" i="19"/>
  <c r="F206" i="19"/>
  <c r="E206" i="19"/>
  <c r="D206" i="19"/>
  <c r="O211" i="19"/>
  <c r="C206" i="19"/>
  <c r="O210" i="19"/>
  <c r="O209" i="19"/>
  <c r="O208" i="19"/>
  <c r="P110" i="19"/>
  <c r="T110" i="19"/>
  <c r="AB114" i="19"/>
  <c r="X110" i="19"/>
  <c r="AB112" i="19"/>
  <c r="S110" i="19"/>
  <c r="W110" i="19"/>
  <c r="Q110" i="19"/>
  <c r="U110" i="19"/>
  <c r="Y110" i="19"/>
  <c r="AB113" i="19"/>
  <c r="AB119" i="19"/>
  <c r="R110" i="19"/>
  <c r="V110" i="19"/>
  <c r="Z110" i="19"/>
  <c r="AB120" i="19"/>
  <c r="AA110" i="19"/>
  <c r="AB115" i="19"/>
  <c r="AB121" i="19"/>
  <c r="AB117" i="19"/>
  <c r="AB111" i="19"/>
  <c r="O212" i="19" l="1"/>
  <c r="O206" i="19"/>
  <c r="AB110" i="19"/>
  <c r="P11" i="19"/>
  <c r="Q11" i="19"/>
  <c r="R11" i="19"/>
  <c r="S11" i="19"/>
  <c r="T11" i="19"/>
  <c r="U11" i="19"/>
  <c r="V11" i="19"/>
  <c r="W11" i="19"/>
  <c r="X11" i="19"/>
  <c r="Y11" i="19"/>
  <c r="Z11" i="19"/>
  <c r="AA11" i="19"/>
  <c r="P12" i="19"/>
  <c r="Q12" i="19"/>
  <c r="R12" i="19"/>
  <c r="S12" i="19"/>
  <c r="T12" i="19"/>
  <c r="U12" i="19"/>
  <c r="V12" i="19"/>
  <c r="W12" i="19"/>
  <c r="X12" i="19"/>
  <c r="Y12" i="19"/>
  <c r="Z12" i="19"/>
  <c r="AA12" i="19"/>
  <c r="P13" i="19"/>
  <c r="Q13" i="19"/>
  <c r="R13" i="19"/>
  <c r="S13" i="19"/>
  <c r="T13" i="19"/>
  <c r="U13" i="19"/>
  <c r="V13" i="19"/>
  <c r="W13" i="19"/>
  <c r="X13" i="19"/>
  <c r="Y13" i="19"/>
  <c r="Z13" i="19"/>
  <c r="AA13" i="19"/>
  <c r="P14" i="19"/>
  <c r="Q14" i="19"/>
  <c r="R14" i="19"/>
  <c r="S14" i="19"/>
  <c r="T14" i="19"/>
  <c r="U14" i="19"/>
  <c r="V14" i="19"/>
  <c r="W14" i="19"/>
  <c r="X14" i="19"/>
  <c r="Y14" i="19"/>
  <c r="Z14" i="19"/>
  <c r="AA14" i="19"/>
  <c r="P15" i="19"/>
  <c r="Q15" i="19"/>
  <c r="R15" i="19"/>
  <c r="S15" i="19"/>
  <c r="T15" i="19"/>
  <c r="U15" i="19"/>
  <c r="V15" i="19"/>
  <c r="W15" i="19"/>
  <c r="X15" i="19"/>
  <c r="Y15" i="19"/>
  <c r="Z15" i="19"/>
  <c r="AA15" i="19"/>
  <c r="P17" i="19"/>
  <c r="Q17" i="19"/>
  <c r="R17" i="19"/>
  <c r="S17" i="19"/>
  <c r="T17" i="19"/>
  <c r="U17" i="19"/>
  <c r="V17" i="19"/>
  <c r="W17" i="19"/>
  <c r="X17" i="19"/>
  <c r="Y17" i="19"/>
  <c r="Z17" i="19"/>
  <c r="AA17" i="19"/>
  <c r="P18" i="19"/>
  <c r="Q18" i="19"/>
  <c r="R18" i="19"/>
  <c r="S18" i="19"/>
  <c r="T18" i="19"/>
  <c r="U18" i="19"/>
  <c r="V18" i="19"/>
  <c r="W18" i="19"/>
  <c r="X18" i="19"/>
  <c r="Y18" i="19"/>
  <c r="Z18" i="19"/>
  <c r="AA18" i="19"/>
  <c r="P19" i="19"/>
  <c r="Q19" i="19"/>
  <c r="R19" i="19"/>
  <c r="S19" i="19"/>
  <c r="T19" i="19"/>
  <c r="U19" i="19"/>
  <c r="V19" i="19"/>
  <c r="W19" i="19"/>
  <c r="X19" i="19"/>
  <c r="Y19" i="19"/>
  <c r="Z19" i="19"/>
  <c r="AA19" i="19"/>
  <c r="P20" i="19"/>
  <c r="Q20" i="19"/>
  <c r="R20" i="19"/>
  <c r="S20" i="19"/>
  <c r="T20" i="19"/>
  <c r="U20" i="19"/>
  <c r="V20" i="19"/>
  <c r="W20" i="19"/>
  <c r="X20" i="19"/>
  <c r="Y20" i="19"/>
  <c r="Z20" i="19"/>
  <c r="AA20" i="19"/>
  <c r="P21" i="19"/>
  <c r="Q21" i="19"/>
  <c r="R21" i="19"/>
  <c r="S21" i="19"/>
  <c r="T21" i="19"/>
  <c r="U21" i="19"/>
  <c r="V21" i="19"/>
  <c r="W21" i="19"/>
  <c r="X21" i="19"/>
  <c r="Y21" i="19"/>
  <c r="Z21" i="19"/>
  <c r="AA21" i="19"/>
  <c r="AB17" i="19" l="1"/>
  <c r="AB13" i="19"/>
  <c r="AB21" i="19"/>
  <c r="T16" i="19"/>
  <c r="Y16" i="19"/>
  <c r="U16" i="19"/>
  <c r="AB20" i="19"/>
  <c r="AB19" i="19"/>
  <c r="Z10" i="19"/>
  <c r="V10" i="19"/>
  <c r="AB14" i="19"/>
  <c r="AA10" i="19"/>
  <c r="W10" i="19"/>
  <c r="S10" i="19"/>
  <c r="AB15" i="19"/>
  <c r="R10" i="19"/>
  <c r="AB12" i="19"/>
  <c r="Y10" i="19"/>
  <c r="U10" i="19"/>
  <c r="Q10" i="19"/>
  <c r="X16" i="19"/>
  <c r="P16" i="19"/>
  <c r="Z16" i="19"/>
  <c r="V16" i="19"/>
  <c r="R16" i="19"/>
  <c r="AA16" i="19"/>
  <c r="W16" i="19"/>
  <c r="S16" i="19"/>
  <c r="X10" i="19"/>
  <c r="T10" i="19"/>
  <c r="P10" i="19"/>
  <c r="Q16" i="19"/>
  <c r="AB11" i="19"/>
  <c r="AB18" i="19"/>
  <c r="S22" i="12"/>
  <c r="AN53" i="19"/>
  <c r="AM53" i="19"/>
  <c r="AL53" i="19"/>
  <c r="AK53" i="19"/>
  <c r="AJ53" i="19"/>
  <c r="AI53" i="19"/>
  <c r="AH53" i="19"/>
  <c r="AG53" i="19"/>
  <c r="AF53" i="19"/>
  <c r="AE53" i="19"/>
  <c r="AD53" i="19"/>
  <c r="AN52" i="19"/>
  <c r="AM52" i="19"/>
  <c r="AL52" i="19"/>
  <c r="AK52" i="19"/>
  <c r="AJ52" i="19"/>
  <c r="AI52" i="19"/>
  <c r="AH52" i="19"/>
  <c r="AG52" i="19"/>
  <c r="AF52" i="19"/>
  <c r="AE52" i="19"/>
  <c r="AD52" i="19"/>
  <c r="AN51" i="19"/>
  <c r="AM51" i="19"/>
  <c r="AL51" i="19"/>
  <c r="AK51" i="19"/>
  <c r="AJ51" i="19"/>
  <c r="AI51" i="19"/>
  <c r="AH51" i="19"/>
  <c r="AG51" i="19"/>
  <c r="AF51" i="19"/>
  <c r="AE51" i="19"/>
  <c r="AD51" i="19"/>
  <c r="AN50" i="19"/>
  <c r="AM50" i="19"/>
  <c r="AL50" i="19"/>
  <c r="AK50" i="19"/>
  <c r="AJ50" i="19"/>
  <c r="AI50" i="19"/>
  <c r="AH50" i="19"/>
  <c r="AG50" i="19"/>
  <c r="AF50" i="19"/>
  <c r="AE50" i="19"/>
  <c r="AD50" i="19"/>
  <c r="AC53" i="19"/>
  <c r="AC52" i="19"/>
  <c r="AC51" i="19"/>
  <c r="AC50" i="19"/>
  <c r="AN44" i="19"/>
  <c r="AN47" i="19"/>
  <c r="AM47" i="19"/>
  <c r="AL47" i="19"/>
  <c r="AK47" i="19"/>
  <c r="AJ47" i="19"/>
  <c r="AI47" i="19"/>
  <c r="AH47" i="19"/>
  <c r="AG47" i="19"/>
  <c r="AF47" i="19"/>
  <c r="AE47" i="19"/>
  <c r="AD47" i="19"/>
  <c r="AN46" i="19"/>
  <c r="AM46" i="19"/>
  <c r="AL46" i="19"/>
  <c r="AK46" i="19"/>
  <c r="AJ46" i="19"/>
  <c r="AI46" i="19"/>
  <c r="AH46" i="19"/>
  <c r="AG46" i="19"/>
  <c r="AF46" i="19"/>
  <c r="AE46" i="19"/>
  <c r="AD46" i="19"/>
  <c r="AN45" i="19"/>
  <c r="AM45" i="19"/>
  <c r="AL45" i="19"/>
  <c r="AK45" i="19"/>
  <c r="AJ45" i="19"/>
  <c r="AI45" i="19"/>
  <c r="AH45" i="19"/>
  <c r="AG45" i="19"/>
  <c r="AF45" i="19"/>
  <c r="AE45" i="19"/>
  <c r="AD45" i="19"/>
  <c r="AM44" i="19"/>
  <c r="AL44" i="19"/>
  <c r="AK44" i="19"/>
  <c r="AJ44" i="19"/>
  <c r="AI44" i="19"/>
  <c r="AH44" i="19"/>
  <c r="AG44" i="19"/>
  <c r="AF44" i="19"/>
  <c r="AE44" i="19"/>
  <c r="AD44" i="19"/>
  <c r="AS40" i="19"/>
  <c r="AB10" i="19" l="1"/>
  <c r="AB16" i="19"/>
  <c r="AA105" i="19"/>
  <c r="Z105" i="19"/>
  <c r="Y105" i="19"/>
  <c r="X105" i="19"/>
  <c r="W105" i="19"/>
  <c r="V105" i="19"/>
  <c r="U105" i="19"/>
  <c r="T105" i="19"/>
  <c r="S105" i="19"/>
  <c r="R105" i="19"/>
  <c r="Q105" i="19"/>
  <c r="P105" i="19"/>
  <c r="AA104" i="19"/>
  <c r="Z104" i="19"/>
  <c r="Y104" i="19"/>
  <c r="X104" i="19"/>
  <c r="W104" i="19"/>
  <c r="V104" i="19"/>
  <c r="U104" i="19"/>
  <c r="T104" i="19"/>
  <c r="S104" i="19"/>
  <c r="R104" i="19"/>
  <c r="Q104" i="19"/>
  <c r="P104" i="19"/>
  <c r="AA103" i="19"/>
  <c r="Z103" i="19"/>
  <c r="Y103" i="19"/>
  <c r="X103" i="19"/>
  <c r="W103" i="19"/>
  <c r="V103" i="19"/>
  <c r="U103" i="19"/>
  <c r="T103" i="19"/>
  <c r="S103" i="19"/>
  <c r="R103" i="19"/>
  <c r="Q103" i="19"/>
  <c r="P103" i="19"/>
  <c r="AA101" i="19"/>
  <c r="Z101" i="19"/>
  <c r="Y101" i="19"/>
  <c r="X101" i="19"/>
  <c r="W101" i="19"/>
  <c r="V101" i="19"/>
  <c r="U101" i="19"/>
  <c r="T101" i="19"/>
  <c r="S101" i="19"/>
  <c r="R101" i="19"/>
  <c r="Q101" i="19"/>
  <c r="P101" i="19"/>
  <c r="AA99" i="19"/>
  <c r="Z99" i="19"/>
  <c r="Y99" i="19"/>
  <c r="X99" i="19"/>
  <c r="W99" i="19"/>
  <c r="V99" i="19"/>
  <c r="U99" i="19"/>
  <c r="T99" i="19"/>
  <c r="S99" i="19"/>
  <c r="R99" i="19"/>
  <c r="Q99" i="19"/>
  <c r="P99" i="19"/>
  <c r="AA98" i="19"/>
  <c r="Z98" i="19"/>
  <c r="Y98" i="19"/>
  <c r="X98" i="19"/>
  <c r="W98" i="19"/>
  <c r="V98" i="19"/>
  <c r="U98" i="19"/>
  <c r="T98" i="19"/>
  <c r="S98" i="19"/>
  <c r="R98" i="19"/>
  <c r="Q98" i="19"/>
  <c r="P98" i="19"/>
  <c r="AA97" i="19"/>
  <c r="Z97" i="19"/>
  <c r="Y97" i="19"/>
  <c r="X97" i="19"/>
  <c r="W97" i="19"/>
  <c r="V97" i="19"/>
  <c r="U97" i="19"/>
  <c r="T97" i="19"/>
  <c r="S97" i="19"/>
  <c r="R97" i="19"/>
  <c r="Q97" i="19"/>
  <c r="P97" i="19"/>
  <c r="AA96" i="19"/>
  <c r="Z96" i="19"/>
  <c r="Y96" i="19"/>
  <c r="X96" i="19"/>
  <c r="W96" i="19"/>
  <c r="V96" i="19"/>
  <c r="U96" i="19"/>
  <c r="T96" i="19"/>
  <c r="S96" i="19"/>
  <c r="R96" i="19"/>
  <c r="Q96" i="19"/>
  <c r="P96" i="19"/>
  <c r="AA95" i="19"/>
  <c r="AA94" i="19" s="1"/>
  <c r="Z95" i="19"/>
  <c r="Z94" i="19" s="1"/>
  <c r="Y95" i="19"/>
  <c r="Y94" i="19" s="1"/>
  <c r="X95" i="19"/>
  <c r="X94" i="19" s="1"/>
  <c r="W95" i="19"/>
  <c r="W94" i="19" s="1"/>
  <c r="V95" i="19"/>
  <c r="V94" i="19" s="1"/>
  <c r="U95" i="19"/>
  <c r="U94" i="19" s="1"/>
  <c r="T95" i="19"/>
  <c r="T94" i="19" s="1"/>
  <c r="S95" i="19"/>
  <c r="S94" i="19" s="1"/>
  <c r="R95" i="19"/>
  <c r="R94" i="19" s="1"/>
  <c r="Q95" i="19"/>
  <c r="Q94" i="19" s="1"/>
  <c r="P95" i="19"/>
  <c r="AA254" i="19"/>
  <c r="Z254" i="19"/>
  <c r="Y254" i="19"/>
  <c r="X254" i="19"/>
  <c r="W254" i="19"/>
  <c r="V254" i="19"/>
  <c r="U254" i="19"/>
  <c r="T254" i="19"/>
  <c r="S254" i="19"/>
  <c r="R254" i="19"/>
  <c r="Q254" i="19"/>
  <c r="P254" i="19"/>
  <c r="AA253" i="19"/>
  <c r="AA252" i="19" s="1"/>
  <c r="Z253" i="19"/>
  <c r="Z252" i="19" s="1"/>
  <c r="Y253" i="19"/>
  <c r="Y252" i="19" s="1"/>
  <c r="X253" i="19"/>
  <c r="X252" i="19" s="1"/>
  <c r="W253" i="19"/>
  <c r="W252" i="19" s="1"/>
  <c r="V253" i="19"/>
  <c r="V252" i="19" s="1"/>
  <c r="U253" i="19"/>
  <c r="U252" i="19" s="1"/>
  <c r="T253" i="19"/>
  <c r="T252" i="19" s="1"/>
  <c r="S253" i="19"/>
  <c r="S252" i="19" s="1"/>
  <c r="R253" i="19"/>
  <c r="R252" i="19" s="1"/>
  <c r="Q253" i="19"/>
  <c r="Q252" i="19" s="1"/>
  <c r="P253" i="19"/>
  <c r="AA251" i="19"/>
  <c r="Z251" i="19"/>
  <c r="Y251" i="19"/>
  <c r="X251" i="19"/>
  <c r="W251" i="19"/>
  <c r="V251" i="19"/>
  <c r="U251" i="19"/>
  <c r="T251" i="19"/>
  <c r="S251" i="19"/>
  <c r="R251" i="19"/>
  <c r="Q251" i="19"/>
  <c r="AA250" i="19"/>
  <c r="Z250" i="19"/>
  <c r="Y250" i="19"/>
  <c r="X250" i="19"/>
  <c r="W250" i="19"/>
  <c r="V250" i="19"/>
  <c r="U250" i="19"/>
  <c r="T250" i="19"/>
  <c r="S250" i="19"/>
  <c r="R250" i="19"/>
  <c r="Q250" i="19"/>
  <c r="AA249" i="19"/>
  <c r="Z249" i="19"/>
  <c r="Y249" i="19"/>
  <c r="X249" i="19"/>
  <c r="W249" i="19"/>
  <c r="V249" i="19"/>
  <c r="U249" i="19"/>
  <c r="T249" i="19"/>
  <c r="S249" i="19"/>
  <c r="R249" i="19"/>
  <c r="Q249" i="19"/>
  <c r="AA248" i="19"/>
  <c r="Z248" i="19"/>
  <c r="Y248" i="19"/>
  <c r="X248" i="19"/>
  <c r="W248" i="19"/>
  <c r="V248" i="19"/>
  <c r="U248" i="19"/>
  <c r="T248" i="19"/>
  <c r="S248" i="19"/>
  <c r="R248" i="19"/>
  <c r="Q248" i="19"/>
  <c r="P251" i="19"/>
  <c r="P250" i="19"/>
  <c r="P249" i="19"/>
  <c r="P248" i="19"/>
  <c r="AA246" i="19"/>
  <c r="Z246" i="19"/>
  <c r="Y246" i="19"/>
  <c r="X246" i="19"/>
  <c r="W246" i="19"/>
  <c r="V246" i="19"/>
  <c r="U246" i="19"/>
  <c r="T246" i="19"/>
  <c r="S246" i="19"/>
  <c r="R246" i="19"/>
  <c r="Q246" i="19"/>
  <c r="AA245" i="19"/>
  <c r="Z245" i="19"/>
  <c r="Y245" i="19"/>
  <c r="X245" i="19"/>
  <c r="W245" i="19"/>
  <c r="V245" i="19"/>
  <c r="U245" i="19"/>
  <c r="T245" i="19"/>
  <c r="S245" i="19"/>
  <c r="R245" i="19"/>
  <c r="Q245" i="19"/>
  <c r="AA244" i="19"/>
  <c r="Z244" i="19"/>
  <c r="Y244" i="19"/>
  <c r="X244" i="19"/>
  <c r="W244" i="19"/>
  <c r="V244" i="19"/>
  <c r="U244" i="19"/>
  <c r="T244" i="19"/>
  <c r="S244" i="19"/>
  <c r="R244" i="19"/>
  <c r="Q244" i="19"/>
  <c r="AA243" i="19"/>
  <c r="Z243" i="19"/>
  <c r="Y243" i="19"/>
  <c r="X243" i="19"/>
  <c r="W243" i="19"/>
  <c r="V243" i="19"/>
  <c r="U243" i="19"/>
  <c r="T243" i="19"/>
  <c r="S243" i="19"/>
  <c r="R243" i="19"/>
  <c r="Q243" i="19"/>
  <c r="P246" i="19"/>
  <c r="P245" i="19"/>
  <c r="P244" i="19"/>
  <c r="P243" i="19"/>
  <c r="AA237" i="19"/>
  <c r="Z237" i="19"/>
  <c r="Y237" i="19"/>
  <c r="X237" i="19"/>
  <c r="W237" i="19"/>
  <c r="V237" i="19"/>
  <c r="U237" i="19"/>
  <c r="T237" i="19"/>
  <c r="S237" i="19"/>
  <c r="R237" i="19"/>
  <c r="Q237" i="19"/>
  <c r="P237" i="19"/>
  <c r="AA236" i="19"/>
  <c r="Z236" i="19"/>
  <c r="Y236" i="19"/>
  <c r="X236" i="19"/>
  <c r="W236" i="19"/>
  <c r="V236" i="19"/>
  <c r="U236" i="19"/>
  <c r="T236" i="19"/>
  <c r="S236" i="19"/>
  <c r="R236" i="19"/>
  <c r="Q236" i="19"/>
  <c r="P236" i="19"/>
  <c r="AA235" i="19"/>
  <c r="Z235" i="19"/>
  <c r="Y235" i="19"/>
  <c r="X235" i="19"/>
  <c r="W235" i="19"/>
  <c r="V235" i="19"/>
  <c r="U235" i="19"/>
  <c r="T235" i="19"/>
  <c r="S235" i="19"/>
  <c r="R235" i="19"/>
  <c r="Q235" i="19"/>
  <c r="P235" i="19"/>
  <c r="AA230" i="19"/>
  <c r="Z230" i="19"/>
  <c r="Y230" i="19"/>
  <c r="X230" i="19"/>
  <c r="W230" i="19"/>
  <c r="V230" i="19"/>
  <c r="U230" i="19"/>
  <c r="T230" i="19"/>
  <c r="S230" i="19"/>
  <c r="R230" i="19"/>
  <c r="Q230" i="19"/>
  <c r="P230" i="19"/>
  <c r="AA229" i="19"/>
  <c r="Z229" i="19"/>
  <c r="Y229" i="19"/>
  <c r="X229" i="19"/>
  <c r="W229" i="19"/>
  <c r="V229" i="19"/>
  <c r="U229" i="19"/>
  <c r="T229" i="19"/>
  <c r="S229" i="19"/>
  <c r="R229" i="19"/>
  <c r="Q229" i="19"/>
  <c r="P229" i="19"/>
  <c r="AA224" i="19"/>
  <c r="Z224" i="19"/>
  <c r="Y224" i="19"/>
  <c r="X224" i="19"/>
  <c r="W224" i="19"/>
  <c r="V224" i="19"/>
  <c r="U224" i="19"/>
  <c r="T224" i="19"/>
  <c r="S224" i="19"/>
  <c r="R224" i="19"/>
  <c r="Q224" i="19"/>
  <c r="P224" i="19"/>
  <c r="AA223" i="19"/>
  <c r="AA222" i="19" s="1"/>
  <c r="Z223" i="19"/>
  <c r="Z222" i="19" s="1"/>
  <c r="Y223" i="19"/>
  <c r="Y222" i="19" s="1"/>
  <c r="X223" i="19"/>
  <c r="X222" i="19" s="1"/>
  <c r="W223" i="19"/>
  <c r="W222" i="19" s="1"/>
  <c r="V223" i="19"/>
  <c r="V222" i="19" s="1"/>
  <c r="U223" i="19"/>
  <c r="U222" i="19" s="1"/>
  <c r="T223" i="19"/>
  <c r="T222" i="19" s="1"/>
  <c r="S223" i="19"/>
  <c r="S222" i="19" s="1"/>
  <c r="R223" i="19"/>
  <c r="R222" i="19" s="1"/>
  <c r="Q223" i="19"/>
  <c r="Q222" i="19" s="1"/>
  <c r="P223" i="19"/>
  <c r="AA201" i="19"/>
  <c r="Z201" i="19"/>
  <c r="Y201" i="19"/>
  <c r="X201" i="19"/>
  <c r="W201" i="19"/>
  <c r="V201" i="19"/>
  <c r="U201" i="19"/>
  <c r="T201" i="19"/>
  <c r="S201" i="19"/>
  <c r="R201" i="19"/>
  <c r="Q201" i="19"/>
  <c r="P201" i="19"/>
  <c r="AA200" i="19"/>
  <c r="Z200" i="19"/>
  <c r="Y200" i="19"/>
  <c r="X200" i="19"/>
  <c r="W200" i="19"/>
  <c r="V200" i="19"/>
  <c r="U200" i="19"/>
  <c r="T200" i="19"/>
  <c r="S200" i="19"/>
  <c r="R200" i="19"/>
  <c r="Q200" i="19"/>
  <c r="P200" i="19"/>
  <c r="AA199" i="19"/>
  <c r="Z199" i="19"/>
  <c r="Y199" i="19"/>
  <c r="X199" i="19"/>
  <c r="W199" i="19"/>
  <c r="V199" i="19"/>
  <c r="U199" i="19"/>
  <c r="T199" i="19"/>
  <c r="S199" i="19"/>
  <c r="R199" i="19"/>
  <c r="Q199" i="19"/>
  <c r="P199" i="19"/>
  <c r="AA198" i="19"/>
  <c r="Z198" i="19"/>
  <c r="Y198" i="19"/>
  <c r="X198" i="19"/>
  <c r="W198" i="19"/>
  <c r="V198" i="19"/>
  <c r="U198" i="19"/>
  <c r="T198" i="19"/>
  <c r="S198" i="19"/>
  <c r="R198" i="19"/>
  <c r="Q198" i="19"/>
  <c r="P198" i="19"/>
  <c r="AA197" i="19"/>
  <c r="AA196" i="19" s="1"/>
  <c r="Z197" i="19"/>
  <c r="Z196" i="19" s="1"/>
  <c r="Y197" i="19"/>
  <c r="Y196" i="19" s="1"/>
  <c r="X197" i="19"/>
  <c r="X196" i="19" s="1"/>
  <c r="W197" i="19"/>
  <c r="W196" i="19" s="1"/>
  <c r="V197" i="19"/>
  <c r="V196" i="19" s="1"/>
  <c r="U197" i="19"/>
  <c r="U196" i="19" s="1"/>
  <c r="T197" i="19"/>
  <c r="T196" i="19" s="1"/>
  <c r="S197" i="19"/>
  <c r="S196" i="19" s="1"/>
  <c r="R197" i="19"/>
  <c r="R196" i="19" s="1"/>
  <c r="Q197" i="19"/>
  <c r="P197" i="19"/>
  <c r="AA195" i="19"/>
  <c r="Z195" i="19"/>
  <c r="Y195" i="19"/>
  <c r="X195" i="19"/>
  <c r="W195" i="19"/>
  <c r="V195" i="19"/>
  <c r="U195" i="19"/>
  <c r="T195" i="19"/>
  <c r="S195" i="19"/>
  <c r="R195" i="19"/>
  <c r="Q195" i="19"/>
  <c r="AA194" i="19"/>
  <c r="Z194" i="19"/>
  <c r="Y194" i="19"/>
  <c r="X194" i="19"/>
  <c r="W194" i="19"/>
  <c r="V194" i="19"/>
  <c r="U194" i="19"/>
  <c r="T194" i="19"/>
  <c r="S194" i="19"/>
  <c r="R194" i="19"/>
  <c r="Q194" i="19"/>
  <c r="AA193" i="19"/>
  <c r="Z193" i="19"/>
  <c r="Y193" i="19"/>
  <c r="X193" i="19"/>
  <c r="W193" i="19"/>
  <c r="V193" i="19"/>
  <c r="U193" i="19"/>
  <c r="T193" i="19"/>
  <c r="S193" i="19"/>
  <c r="R193" i="19"/>
  <c r="Q193" i="19"/>
  <c r="AA192" i="19"/>
  <c r="Z192" i="19"/>
  <c r="Y192" i="19"/>
  <c r="X192" i="19"/>
  <c r="W192" i="19"/>
  <c r="V192" i="19"/>
  <c r="U192" i="19"/>
  <c r="T192" i="19"/>
  <c r="S192" i="19"/>
  <c r="R192" i="19"/>
  <c r="Q192" i="19"/>
  <c r="P195" i="19"/>
  <c r="P194" i="19"/>
  <c r="P193" i="19"/>
  <c r="P192" i="19"/>
  <c r="AA191" i="19"/>
  <c r="Z191" i="19"/>
  <c r="Y191" i="19"/>
  <c r="X191" i="19"/>
  <c r="W191" i="19"/>
  <c r="V191" i="19"/>
  <c r="U191" i="19"/>
  <c r="T191" i="19"/>
  <c r="S191" i="19"/>
  <c r="R191" i="19"/>
  <c r="Q191" i="19"/>
  <c r="P191" i="19"/>
  <c r="Q196" i="19" l="1"/>
  <c r="V190" i="19"/>
  <c r="Z190" i="19"/>
  <c r="AB198" i="19"/>
  <c r="AB199" i="19"/>
  <c r="AB245" i="19"/>
  <c r="S242" i="19"/>
  <c r="W242" i="19"/>
  <c r="AB250" i="19"/>
  <c r="S247" i="19"/>
  <c r="W247" i="19"/>
  <c r="AA247" i="19"/>
  <c r="R190" i="19"/>
  <c r="P190" i="19"/>
  <c r="T190" i="19"/>
  <c r="X190" i="19"/>
  <c r="AB192" i="19"/>
  <c r="S190" i="19"/>
  <c r="Q190" i="19"/>
  <c r="U190" i="19"/>
  <c r="Y190" i="19"/>
  <c r="AB193" i="19"/>
  <c r="AB244" i="19"/>
  <c r="AB243" i="19"/>
  <c r="V242" i="19"/>
  <c r="Z242" i="19"/>
  <c r="Q242" i="19"/>
  <c r="AB249" i="19"/>
  <c r="R247" i="19"/>
  <c r="V247" i="19"/>
  <c r="Z247" i="19"/>
  <c r="AB103" i="19"/>
  <c r="AB104" i="19"/>
  <c r="W190" i="19"/>
  <c r="AA190" i="19"/>
  <c r="AB246" i="19"/>
  <c r="T242" i="19"/>
  <c r="X242" i="19"/>
  <c r="AB97" i="19"/>
  <c r="AB194" i="19"/>
  <c r="AB197" i="19"/>
  <c r="AB200" i="19"/>
  <c r="AB201" i="19"/>
  <c r="AB223" i="19"/>
  <c r="AB224" i="19"/>
  <c r="AB229" i="19"/>
  <c r="AB230" i="19"/>
  <c r="AB235" i="19"/>
  <c r="AB236" i="19"/>
  <c r="AB237" i="19"/>
  <c r="P242" i="19"/>
  <c r="P247" i="19"/>
  <c r="Q247" i="19"/>
  <c r="U247" i="19"/>
  <c r="Y247" i="19"/>
  <c r="T247" i="19"/>
  <c r="X247" i="19"/>
  <c r="AB95" i="19"/>
  <c r="AB96" i="19"/>
  <c r="AB98" i="19"/>
  <c r="AB99" i="19"/>
  <c r="AB101" i="19"/>
  <c r="AB105" i="19"/>
  <c r="AB195" i="19"/>
  <c r="U242" i="19"/>
  <c r="Y242" i="19"/>
  <c r="AA242" i="19"/>
  <c r="P222" i="19"/>
  <c r="AB222" i="19" s="1"/>
  <c r="AB191" i="19"/>
  <c r="AB251" i="19"/>
  <c r="P196" i="19"/>
  <c r="AB196" i="19" s="1"/>
  <c r="R242" i="19"/>
  <c r="AB248" i="19"/>
  <c r="AB253" i="19"/>
  <c r="AB254" i="19"/>
  <c r="P252" i="19"/>
  <c r="AB252" i="19" s="1"/>
  <c r="P94" i="19"/>
  <c r="AB94" i="19" s="1"/>
  <c r="AA169" i="19"/>
  <c r="Z169" i="19"/>
  <c r="Y169" i="19"/>
  <c r="X169" i="19"/>
  <c r="W169" i="19"/>
  <c r="V169" i="19"/>
  <c r="U169" i="19"/>
  <c r="T169" i="19"/>
  <c r="S169" i="19"/>
  <c r="R169" i="19"/>
  <c r="Q169" i="19"/>
  <c r="AA168" i="19"/>
  <c r="Z168" i="19"/>
  <c r="Y168" i="19"/>
  <c r="X168" i="19"/>
  <c r="W168" i="19"/>
  <c r="V168" i="19"/>
  <c r="U168" i="19"/>
  <c r="T168" i="19"/>
  <c r="S168" i="19"/>
  <c r="R168" i="19"/>
  <c r="Q168" i="19"/>
  <c r="AA167" i="19"/>
  <c r="Z167" i="19"/>
  <c r="Y167" i="19"/>
  <c r="X167" i="19"/>
  <c r="W167" i="19"/>
  <c r="V167" i="19"/>
  <c r="U167" i="19"/>
  <c r="T167" i="19"/>
  <c r="S167" i="19"/>
  <c r="R167" i="19"/>
  <c r="Q167" i="19"/>
  <c r="AA166" i="19"/>
  <c r="Z166" i="19"/>
  <c r="Y166" i="19"/>
  <c r="X166" i="19"/>
  <c r="W166" i="19"/>
  <c r="V166" i="19"/>
  <c r="U166" i="19"/>
  <c r="T166" i="19"/>
  <c r="S166" i="19"/>
  <c r="R166" i="19"/>
  <c r="Q166" i="19"/>
  <c r="P169" i="19"/>
  <c r="P168" i="19"/>
  <c r="P167" i="19"/>
  <c r="P166" i="19"/>
  <c r="AA165" i="19"/>
  <c r="Z165" i="19"/>
  <c r="Y165" i="19"/>
  <c r="X165" i="19"/>
  <c r="W165" i="19"/>
  <c r="V165" i="19"/>
  <c r="U165" i="19"/>
  <c r="T165" i="19"/>
  <c r="S165" i="19"/>
  <c r="R165" i="19"/>
  <c r="Q165" i="19"/>
  <c r="P165" i="19"/>
  <c r="AA163" i="19"/>
  <c r="Z163" i="19"/>
  <c r="Y163" i="19"/>
  <c r="X163" i="19"/>
  <c r="W163" i="19"/>
  <c r="V163" i="19"/>
  <c r="U163" i="19"/>
  <c r="T163" i="19"/>
  <c r="S163" i="19"/>
  <c r="R163" i="19"/>
  <c r="Q163" i="19"/>
  <c r="AA162" i="19"/>
  <c r="Z162" i="19"/>
  <c r="Y162" i="19"/>
  <c r="X162" i="19"/>
  <c r="W162" i="19"/>
  <c r="V162" i="19"/>
  <c r="U162" i="19"/>
  <c r="T162" i="19"/>
  <c r="S162" i="19"/>
  <c r="R162" i="19"/>
  <c r="Q162" i="19"/>
  <c r="AA161" i="19"/>
  <c r="Z161" i="19"/>
  <c r="Y161" i="19"/>
  <c r="X161" i="19"/>
  <c r="W161" i="19"/>
  <c r="V161" i="19"/>
  <c r="U161" i="19"/>
  <c r="T161" i="19"/>
  <c r="S161" i="19"/>
  <c r="R161" i="19"/>
  <c r="Q161" i="19"/>
  <c r="AA160" i="19"/>
  <c r="Z160" i="19"/>
  <c r="Y160" i="19"/>
  <c r="X160" i="19"/>
  <c r="W160" i="19"/>
  <c r="V160" i="19"/>
  <c r="U160" i="19"/>
  <c r="T160" i="19"/>
  <c r="S160" i="19"/>
  <c r="R160" i="19"/>
  <c r="Q160" i="19"/>
  <c r="P163" i="19"/>
  <c r="P162" i="19"/>
  <c r="P161" i="19"/>
  <c r="P160" i="19"/>
  <c r="AA159" i="19"/>
  <c r="Z159" i="19"/>
  <c r="Y159" i="19"/>
  <c r="X159" i="19"/>
  <c r="W159" i="19"/>
  <c r="V159" i="19"/>
  <c r="U159" i="19"/>
  <c r="T159" i="19"/>
  <c r="S159" i="19"/>
  <c r="R159" i="19"/>
  <c r="Q159" i="19"/>
  <c r="P159" i="19"/>
  <c r="AA153" i="19"/>
  <c r="Z153" i="19"/>
  <c r="Y153" i="19"/>
  <c r="X153" i="19"/>
  <c r="W153" i="19"/>
  <c r="V153" i="19"/>
  <c r="U153" i="19"/>
  <c r="T153" i="19"/>
  <c r="S153" i="19"/>
  <c r="R153" i="19"/>
  <c r="Q153" i="19"/>
  <c r="AA152" i="19"/>
  <c r="Z152" i="19"/>
  <c r="Y152" i="19"/>
  <c r="X152" i="19"/>
  <c r="W152" i="19"/>
  <c r="V152" i="19"/>
  <c r="U152" i="19"/>
  <c r="T152" i="19"/>
  <c r="S152" i="19"/>
  <c r="R152" i="19"/>
  <c r="Q152" i="19"/>
  <c r="AA151" i="19"/>
  <c r="Z151" i="19"/>
  <c r="Y151" i="19"/>
  <c r="X151" i="19"/>
  <c r="W151" i="19"/>
  <c r="V151" i="19"/>
  <c r="U151" i="19"/>
  <c r="T151" i="19"/>
  <c r="S151" i="19"/>
  <c r="R151" i="19"/>
  <c r="Q151" i="19"/>
  <c r="AA150" i="19"/>
  <c r="Z150" i="19"/>
  <c r="Y150" i="19"/>
  <c r="X150" i="19"/>
  <c r="W150" i="19"/>
  <c r="V150" i="19"/>
  <c r="U150" i="19"/>
  <c r="T150" i="19"/>
  <c r="S150" i="19"/>
  <c r="R150" i="19"/>
  <c r="Q150" i="19"/>
  <c r="P153" i="19"/>
  <c r="P152" i="19"/>
  <c r="P151" i="19"/>
  <c r="P150" i="19"/>
  <c r="AA149" i="19"/>
  <c r="Z149" i="19"/>
  <c r="Y149" i="19"/>
  <c r="X149" i="19"/>
  <c r="W149" i="19"/>
  <c r="V149" i="19"/>
  <c r="U149" i="19"/>
  <c r="T149" i="19"/>
  <c r="S149" i="19"/>
  <c r="R149" i="19"/>
  <c r="Q149" i="19"/>
  <c r="P149" i="19"/>
  <c r="AA147" i="19"/>
  <c r="Z147" i="19"/>
  <c r="Y147" i="19"/>
  <c r="X147" i="19"/>
  <c r="W147" i="19"/>
  <c r="V147" i="19"/>
  <c r="U147" i="19"/>
  <c r="T147" i="19"/>
  <c r="S147" i="19"/>
  <c r="R147" i="19"/>
  <c r="Q147" i="19"/>
  <c r="AA146" i="19"/>
  <c r="Z146" i="19"/>
  <c r="Y146" i="19"/>
  <c r="X146" i="19"/>
  <c r="W146" i="19"/>
  <c r="V146" i="19"/>
  <c r="U146" i="19"/>
  <c r="T146" i="19"/>
  <c r="S146" i="19"/>
  <c r="R146" i="19"/>
  <c r="Q146" i="19"/>
  <c r="AA145" i="19"/>
  <c r="Z145" i="19"/>
  <c r="Y145" i="19"/>
  <c r="X145" i="19"/>
  <c r="W145" i="19"/>
  <c r="V145" i="19"/>
  <c r="U145" i="19"/>
  <c r="T145" i="19"/>
  <c r="S145" i="19"/>
  <c r="R145" i="19"/>
  <c r="Q145" i="19"/>
  <c r="AA144" i="19"/>
  <c r="Z144" i="19"/>
  <c r="Y144" i="19"/>
  <c r="X144" i="19"/>
  <c r="W144" i="19"/>
  <c r="V144" i="19"/>
  <c r="U144" i="19"/>
  <c r="T144" i="19"/>
  <c r="S144" i="19"/>
  <c r="R144" i="19"/>
  <c r="Q144" i="19"/>
  <c r="P147" i="19"/>
  <c r="P146" i="19"/>
  <c r="P145" i="19"/>
  <c r="P144" i="19"/>
  <c r="AA143" i="19"/>
  <c r="Z143" i="19"/>
  <c r="Y143" i="19"/>
  <c r="X143" i="19"/>
  <c r="W143" i="19"/>
  <c r="V143" i="19"/>
  <c r="U143" i="19"/>
  <c r="T143" i="19"/>
  <c r="S143" i="19"/>
  <c r="R143" i="19"/>
  <c r="Q143" i="19"/>
  <c r="P143" i="19"/>
  <c r="AA137" i="19"/>
  <c r="Z137" i="19"/>
  <c r="Y137" i="19"/>
  <c r="X137" i="19"/>
  <c r="W137" i="19"/>
  <c r="V137" i="19"/>
  <c r="U137" i="19"/>
  <c r="T137" i="19"/>
  <c r="S137" i="19"/>
  <c r="R137" i="19"/>
  <c r="Q137" i="19"/>
  <c r="AA136" i="19"/>
  <c r="Z136" i="19"/>
  <c r="Y136" i="19"/>
  <c r="X136" i="19"/>
  <c r="W136" i="19"/>
  <c r="V136" i="19"/>
  <c r="U136" i="19"/>
  <c r="T136" i="19"/>
  <c r="S136" i="19"/>
  <c r="R136" i="19"/>
  <c r="Q136" i="19"/>
  <c r="AA135" i="19"/>
  <c r="Z135" i="19"/>
  <c r="Y135" i="19"/>
  <c r="X135" i="19"/>
  <c r="W135" i="19"/>
  <c r="V135" i="19"/>
  <c r="U135" i="19"/>
  <c r="T135" i="19"/>
  <c r="S135" i="19"/>
  <c r="R135" i="19"/>
  <c r="Q135" i="19"/>
  <c r="AA134" i="19"/>
  <c r="Z134" i="19"/>
  <c r="Y134" i="19"/>
  <c r="X134" i="19"/>
  <c r="W134" i="19"/>
  <c r="V134" i="19"/>
  <c r="U134" i="19"/>
  <c r="T134" i="19"/>
  <c r="S134" i="19"/>
  <c r="R134" i="19"/>
  <c r="Q134" i="19"/>
  <c r="P137" i="19"/>
  <c r="P136" i="19"/>
  <c r="P135" i="19"/>
  <c r="P134" i="19"/>
  <c r="AA133" i="19"/>
  <c r="Z133" i="19"/>
  <c r="Y133" i="19"/>
  <c r="X133" i="19"/>
  <c r="W133" i="19"/>
  <c r="V133" i="19"/>
  <c r="U133" i="19"/>
  <c r="T133" i="19"/>
  <c r="S133" i="19"/>
  <c r="R133" i="19"/>
  <c r="Q133" i="19"/>
  <c r="P133" i="19"/>
  <c r="AA131" i="19"/>
  <c r="Z131" i="19"/>
  <c r="Y131" i="19"/>
  <c r="X131" i="19"/>
  <c r="W131" i="19"/>
  <c r="V131" i="19"/>
  <c r="U131" i="19"/>
  <c r="T131" i="19"/>
  <c r="S131" i="19"/>
  <c r="R131" i="19"/>
  <c r="Q131" i="19"/>
  <c r="AA130" i="19"/>
  <c r="Z130" i="19"/>
  <c r="Y130" i="19"/>
  <c r="X130" i="19"/>
  <c r="W130" i="19"/>
  <c r="V130" i="19"/>
  <c r="U130" i="19"/>
  <c r="T130" i="19"/>
  <c r="S130" i="19"/>
  <c r="R130" i="19"/>
  <c r="Q130" i="19"/>
  <c r="AA129" i="19"/>
  <c r="Z129" i="19"/>
  <c r="Y129" i="19"/>
  <c r="X129" i="19"/>
  <c r="W129" i="19"/>
  <c r="V129" i="19"/>
  <c r="U129" i="19"/>
  <c r="T129" i="19"/>
  <c r="S129" i="19"/>
  <c r="R129" i="19"/>
  <c r="Q129" i="19"/>
  <c r="AA128" i="19"/>
  <c r="Z128" i="19"/>
  <c r="Y128" i="19"/>
  <c r="X128" i="19"/>
  <c r="W128" i="19"/>
  <c r="V128" i="19"/>
  <c r="U128" i="19"/>
  <c r="T128" i="19"/>
  <c r="S128" i="19"/>
  <c r="R128" i="19"/>
  <c r="Q128" i="19"/>
  <c r="P131" i="19"/>
  <c r="P130" i="19"/>
  <c r="P129" i="19"/>
  <c r="P128" i="19"/>
  <c r="AA127" i="19"/>
  <c r="Z127" i="19"/>
  <c r="Y127" i="19"/>
  <c r="X127" i="19"/>
  <c r="W127" i="19"/>
  <c r="V127" i="19"/>
  <c r="U127" i="19"/>
  <c r="T127" i="19"/>
  <c r="S127" i="19"/>
  <c r="R127" i="19"/>
  <c r="Q127" i="19"/>
  <c r="P127" i="19"/>
  <c r="AA89" i="19"/>
  <c r="Z89" i="19"/>
  <c r="Y89" i="19"/>
  <c r="X89" i="19"/>
  <c r="W89" i="19"/>
  <c r="V89" i="19"/>
  <c r="U89" i="19"/>
  <c r="T89" i="19"/>
  <c r="S89" i="19"/>
  <c r="R89" i="19"/>
  <c r="Q89" i="19"/>
  <c r="P89" i="19"/>
  <c r="AA88" i="19"/>
  <c r="Z88" i="19"/>
  <c r="Y88" i="19"/>
  <c r="X88" i="19"/>
  <c r="W88" i="19"/>
  <c r="V88" i="19"/>
  <c r="U88" i="19"/>
  <c r="T88" i="19"/>
  <c r="S88" i="19"/>
  <c r="R88" i="19"/>
  <c r="Q88" i="19"/>
  <c r="P88" i="19"/>
  <c r="AA83" i="19"/>
  <c r="Z83" i="19"/>
  <c r="Y83" i="19"/>
  <c r="X83" i="19"/>
  <c r="W83" i="19"/>
  <c r="V83" i="19"/>
  <c r="U83" i="19"/>
  <c r="T83" i="19"/>
  <c r="S83" i="19"/>
  <c r="R83" i="19"/>
  <c r="Q83" i="19"/>
  <c r="AA82" i="19"/>
  <c r="Z82" i="19"/>
  <c r="Y82" i="19"/>
  <c r="X82" i="19"/>
  <c r="W82" i="19"/>
  <c r="V82" i="19"/>
  <c r="U82" i="19"/>
  <c r="T82" i="19"/>
  <c r="S82" i="19"/>
  <c r="R82" i="19"/>
  <c r="Q82" i="19"/>
  <c r="AA81" i="19"/>
  <c r="Z81" i="19"/>
  <c r="Y81" i="19"/>
  <c r="X81" i="19"/>
  <c r="W81" i="19"/>
  <c r="V81" i="19"/>
  <c r="U81" i="19"/>
  <c r="T81" i="19"/>
  <c r="S81" i="19"/>
  <c r="R81" i="19"/>
  <c r="Q81" i="19"/>
  <c r="AA80" i="19"/>
  <c r="Z80" i="19"/>
  <c r="Y80" i="19"/>
  <c r="X80" i="19"/>
  <c r="W80" i="19"/>
  <c r="V80" i="19"/>
  <c r="U80" i="19"/>
  <c r="T80" i="19"/>
  <c r="S80" i="19"/>
  <c r="R80" i="19"/>
  <c r="Q80" i="19"/>
  <c r="P83" i="19"/>
  <c r="P80" i="19"/>
  <c r="P81" i="19"/>
  <c r="P82" i="19"/>
  <c r="AA79" i="19"/>
  <c r="Z79" i="19"/>
  <c r="Y79" i="19"/>
  <c r="X79" i="19"/>
  <c r="W79" i="19"/>
  <c r="V79" i="19"/>
  <c r="U79" i="19"/>
  <c r="T79" i="19"/>
  <c r="S79" i="19"/>
  <c r="R79" i="19"/>
  <c r="Q79" i="19"/>
  <c r="P79" i="19"/>
  <c r="AA77" i="19"/>
  <c r="Z77" i="19"/>
  <c r="Y77" i="19"/>
  <c r="X77" i="19"/>
  <c r="W77" i="19"/>
  <c r="V77" i="19"/>
  <c r="U77" i="19"/>
  <c r="T77" i="19"/>
  <c r="S77" i="19"/>
  <c r="R77" i="19"/>
  <c r="Q77" i="19"/>
  <c r="AA76" i="19"/>
  <c r="Z76" i="19"/>
  <c r="Y76" i="19"/>
  <c r="X76" i="19"/>
  <c r="W76" i="19"/>
  <c r="V76" i="19"/>
  <c r="U76" i="19"/>
  <c r="T76" i="19"/>
  <c r="S76" i="19"/>
  <c r="R76" i="19"/>
  <c r="Q76" i="19"/>
  <c r="AA75" i="19"/>
  <c r="Z75" i="19"/>
  <c r="Y75" i="19"/>
  <c r="X75" i="19"/>
  <c r="W75" i="19"/>
  <c r="V75" i="19"/>
  <c r="U75" i="19"/>
  <c r="T75" i="19"/>
  <c r="S75" i="19"/>
  <c r="R75" i="19"/>
  <c r="Q75" i="19"/>
  <c r="P75" i="19"/>
  <c r="P76" i="19"/>
  <c r="P77" i="19"/>
  <c r="AA74" i="19"/>
  <c r="Z74" i="19"/>
  <c r="Y74" i="19"/>
  <c r="X74" i="19"/>
  <c r="W74" i="19"/>
  <c r="V74" i="19"/>
  <c r="U74" i="19"/>
  <c r="T74" i="19"/>
  <c r="S74" i="19"/>
  <c r="R74" i="19"/>
  <c r="Q74" i="19"/>
  <c r="P74" i="19"/>
  <c r="AA73" i="19"/>
  <c r="Z73" i="19"/>
  <c r="Y73" i="19"/>
  <c r="X73" i="19"/>
  <c r="W73" i="19"/>
  <c r="V73" i="19"/>
  <c r="U73" i="19"/>
  <c r="T73" i="19"/>
  <c r="S73" i="19"/>
  <c r="R73" i="19"/>
  <c r="Q73" i="19"/>
  <c r="P73" i="19"/>
  <c r="AA37" i="19"/>
  <c r="Z37" i="19"/>
  <c r="Y37" i="19"/>
  <c r="X37" i="19"/>
  <c r="W37" i="19"/>
  <c r="V37" i="19"/>
  <c r="U37" i="19"/>
  <c r="T37" i="19"/>
  <c r="S37" i="19"/>
  <c r="R37" i="19"/>
  <c r="Q37" i="19"/>
  <c r="AA36" i="19"/>
  <c r="Z36" i="19"/>
  <c r="Y36" i="19"/>
  <c r="X36" i="19"/>
  <c r="W36" i="19"/>
  <c r="V36" i="19"/>
  <c r="U36" i="19"/>
  <c r="T36" i="19"/>
  <c r="S36" i="19"/>
  <c r="R36" i="19"/>
  <c r="Q36" i="19"/>
  <c r="AA35" i="19"/>
  <c r="Z35" i="19"/>
  <c r="Y35" i="19"/>
  <c r="X35" i="19"/>
  <c r="W35" i="19"/>
  <c r="V35" i="19"/>
  <c r="U35" i="19"/>
  <c r="T35" i="19"/>
  <c r="S35" i="19"/>
  <c r="R35" i="19"/>
  <c r="Q35" i="19"/>
  <c r="AA34" i="19"/>
  <c r="Z34" i="19"/>
  <c r="Y34" i="19"/>
  <c r="X34" i="19"/>
  <c r="W34" i="19"/>
  <c r="V34" i="19"/>
  <c r="U34" i="19"/>
  <c r="T34" i="19"/>
  <c r="S34" i="19"/>
  <c r="R34" i="19"/>
  <c r="Q34" i="19"/>
  <c r="P37" i="19"/>
  <c r="P36" i="19"/>
  <c r="P35" i="19"/>
  <c r="P34" i="19"/>
  <c r="AA33" i="19"/>
  <c r="Z33" i="19"/>
  <c r="Y33" i="19"/>
  <c r="X33" i="19"/>
  <c r="W33" i="19"/>
  <c r="V33" i="19"/>
  <c r="U33" i="19"/>
  <c r="T33" i="19"/>
  <c r="S33" i="19"/>
  <c r="R33" i="19"/>
  <c r="Q33" i="19"/>
  <c r="P33" i="19"/>
  <c r="AA31" i="19"/>
  <c r="Z31" i="19"/>
  <c r="Y31" i="19"/>
  <c r="X31" i="19"/>
  <c r="W31" i="19"/>
  <c r="V31" i="19"/>
  <c r="U31" i="19"/>
  <c r="T31" i="19"/>
  <c r="S31" i="19"/>
  <c r="R31" i="19"/>
  <c r="Q31" i="19"/>
  <c r="AA30" i="19"/>
  <c r="Z30" i="19"/>
  <c r="Y30" i="19"/>
  <c r="X30" i="19"/>
  <c r="W30" i="19"/>
  <c r="V30" i="19"/>
  <c r="U30" i="19"/>
  <c r="T30" i="19"/>
  <c r="S30" i="19"/>
  <c r="R30" i="19"/>
  <c r="Q30" i="19"/>
  <c r="AA29" i="19"/>
  <c r="Z29" i="19"/>
  <c r="Y29" i="19"/>
  <c r="X29" i="19"/>
  <c r="W29" i="19"/>
  <c r="V29" i="19"/>
  <c r="U29" i="19"/>
  <c r="T29" i="19"/>
  <c r="S29" i="19"/>
  <c r="R29" i="19"/>
  <c r="Q29" i="19"/>
  <c r="AA28" i="19"/>
  <c r="AB28" i="19" s="1"/>
  <c r="Z28" i="19"/>
  <c r="Y28" i="19"/>
  <c r="X28" i="19"/>
  <c r="W28" i="19"/>
  <c r="V28" i="19"/>
  <c r="U28" i="19"/>
  <c r="T28" i="19"/>
  <c r="S28" i="19"/>
  <c r="R28" i="19"/>
  <c r="Q28" i="19"/>
  <c r="P29" i="19"/>
  <c r="P30" i="19"/>
  <c r="P31" i="19"/>
  <c r="P28" i="19"/>
  <c r="AA27" i="19"/>
  <c r="Z27" i="19"/>
  <c r="Y27" i="19"/>
  <c r="X27" i="19"/>
  <c r="W27" i="19"/>
  <c r="V27" i="19"/>
  <c r="U27" i="19"/>
  <c r="T27" i="19"/>
  <c r="S27" i="19"/>
  <c r="R27" i="19"/>
  <c r="Q27" i="19"/>
  <c r="P27" i="19"/>
  <c r="O13" i="12"/>
  <c r="O11" i="12"/>
  <c r="O10" i="12"/>
  <c r="Q126" i="19" l="1"/>
  <c r="U126" i="19"/>
  <c r="Y126" i="19"/>
  <c r="Q132" i="19"/>
  <c r="U132" i="19"/>
  <c r="R126" i="19"/>
  <c r="V126" i="19"/>
  <c r="Z126" i="19"/>
  <c r="AB130" i="19"/>
  <c r="R132" i="19"/>
  <c r="V132" i="19"/>
  <c r="Z132" i="19"/>
  <c r="R142" i="19"/>
  <c r="V142" i="19"/>
  <c r="Z142" i="19"/>
  <c r="R148" i="19"/>
  <c r="V148" i="19"/>
  <c r="Z148" i="19"/>
  <c r="R158" i="19"/>
  <c r="V158" i="19"/>
  <c r="Z158" i="19"/>
  <c r="AB162" i="19"/>
  <c r="AB160" i="19"/>
  <c r="R164" i="19"/>
  <c r="V164" i="19"/>
  <c r="Z164" i="19"/>
  <c r="AB190" i="19"/>
  <c r="AB128" i="19"/>
  <c r="AB242" i="19"/>
  <c r="AB74" i="19"/>
  <c r="AB76" i="19"/>
  <c r="AB81" i="19"/>
  <c r="AB129" i="19"/>
  <c r="Y132" i="19"/>
  <c r="AB135" i="19"/>
  <c r="Q142" i="19"/>
  <c r="U142" i="19"/>
  <c r="Y142" i="19"/>
  <c r="Q148" i="19"/>
  <c r="U148" i="19"/>
  <c r="Y148" i="19"/>
  <c r="Q158" i="19"/>
  <c r="U158" i="19"/>
  <c r="Y158" i="19"/>
  <c r="AB161" i="19"/>
  <c r="Q164" i="19"/>
  <c r="U164" i="19"/>
  <c r="Y164" i="19"/>
  <c r="AB167" i="19"/>
  <c r="AB80" i="19"/>
  <c r="AB75" i="19"/>
  <c r="AB83" i="19"/>
  <c r="AB82" i="19"/>
  <c r="S126" i="19"/>
  <c r="W126" i="19"/>
  <c r="AA126" i="19"/>
  <c r="AB131" i="19"/>
  <c r="S132" i="19"/>
  <c r="W132" i="19"/>
  <c r="AA132" i="19"/>
  <c r="AB137" i="19"/>
  <c r="S142" i="19"/>
  <c r="W142" i="19"/>
  <c r="AA142" i="19"/>
  <c r="S148" i="19"/>
  <c r="W148" i="19"/>
  <c r="AA148" i="19"/>
  <c r="S158" i="19"/>
  <c r="W158" i="19"/>
  <c r="AA158" i="19"/>
  <c r="AB163" i="19"/>
  <c r="S164" i="19"/>
  <c r="W164" i="19"/>
  <c r="AA164" i="19"/>
  <c r="AB169" i="19"/>
  <c r="AB73" i="19"/>
  <c r="AB77" i="19"/>
  <c r="AB79" i="19"/>
  <c r="AB88" i="19"/>
  <c r="AB89" i="19"/>
  <c r="AB127" i="19"/>
  <c r="T126" i="19"/>
  <c r="X126" i="19"/>
  <c r="AB133" i="19"/>
  <c r="T132" i="19"/>
  <c r="X132" i="19"/>
  <c r="AB134" i="19"/>
  <c r="AB136" i="19"/>
  <c r="P142" i="19"/>
  <c r="T142" i="19"/>
  <c r="X142" i="19"/>
  <c r="P148" i="19"/>
  <c r="T148" i="19"/>
  <c r="X148" i="19"/>
  <c r="AB159" i="19"/>
  <c r="T158" i="19"/>
  <c r="X158" i="19"/>
  <c r="AB165" i="19"/>
  <c r="T164" i="19"/>
  <c r="X164" i="19"/>
  <c r="AB166" i="19"/>
  <c r="AB168" i="19"/>
  <c r="AB247" i="19"/>
  <c r="P132" i="19"/>
  <c r="P164" i="19"/>
  <c r="P126" i="19"/>
  <c r="P158" i="19"/>
  <c r="AB164" i="19" l="1"/>
  <c r="AB158" i="19"/>
  <c r="AB132" i="19"/>
  <c r="AB126" i="19"/>
  <c r="J17" i="12" l="1"/>
  <c r="J13" i="12"/>
  <c r="J11" i="12"/>
  <c r="J10" i="12"/>
  <c r="D17" i="16" l="1"/>
  <c r="S23" i="12"/>
  <c r="P64" i="11"/>
  <c r="P80" i="11"/>
  <c r="AS91" i="19"/>
  <c r="K6" i="26"/>
  <c r="H5" i="28"/>
  <c r="AS242" i="19"/>
  <c r="AS240" i="19"/>
  <c r="AS233" i="19"/>
  <c r="AS187" i="19"/>
  <c r="AS155" i="19"/>
  <c r="AS139" i="19"/>
  <c r="AS94" i="19"/>
  <c r="AS44" i="19"/>
  <c r="AS42" i="19"/>
  <c r="AS24" i="19"/>
  <c r="S32" i="12"/>
  <c r="S31" i="12"/>
  <c r="S30" i="12"/>
  <c r="S29" i="12"/>
  <c r="S28" i="12"/>
  <c r="S27" i="12"/>
  <c r="S26" i="12"/>
  <c r="S25" i="12"/>
  <c r="S24" i="12"/>
  <c r="R10" i="32"/>
  <c r="R9" i="32"/>
  <c r="R8" i="32"/>
  <c r="R7" i="32"/>
  <c r="H6" i="28"/>
  <c r="H4" i="28"/>
  <c r="K5" i="26"/>
  <c r="J4" i="27"/>
  <c r="AS171" i="19"/>
  <c r="N132" i="19" l="1"/>
  <c r="M132" i="19"/>
  <c r="L132" i="19"/>
  <c r="K132" i="19"/>
  <c r="J132" i="19"/>
  <c r="I132" i="19"/>
  <c r="H132" i="19"/>
  <c r="G132" i="19"/>
  <c r="F132" i="19"/>
  <c r="E132" i="19"/>
  <c r="D132" i="19"/>
  <c r="C132" i="19"/>
  <c r="N126" i="19"/>
  <c r="M126" i="19"/>
  <c r="L126" i="19"/>
  <c r="K126" i="19"/>
  <c r="J126" i="19"/>
  <c r="I126" i="19"/>
  <c r="H126" i="19"/>
  <c r="G126" i="19"/>
  <c r="F126" i="19"/>
  <c r="E126" i="19"/>
  <c r="D126" i="19"/>
  <c r="C126" i="19"/>
  <c r="O105" i="19"/>
  <c r="O104" i="19"/>
  <c r="O103" i="19"/>
  <c r="O102" i="19"/>
  <c r="O101" i="19"/>
  <c r="O99" i="19"/>
  <c r="O98" i="19"/>
  <c r="O97" i="19"/>
  <c r="O96" i="19"/>
  <c r="O95" i="19"/>
  <c r="O121" i="19"/>
  <c r="O120" i="19"/>
  <c r="O119" i="19"/>
  <c r="O118" i="19"/>
  <c r="O117" i="19"/>
  <c r="O115" i="19"/>
  <c r="O114" i="19"/>
  <c r="O113" i="19"/>
  <c r="O112" i="19"/>
  <c r="O111" i="19"/>
  <c r="N100" i="19"/>
  <c r="M100" i="19"/>
  <c r="L100" i="19"/>
  <c r="K100" i="19"/>
  <c r="J100" i="19"/>
  <c r="I100" i="19"/>
  <c r="H100" i="19"/>
  <c r="G100" i="19"/>
  <c r="F100" i="19"/>
  <c r="E100" i="19"/>
  <c r="D100" i="19"/>
  <c r="C100" i="19"/>
  <c r="N116" i="19"/>
  <c r="M116" i="19"/>
  <c r="L116" i="19"/>
  <c r="K116" i="19"/>
  <c r="J116" i="19"/>
  <c r="I116" i="19"/>
  <c r="H116" i="19"/>
  <c r="G116" i="19"/>
  <c r="F116" i="19"/>
  <c r="E116" i="19"/>
  <c r="D116" i="19"/>
  <c r="C116" i="19"/>
  <c r="N94" i="19"/>
  <c r="M94" i="19"/>
  <c r="L94" i="19"/>
  <c r="K94" i="19"/>
  <c r="J94" i="19"/>
  <c r="I94" i="19"/>
  <c r="H94" i="19"/>
  <c r="G94" i="19"/>
  <c r="F94" i="19"/>
  <c r="E94" i="19"/>
  <c r="D94" i="19"/>
  <c r="C94" i="19"/>
  <c r="O94" i="19" s="1"/>
  <c r="N110" i="19"/>
  <c r="M110" i="19"/>
  <c r="L110" i="19"/>
  <c r="K110" i="19"/>
  <c r="J110" i="19"/>
  <c r="I110" i="19"/>
  <c r="H110" i="19"/>
  <c r="G110" i="19"/>
  <c r="F110" i="19"/>
  <c r="E110" i="19"/>
  <c r="D110" i="19"/>
  <c r="C110" i="19"/>
  <c r="AA122" i="11"/>
  <c r="Z122" i="11"/>
  <c r="Y122" i="11"/>
  <c r="X122" i="11"/>
  <c r="W122" i="11"/>
  <c r="V122" i="11"/>
  <c r="U122" i="11"/>
  <c r="T122" i="11"/>
  <c r="S122" i="11"/>
  <c r="R122" i="11"/>
  <c r="Q122" i="11"/>
  <c r="P122" i="11"/>
  <c r="AA121" i="11"/>
  <c r="Z121" i="11"/>
  <c r="Y121" i="11"/>
  <c r="X121" i="11"/>
  <c r="W121" i="11"/>
  <c r="V121" i="11"/>
  <c r="U121" i="11"/>
  <c r="T121" i="11"/>
  <c r="S121" i="11"/>
  <c r="R121" i="11"/>
  <c r="Q121" i="11"/>
  <c r="P121" i="11"/>
  <c r="AA120" i="11"/>
  <c r="Z120" i="11"/>
  <c r="Y120" i="11"/>
  <c r="X120" i="11"/>
  <c r="W120" i="11"/>
  <c r="V120" i="11"/>
  <c r="U120" i="11"/>
  <c r="T120" i="11"/>
  <c r="S120" i="11"/>
  <c r="R120" i="11"/>
  <c r="Q120" i="11"/>
  <c r="P120" i="11"/>
  <c r="AA119" i="11"/>
  <c r="Z119" i="11"/>
  <c r="Y119" i="11"/>
  <c r="X119" i="11"/>
  <c r="W119" i="11"/>
  <c r="V119" i="11"/>
  <c r="U119" i="11"/>
  <c r="T119" i="11"/>
  <c r="S119" i="11"/>
  <c r="R119" i="11"/>
  <c r="Q119" i="11"/>
  <c r="P119" i="11"/>
  <c r="AA118" i="11"/>
  <c r="Z118" i="11"/>
  <c r="Y118" i="11"/>
  <c r="X118" i="11"/>
  <c r="W118" i="11"/>
  <c r="V118" i="11"/>
  <c r="U118" i="11"/>
  <c r="T118" i="11"/>
  <c r="T117" i="11" s="1"/>
  <c r="S118" i="11"/>
  <c r="R118" i="11"/>
  <c r="Q118" i="11"/>
  <c r="P118" i="11"/>
  <c r="AA117" i="11"/>
  <c r="Z117" i="11"/>
  <c r="Y117" i="11"/>
  <c r="W117" i="11"/>
  <c r="V117" i="11"/>
  <c r="U117" i="11"/>
  <c r="S117" i="11"/>
  <c r="R117" i="11"/>
  <c r="Q117" i="11"/>
  <c r="P117" i="11"/>
  <c r="AA116" i="11"/>
  <c r="Z116" i="11"/>
  <c r="Y116" i="11"/>
  <c r="X116" i="11"/>
  <c r="W116" i="11"/>
  <c r="V116" i="11"/>
  <c r="U116" i="11"/>
  <c r="T116" i="11"/>
  <c r="S116" i="11"/>
  <c r="R116" i="11"/>
  <c r="Q116" i="11"/>
  <c r="P116" i="11"/>
  <c r="AA115" i="11"/>
  <c r="Z115" i="11"/>
  <c r="Y115" i="11"/>
  <c r="X115" i="11"/>
  <c r="W115" i="11"/>
  <c r="V115" i="11"/>
  <c r="U115" i="11"/>
  <c r="T115" i="11"/>
  <c r="S115" i="11"/>
  <c r="R115" i="11"/>
  <c r="Q115" i="11"/>
  <c r="P115" i="11"/>
  <c r="AA114" i="11"/>
  <c r="Z114" i="11"/>
  <c r="Y114" i="11"/>
  <c r="X114" i="11"/>
  <c r="W114" i="11"/>
  <c r="V114" i="11"/>
  <c r="U114" i="11"/>
  <c r="T114" i="11"/>
  <c r="S114" i="11"/>
  <c r="R114" i="11"/>
  <c r="Q114" i="11"/>
  <c r="P114" i="11"/>
  <c r="AA113" i="11"/>
  <c r="Z113" i="11"/>
  <c r="Y113" i="11"/>
  <c r="X113" i="11"/>
  <c r="W113" i="11"/>
  <c r="V113" i="11"/>
  <c r="U113" i="11"/>
  <c r="T113" i="11"/>
  <c r="S113" i="11"/>
  <c r="R113" i="11"/>
  <c r="Q113" i="11"/>
  <c r="P113" i="11"/>
  <c r="AA112" i="11"/>
  <c r="Z112" i="11"/>
  <c r="Y112" i="11"/>
  <c r="X112" i="11"/>
  <c r="W112" i="11"/>
  <c r="V112" i="11"/>
  <c r="U112" i="11"/>
  <c r="T112" i="11"/>
  <c r="S112" i="11"/>
  <c r="R112" i="11"/>
  <c r="Q112" i="11"/>
  <c r="P112" i="11"/>
  <c r="N122" i="11"/>
  <c r="M122" i="11"/>
  <c r="L122" i="11"/>
  <c r="K122" i="11"/>
  <c r="J122" i="11"/>
  <c r="I122" i="11"/>
  <c r="H122" i="11"/>
  <c r="G122" i="11"/>
  <c r="F122" i="11"/>
  <c r="E122" i="11"/>
  <c r="D122" i="11"/>
  <c r="C122" i="11"/>
  <c r="N121" i="11"/>
  <c r="M121" i="11"/>
  <c r="L121" i="11"/>
  <c r="K121" i="11"/>
  <c r="J121" i="11"/>
  <c r="I121" i="11"/>
  <c r="H121" i="11"/>
  <c r="G121" i="11"/>
  <c r="F121" i="11"/>
  <c r="E121" i="11"/>
  <c r="D121" i="11"/>
  <c r="C121" i="11"/>
  <c r="N120" i="11"/>
  <c r="M120" i="11"/>
  <c r="L120" i="11"/>
  <c r="K120" i="11"/>
  <c r="J120" i="11"/>
  <c r="I120" i="11"/>
  <c r="H120" i="11"/>
  <c r="G120" i="11"/>
  <c r="F120" i="11"/>
  <c r="E120" i="11"/>
  <c r="D120" i="11"/>
  <c r="C120" i="11"/>
  <c r="N118" i="11"/>
  <c r="M118" i="11"/>
  <c r="L118" i="11"/>
  <c r="K118" i="11"/>
  <c r="J118" i="11"/>
  <c r="I118" i="11"/>
  <c r="H118" i="11"/>
  <c r="G118" i="11"/>
  <c r="F118" i="11"/>
  <c r="E118" i="11"/>
  <c r="D118" i="11"/>
  <c r="C118" i="11"/>
  <c r="N116" i="11"/>
  <c r="M116" i="11"/>
  <c r="L116" i="11"/>
  <c r="K116" i="11"/>
  <c r="J116" i="11"/>
  <c r="I116" i="11"/>
  <c r="H116" i="11"/>
  <c r="G116" i="11"/>
  <c r="F116" i="11"/>
  <c r="E116" i="11"/>
  <c r="D116" i="11"/>
  <c r="C116" i="11"/>
  <c r="N115" i="11"/>
  <c r="M115" i="11"/>
  <c r="L115" i="11"/>
  <c r="K115" i="11"/>
  <c r="J115" i="11"/>
  <c r="I115" i="11"/>
  <c r="H115" i="11"/>
  <c r="G115" i="11"/>
  <c r="F115" i="11"/>
  <c r="E115" i="11"/>
  <c r="D115" i="11"/>
  <c r="C115" i="11"/>
  <c r="N114" i="11"/>
  <c r="M114" i="11"/>
  <c r="L114" i="11"/>
  <c r="K114" i="11"/>
  <c r="J114" i="11"/>
  <c r="I114" i="11"/>
  <c r="H114" i="11"/>
  <c r="G114" i="11"/>
  <c r="F114" i="11"/>
  <c r="E114" i="11"/>
  <c r="D114" i="11"/>
  <c r="C114" i="11"/>
  <c r="N113" i="11"/>
  <c r="M113" i="11"/>
  <c r="L113" i="11"/>
  <c r="K113" i="11"/>
  <c r="J113" i="11"/>
  <c r="I113" i="11"/>
  <c r="H113" i="11"/>
  <c r="G113" i="11"/>
  <c r="F113" i="11"/>
  <c r="E113" i="11"/>
  <c r="D113" i="11"/>
  <c r="C113" i="11"/>
  <c r="N112" i="11"/>
  <c r="M112" i="11"/>
  <c r="L112" i="11"/>
  <c r="K112" i="11"/>
  <c r="J112" i="11"/>
  <c r="I112" i="11"/>
  <c r="H112" i="11"/>
  <c r="G112" i="11"/>
  <c r="F112" i="11"/>
  <c r="E112" i="11"/>
  <c r="D112" i="11"/>
  <c r="C112" i="11"/>
  <c r="O110" i="19" l="1"/>
  <c r="O116" i="19"/>
  <c r="O100" i="19"/>
  <c r="X117" i="11"/>
  <c r="R11" i="32" l="1"/>
  <c r="R6" i="32"/>
  <c r="R4" i="32"/>
  <c r="C26" i="11" l="1"/>
  <c r="C32" i="11"/>
  <c r="S21" i="12" l="1"/>
  <c r="K4" i="26" l="1"/>
  <c r="K3" i="26"/>
  <c r="K2" i="26"/>
  <c r="J3" i="27"/>
  <c r="J2" i="27"/>
  <c r="H3" i="28"/>
  <c r="H2" i="28"/>
  <c r="AS239" i="19"/>
  <c r="AS232" i="19"/>
  <c r="AS92" i="19"/>
  <c r="AS107" i="19"/>
  <c r="AS39" i="19"/>
  <c r="AS43" i="19"/>
  <c r="AS23" i="19" l="1"/>
  <c r="AS8" i="19"/>
  <c r="AS7" i="19" l="1"/>
  <c r="S4" i="12" l="1"/>
  <c r="AB5" i="19" l="1"/>
  <c r="O5" i="19"/>
  <c r="H3" i="26" l="1"/>
  <c r="H4" i="26"/>
  <c r="H5" i="26"/>
  <c r="H6" i="26"/>
  <c r="H7" i="26"/>
  <c r="H8" i="26"/>
  <c r="H9" i="26"/>
  <c r="H10" i="26"/>
  <c r="H11" i="26"/>
  <c r="H12" i="26"/>
  <c r="H13" i="26"/>
  <c r="H14" i="26"/>
  <c r="H15" i="26"/>
  <c r="H16" i="26"/>
  <c r="H17" i="26"/>
  <c r="H18" i="26"/>
  <c r="H19" i="26"/>
  <c r="H20" i="26"/>
  <c r="H21" i="26"/>
  <c r="H22" i="26"/>
  <c r="H23" i="26"/>
  <c r="H24" i="26"/>
  <c r="H25" i="26"/>
  <c r="H26" i="26"/>
  <c r="H27" i="26"/>
  <c r="H28" i="26"/>
  <c r="H29" i="26"/>
  <c r="H30" i="26"/>
  <c r="H31" i="26"/>
  <c r="H32" i="26"/>
  <c r="H33" i="26"/>
  <c r="H34" i="26"/>
  <c r="H35" i="26"/>
  <c r="H36" i="26"/>
  <c r="H37" i="26"/>
  <c r="H38" i="26"/>
  <c r="H39" i="26"/>
  <c r="H40" i="26"/>
  <c r="H41" i="26"/>
  <c r="H42" i="26"/>
  <c r="H43" i="26"/>
  <c r="H44" i="26"/>
  <c r="H45" i="26"/>
  <c r="H46" i="26"/>
  <c r="H47" i="26"/>
  <c r="H48" i="26"/>
  <c r="H49" i="26"/>
  <c r="H50" i="26"/>
  <c r="H51" i="26"/>
  <c r="H52" i="26"/>
  <c r="H53" i="26"/>
  <c r="H54" i="26"/>
  <c r="H55" i="26"/>
  <c r="H56" i="26"/>
  <c r="H57" i="26"/>
  <c r="H58" i="26"/>
  <c r="H59" i="26"/>
  <c r="H60" i="26"/>
  <c r="H61" i="26"/>
  <c r="H62" i="26"/>
  <c r="H63" i="26"/>
  <c r="H64" i="26"/>
  <c r="H65" i="26"/>
  <c r="H66" i="26"/>
  <c r="H67" i="26"/>
  <c r="H68" i="26"/>
  <c r="H69" i="26"/>
  <c r="H70" i="26"/>
  <c r="H71" i="26"/>
  <c r="H72" i="26"/>
  <c r="H73" i="26"/>
  <c r="H74" i="26"/>
  <c r="H75" i="26"/>
  <c r="H2" i="26"/>
  <c r="AB4" i="19" l="1"/>
  <c r="C142" i="19" l="1"/>
  <c r="O4" i="19"/>
  <c r="N17" i="12"/>
  <c r="N11" i="12"/>
  <c r="N10" i="12"/>
  <c r="I17" i="12"/>
  <c r="I11" i="12"/>
  <c r="I10" i="12"/>
  <c r="C158" i="19" l="1"/>
  <c r="O88" i="19"/>
  <c r="C222" i="19"/>
  <c r="O89" i="19"/>
  <c r="E222" i="19"/>
  <c r="D142" i="19"/>
  <c r="D222" i="19"/>
  <c r="O230" i="19"/>
  <c r="C252" i="19"/>
  <c r="O229" i="19"/>
  <c r="O224" i="19"/>
  <c r="H12" i="12" l="1"/>
  <c r="J12" i="12" s="1"/>
  <c r="M12" i="12"/>
  <c r="O12" i="12" s="1"/>
  <c r="D158" i="19"/>
  <c r="E142" i="19"/>
  <c r="C242" i="19"/>
  <c r="F222" i="19"/>
  <c r="D252" i="19"/>
  <c r="C190" i="19"/>
  <c r="C10" i="19"/>
  <c r="D190" i="19" l="1"/>
  <c r="D10" i="19"/>
  <c r="C16" i="19"/>
  <c r="G222" i="19"/>
  <c r="F252" i="19"/>
  <c r="E158" i="19"/>
  <c r="D16" i="19"/>
  <c r="C148" i="19"/>
  <c r="E252" i="19"/>
  <c r="F142" i="19"/>
  <c r="D242" i="19"/>
  <c r="D258" i="19" l="1"/>
  <c r="G142" i="19"/>
  <c r="C258" i="19"/>
  <c r="F158" i="19"/>
  <c r="E242" i="19"/>
  <c r="C196" i="19"/>
  <c r="F10" i="19"/>
  <c r="E10" i="19"/>
  <c r="H222" i="19"/>
  <c r="C164" i="19"/>
  <c r="E16" i="19"/>
  <c r="E190" i="19"/>
  <c r="D196" i="19"/>
  <c r="D148" i="19"/>
  <c r="C12" i="12"/>
  <c r="E12" i="12" s="1"/>
  <c r="D164" i="19" l="1"/>
  <c r="G158" i="19"/>
  <c r="G252" i="19"/>
  <c r="G242" i="19"/>
  <c r="F242" i="19"/>
  <c r="F16" i="19"/>
  <c r="C247" i="19"/>
  <c r="I222" i="19"/>
  <c r="H142" i="19"/>
  <c r="F190" i="19"/>
  <c r="G10" i="19"/>
  <c r="E196" i="19"/>
  <c r="E148" i="19"/>
  <c r="E258" i="19"/>
  <c r="AC196" i="11"/>
  <c r="AC198" i="11" s="1"/>
  <c r="E164" i="19" l="1"/>
  <c r="H158" i="19"/>
  <c r="I142" i="19"/>
  <c r="H252" i="19"/>
  <c r="C259" i="19"/>
  <c r="D247" i="19"/>
  <c r="D259" i="19" s="1"/>
  <c r="F258" i="19"/>
  <c r="G16" i="19"/>
  <c r="J222" i="19"/>
  <c r="G190" i="19"/>
  <c r="F148" i="19"/>
  <c r="H10" i="19"/>
  <c r="G258" i="19" l="1"/>
  <c r="F164" i="19"/>
  <c r="I242" i="19"/>
  <c r="I158" i="19"/>
  <c r="G196" i="19"/>
  <c r="G148" i="19"/>
  <c r="K222" i="19"/>
  <c r="F196" i="19"/>
  <c r="I252" i="19"/>
  <c r="H190" i="19"/>
  <c r="H16" i="19"/>
  <c r="E247" i="19"/>
  <c r="H242" i="19"/>
  <c r="J142" i="19"/>
  <c r="P191" i="11"/>
  <c r="P190" i="11"/>
  <c r="C191" i="11"/>
  <c r="C190" i="11"/>
  <c r="H258" i="19" l="1"/>
  <c r="C189" i="11"/>
  <c r="I190" i="19"/>
  <c r="J158" i="19"/>
  <c r="K142" i="19"/>
  <c r="G164" i="19"/>
  <c r="F247" i="19"/>
  <c r="F259" i="19" s="1"/>
  <c r="I10" i="19"/>
  <c r="I16" i="19"/>
  <c r="J252" i="19"/>
  <c r="E259" i="19"/>
  <c r="H196" i="19"/>
  <c r="H148" i="19"/>
  <c r="L222" i="19"/>
  <c r="J10" i="19" l="1"/>
  <c r="H164" i="19"/>
  <c r="K242" i="19"/>
  <c r="L142" i="19"/>
  <c r="K252" i="19"/>
  <c r="K158" i="19"/>
  <c r="J16" i="19"/>
  <c r="J190" i="19"/>
  <c r="J242" i="19"/>
  <c r="I196" i="19"/>
  <c r="I148" i="19"/>
  <c r="I258" i="19"/>
  <c r="M222" i="19"/>
  <c r="O223" i="19"/>
  <c r="K10" i="19"/>
  <c r="G247" i="19"/>
  <c r="C95" i="11"/>
  <c r="J258" i="19" l="1"/>
  <c r="O169" i="19"/>
  <c r="I164" i="19"/>
  <c r="L158" i="19"/>
  <c r="K190" i="19"/>
  <c r="O144" i="19"/>
  <c r="AB144" i="19" s="1"/>
  <c r="K16" i="19"/>
  <c r="N222" i="19"/>
  <c r="J196" i="19"/>
  <c r="J148" i="19"/>
  <c r="M142" i="19"/>
  <c r="G259" i="19"/>
  <c r="H247" i="19"/>
  <c r="H259" i="19" s="1"/>
  <c r="O143" i="19"/>
  <c r="AB143" i="19" s="1"/>
  <c r="O146" i="19"/>
  <c r="AB146" i="19" s="1"/>
  <c r="L252" i="19"/>
  <c r="L10" i="19"/>
  <c r="C182" i="11"/>
  <c r="C181" i="11"/>
  <c r="C180" i="11"/>
  <c r="C183" i="11"/>
  <c r="C167" i="11"/>
  <c r="C166" i="11"/>
  <c r="C161" i="11"/>
  <c r="C160" i="11"/>
  <c r="D106" i="11"/>
  <c r="D105" i="11"/>
  <c r="D102" i="11"/>
  <c r="D99" i="11"/>
  <c r="D98" i="11"/>
  <c r="C90" i="11"/>
  <c r="C89" i="11"/>
  <c r="C88" i="11"/>
  <c r="C87" i="11"/>
  <c r="C86" i="11"/>
  <c r="C84" i="11"/>
  <c r="C83" i="11"/>
  <c r="C82" i="11"/>
  <c r="C81" i="11"/>
  <c r="C80" i="11"/>
  <c r="C111" i="11"/>
  <c r="AA58" i="11"/>
  <c r="Z58" i="11"/>
  <c r="Y58" i="11"/>
  <c r="X58" i="11"/>
  <c r="W58" i="11"/>
  <c r="V58" i="11"/>
  <c r="U58" i="11"/>
  <c r="T58" i="11"/>
  <c r="S58" i="11"/>
  <c r="R58" i="11"/>
  <c r="Q58" i="11"/>
  <c r="P58" i="11"/>
  <c r="D58" i="11"/>
  <c r="E58" i="11"/>
  <c r="F58" i="11"/>
  <c r="G58" i="11"/>
  <c r="H58" i="11"/>
  <c r="I58" i="11"/>
  <c r="J58" i="11"/>
  <c r="K58" i="11"/>
  <c r="L58" i="11"/>
  <c r="M58" i="11"/>
  <c r="N58" i="11"/>
  <c r="C58" i="11"/>
  <c r="AA57" i="11"/>
  <c r="Z57" i="11"/>
  <c r="Y57" i="11"/>
  <c r="X57" i="11"/>
  <c r="W57" i="11"/>
  <c r="V57" i="11"/>
  <c r="U57" i="11"/>
  <c r="T57" i="11"/>
  <c r="S57" i="11"/>
  <c r="R57" i="11"/>
  <c r="Q57" i="11"/>
  <c r="P57" i="11"/>
  <c r="D57" i="11"/>
  <c r="E57" i="11"/>
  <c r="F57" i="11"/>
  <c r="G57" i="11"/>
  <c r="H57" i="11"/>
  <c r="I57" i="11"/>
  <c r="J57" i="11"/>
  <c r="K57" i="11"/>
  <c r="L57" i="11"/>
  <c r="M57" i="11"/>
  <c r="N57" i="11"/>
  <c r="C57" i="11"/>
  <c r="C144" i="11" l="1"/>
  <c r="C145" i="11"/>
  <c r="C146" i="11"/>
  <c r="C147" i="11"/>
  <c r="C148" i="11"/>
  <c r="C68" i="11" s="1"/>
  <c r="C150" i="11"/>
  <c r="C151" i="11"/>
  <c r="C152" i="11"/>
  <c r="C72" i="11" s="1"/>
  <c r="C153" i="11"/>
  <c r="C73" i="11" s="1"/>
  <c r="C154" i="11"/>
  <c r="K258" i="19"/>
  <c r="D166" i="11"/>
  <c r="D167" i="11"/>
  <c r="D160" i="11"/>
  <c r="D161" i="11"/>
  <c r="E161" i="11" s="1"/>
  <c r="O222" i="19"/>
  <c r="O162" i="19"/>
  <c r="O160" i="19"/>
  <c r="J164" i="19"/>
  <c r="L242" i="19"/>
  <c r="M158" i="19"/>
  <c r="C85" i="11"/>
  <c r="M252" i="19"/>
  <c r="O133" i="19"/>
  <c r="O131" i="19"/>
  <c r="O149" i="19"/>
  <c r="AB149" i="19" s="1"/>
  <c r="I247" i="19"/>
  <c r="I259" i="19" s="1"/>
  <c r="M10" i="19"/>
  <c r="O137" i="19"/>
  <c r="O254" i="19"/>
  <c r="O153" i="19"/>
  <c r="AB153" i="19" s="1"/>
  <c r="O134" i="19"/>
  <c r="O151" i="19"/>
  <c r="AB151" i="19" s="1"/>
  <c r="O147" i="19"/>
  <c r="AB147" i="19" s="1"/>
  <c r="O135" i="19"/>
  <c r="N142" i="19"/>
  <c r="L16" i="19"/>
  <c r="O152" i="19"/>
  <c r="AB152" i="19" s="1"/>
  <c r="O159" i="19"/>
  <c r="L190" i="19"/>
  <c r="O145" i="19"/>
  <c r="AB145" i="19" s="1"/>
  <c r="K196" i="19"/>
  <c r="K148" i="19"/>
  <c r="C179" i="11"/>
  <c r="D190" i="11"/>
  <c r="D191" i="11"/>
  <c r="E98" i="11"/>
  <c r="E105" i="11"/>
  <c r="E106" i="11"/>
  <c r="C159" i="11"/>
  <c r="D86" i="11"/>
  <c r="D88" i="11"/>
  <c r="D81" i="11"/>
  <c r="D89" i="11"/>
  <c r="D82" i="11"/>
  <c r="D90" i="11"/>
  <c r="D80" i="11"/>
  <c r="D84" i="11"/>
  <c r="E99" i="11"/>
  <c r="Q105" i="11"/>
  <c r="Q106" i="11"/>
  <c r="C79" i="11"/>
  <c r="D100" i="11"/>
  <c r="D83" i="11"/>
  <c r="D87" i="11"/>
  <c r="E102" i="11"/>
  <c r="D96" i="11"/>
  <c r="D97" i="11"/>
  <c r="D104" i="11"/>
  <c r="O57" i="11"/>
  <c r="AB57" i="11"/>
  <c r="AB58" i="11"/>
  <c r="AB142" i="19" l="1"/>
  <c r="D151" i="11"/>
  <c r="D147" i="11"/>
  <c r="D67" i="11" s="1"/>
  <c r="D148" i="11"/>
  <c r="D144" i="11"/>
  <c r="D64" i="11" s="1"/>
  <c r="D154" i="11"/>
  <c r="D74" i="11" s="1"/>
  <c r="D146" i="11"/>
  <c r="D66" i="11" s="1"/>
  <c r="D153" i="11"/>
  <c r="D145" i="11"/>
  <c r="D152" i="11"/>
  <c r="D150" i="11"/>
  <c r="C74" i="11"/>
  <c r="C149" i="11"/>
  <c r="C70" i="11"/>
  <c r="C67" i="11"/>
  <c r="C66" i="11"/>
  <c r="C65" i="11"/>
  <c r="C143" i="11"/>
  <c r="C64" i="11"/>
  <c r="D159" i="11"/>
  <c r="L258" i="19"/>
  <c r="F161" i="11"/>
  <c r="E160" i="11"/>
  <c r="E159" i="11" s="1"/>
  <c r="E81" i="11"/>
  <c r="E167" i="11"/>
  <c r="E82" i="11"/>
  <c r="E166" i="11"/>
  <c r="O199" i="19"/>
  <c r="O201" i="19"/>
  <c r="O128" i="19"/>
  <c r="O195" i="19"/>
  <c r="M190" i="19"/>
  <c r="C11" i="12"/>
  <c r="E11" i="12" s="1"/>
  <c r="O163" i="19"/>
  <c r="O168" i="19"/>
  <c r="O161" i="19"/>
  <c r="K164" i="19"/>
  <c r="O167" i="19"/>
  <c r="O142" i="19"/>
  <c r="D85" i="11"/>
  <c r="J247" i="19"/>
  <c r="J259" i="19" s="1"/>
  <c r="M242" i="19"/>
  <c r="O15" i="19"/>
  <c r="O136" i="19"/>
  <c r="O127" i="19"/>
  <c r="O165" i="19"/>
  <c r="O14" i="19"/>
  <c r="O246" i="19"/>
  <c r="O245" i="19"/>
  <c r="O244" i="19"/>
  <c r="O12" i="19"/>
  <c r="N158" i="19"/>
  <c r="N252" i="19"/>
  <c r="O253" i="19"/>
  <c r="O13" i="19"/>
  <c r="L196" i="19"/>
  <c r="L148" i="19"/>
  <c r="M16" i="19"/>
  <c r="O197" i="19"/>
  <c r="O129" i="19"/>
  <c r="O130" i="19"/>
  <c r="Q191" i="11"/>
  <c r="Q190" i="11"/>
  <c r="E191" i="11"/>
  <c r="E190" i="11"/>
  <c r="E104" i="11"/>
  <c r="R105" i="11"/>
  <c r="F105" i="11"/>
  <c r="F98" i="11"/>
  <c r="R106" i="11"/>
  <c r="F106" i="11"/>
  <c r="E86" i="11"/>
  <c r="E89" i="11"/>
  <c r="E88" i="11"/>
  <c r="E84" i="11"/>
  <c r="D79" i="11"/>
  <c r="E90" i="11"/>
  <c r="E80" i="11"/>
  <c r="E97" i="11"/>
  <c r="E100" i="11"/>
  <c r="F99" i="11"/>
  <c r="D95" i="11"/>
  <c r="E96" i="11"/>
  <c r="Q104" i="11"/>
  <c r="F102" i="11"/>
  <c r="E87" i="11"/>
  <c r="E83" i="11"/>
  <c r="O58" i="11"/>
  <c r="E147" i="11" l="1"/>
  <c r="E151" i="11"/>
  <c r="E144" i="11"/>
  <c r="E154" i="11"/>
  <c r="E148" i="11"/>
  <c r="E68" i="11" s="1"/>
  <c r="E152" i="11"/>
  <c r="E72" i="11" s="1"/>
  <c r="E153" i="11"/>
  <c r="E73" i="11" s="1"/>
  <c r="E150" i="11"/>
  <c r="E146" i="11"/>
  <c r="F81" i="11"/>
  <c r="F145" i="11"/>
  <c r="E145" i="11"/>
  <c r="D149" i="11"/>
  <c r="D70" i="11"/>
  <c r="D72" i="11"/>
  <c r="D143" i="11"/>
  <c r="D65" i="11"/>
  <c r="D73" i="11"/>
  <c r="D68" i="11"/>
  <c r="D111" i="11"/>
  <c r="F82" i="11"/>
  <c r="M258" i="19"/>
  <c r="C10" i="12"/>
  <c r="G161" i="11"/>
  <c r="F89" i="11"/>
  <c r="F166" i="11"/>
  <c r="F160" i="11"/>
  <c r="F90" i="11"/>
  <c r="F167" i="11"/>
  <c r="F88" i="11"/>
  <c r="O132" i="19"/>
  <c r="O193" i="19"/>
  <c r="O158" i="19"/>
  <c r="O194" i="19"/>
  <c r="O192" i="19"/>
  <c r="O126" i="19"/>
  <c r="O200" i="19"/>
  <c r="O252" i="19"/>
  <c r="L164" i="19"/>
  <c r="F86" i="11"/>
  <c r="E85" i="11"/>
  <c r="O17" i="19"/>
  <c r="O237" i="19"/>
  <c r="N242" i="19"/>
  <c r="O243" i="19"/>
  <c r="O19" i="19"/>
  <c r="M196" i="19"/>
  <c r="M148" i="19"/>
  <c r="O20" i="19"/>
  <c r="O21" i="19"/>
  <c r="N10" i="19"/>
  <c r="O11" i="19"/>
  <c r="N190" i="19"/>
  <c r="O191" i="19"/>
  <c r="O18" i="19"/>
  <c r="K247" i="19"/>
  <c r="K259" i="19" s="1"/>
  <c r="R191" i="11"/>
  <c r="R190" i="11"/>
  <c r="F191" i="11"/>
  <c r="F190" i="11"/>
  <c r="D183" i="11"/>
  <c r="D182" i="11"/>
  <c r="D181" i="11"/>
  <c r="D180" i="11"/>
  <c r="G105" i="11"/>
  <c r="R104" i="11"/>
  <c r="S105" i="11"/>
  <c r="F104" i="11"/>
  <c r="G98" i="11"/>
  <c r="G106" i="11"/>
  <c r="S106" i="11"/>
  <c r="C63" i="11"/>
  <c r="F80" i="11"/>
  <c r="F84" i="11"/>
  <c r="G99" i="11"/>
  <c r="F100" i="11"/>
  <c r="F97" i="11"/>
  <c r="E79" i="11"/>
  <c r="F83" i="11"/>
  <c r="F87" i="11"/>
  <c r="G81" i="11"/>
  <c r="G82" i="11"/>
  <c r="G102" i="11"/>
  <c r="F96" i="11"/>
  <c r="E95" i="11"/>
  <c r="E10" i="12" l="1"/>
  <c r="F10" i="12"/>
  <c r="G145" i="11"/>
  <c r="F151" i="11"/>
  <c r="F147" i="11"/>
  <c r="F67" i="11" s="1"/>
  <c r="F148" i="11"/>
  <c r="F144" i="11"/>
  <c r="F150" i="11"/>
  <c r="F70" i="11" s="1"/>
  <c r="G88" i="11"/>
  <c r="G152" i="11"/>
  <c r="F152" i="11"/>
  <c r="F154" i="11"/>
  <c r="F74" i="11" s="1"/>
  <c r="G89" i="11"/>
  <c r="G153" i="11"/>
  <c r="F153" i="11"/>
  <c r="G146" i="11"/>
  <c r="G66" i="11" s="1"/>
  <c r="F146" i="11"/>
  <c r="F66" i="11" s="1"/>
  <c r="E65" i="11"/>
  <c r="F65" i="11"/>
  <c r="E143" i="11"/>
  <c r="E66" i="11"/>
  <c r="E149" i="11"/>
  <c r="E70" i="11"/>
  <c r="E74" i="11"/>
  <c r="E64" i="11"/>
  <c r="E67" i="11"/>
  <c r="G90" i="11"/>
  <c r="G160" i="11"/>
  <c r="F159" i="11"/>
  <c r="H161" i="11"/>
  <c r="G167" i="11"/>
  <c r="G166" i="11"/>
  <c r="O190" i="19"/>
  <c r="O242" i="19"/>
  <c r="M164" i="19"/>
  <c r="O235" i="19"/>
  <c r="G86" i="11"/>
  <c r="F85" i="11"/>
  <c r="L247" i="19"/>
  <c r="L259" i="19" s="1"/>
  <c r="O150" i="19"/>
  <c r="N148" i="19"/>
  <c r="N16" i="19"/>
  <c r="O10" i="19"/>
  <c r="S191" i="11"/>
  <c r="S190" i="11"/>
  <c r="G190" i="11"/>
  <c r="G191" i="11"/>
  <c r="E181" i="11"/>
  <c r="E180" i="11"/>
  <c r="E182" i="11"/>
  <c r="E183" i="11"/>
  <c r="D179" i="11"/>
  <c r="G104" i="11"/>
  <c r="H105" i="11"/>
  <c r="E111" i="11"/>
  <c r="T105" i="11"/>
  <c r="H98" i="11"/>
  <c r="S104" i="11"/>
  <c r="T106" i="11"/>
  <c r="H106" i="11"/>
  <c r="D63" i="11"/>
  <c r="F79" i="11"/>
  <c r="G84" i="11"/>
  <c r="G80" i="11"/>
  <c r="G97" i="11"/>
  <c r="H99" i="11"/>
  <c r="G100" i="11"/>
  <c r="H102" i="11"/>
  <c r="H88" i="11"/>
  <c r="H82" i="11"/>
  <c r="H89" i="11"/>
  <c r="G83" i="11"/>
  <c r="H81" i="11"/>
  <c r="G87" i="11"/>
  <c r="G96" i="11"/>
  <c r="F95" i="11"/>
  <c r="H6" i="12" l="1"/>
  <c r="O148" i="19"/>
  <c r="AB150" i="19"/>
  <c r="AB148" i="19" s="1"/>
  <c r="G151" i="11"/>
  <c r="H145" i="11"/>
  <c r="G147" i="11"/>
  <c r="H153" i="11"/>
  <c r="H73" i="11" s="1"/>
  <c r="H146" i="11"/>
  <c r="H152" i="11"/>
  <c r="G144" i="11"/>
  <c r="G148" i="11"/>
  <c r="G68" i="11" s="1"/>
  <c r="G150" i="11"/>
  <c r="G154" i="11"/>
  <c r="F73" i="11"/>
  <c r="G73" i="11"/>
  <c r="F149" i="11"/>
  <c r="F72" i="11"/>
  <c r="G72" i="11"/>
  <c r="F143" i="11"/>
  <c r="F64" i="11"/>
  <c r="F68" i="11"/>
  <c r="G143" i="11"/>
  <c r="G65" i="11"/>
  <c r="H90" i="11"/>
  <c r="O16" i="19"/>
  <c r="H5" i="12"/>
  <c r="H166" i="11"/>
  <c r="F111" i="11"/>
  <c r="H167" i="11"/>
  <c r="I161" i="11"/>
  <c r="H160" i="11"/>
  <c r="G159" i="11"/>
  <c r="M247" i="19"/>
  <c r="M259" i="19" s="1"/>
  <c r="G85" i="11"/>
  <c r="H86" i="11"/>
  <c r="N258" i="19"/>
  <c r="O166" i="19"/>
  <c r="N164" i="19"/>
  <c r="O164" i="19" s="1"/>
  <c r="O198" i="19"/>
  <c r="N196" i="19"/>
  <c r="O196" i="19" s="1"/>
  <c r="O251" i="19"/>
  <c r="O250" i="19"/>
  <c r="O249" i="19"/>
  <c r="T191" i="11"/>
  <c r="T190" i="11"/>
  <c r="E179" i="11"/>
  <c r="F180" i="11"/>
  <c r="F183" i="11"/>
  <c r="F182" i="11"/>
  <c r="F181" i="11"/>
  <c r="H190" i="11"/>
  <c r="H191" i="11"/>
  <c r="T104" i="11"/>
  <c r="U105" i="11"/>
  <c r="I105" i="11"/>
  <c r="I98" i="11"/>
  <c r="H104" i="11"/>
  <c r="U106" i="11"/>
  <c r="I106" i="11"/>
  <c r="E63" i="11"/>
  <c r="H84" i="11"/>
  <c r="H80" i="11"/>
  <c r="H100" i="11"/>
  <c r="H97" i="11"/>
  <c r="I99" i="11"/>
  <c r="H96" i="11"/>
  <c r="G95" i="11"/>
  <c r="I81" i="11"/>
  <c r="I102" i="11"/>
  <c r="I88" i="11"/>
  <c r="H83" i="11"/>
  <c r="G79" i="11"/>
  <c r="I82" i="11"/>
  <c r="I89" i="11"/>
  <c r="H87" i="11"/>
  <c r="K5" i="12" l="1"/>
  <c r="J5" i="12"/>
  <c r="H151" i="11"/>
  <c r="I153" i="11"/>
  <c r="I146" i="11"/>
  <c r="I66" i="11" s="1"/>
  <c r="H147" i="11"/>
  <c r="H67" i="11" s="1"/>
  <c r="I152" i="11"/>
  <c r="I145" i="11"/>
  <c r="H144" i="11"/>
  <c r="H148" i="11"/>
  <c r="H150" i="11"/>
  <c r="I90" i="11"/>
  <c r="I154" i="11"/>
  <c r="H154" i="11"/>
  <c r="H74" i="11" s="1"/>
  <c r="G74" i="11"/>
  <c r="G149" i="11"/>
  <c r="G70" i="11"/>
  <c r="G64" i="11"/>
  <c r="H72" i="11"/>
  <c r="H66" i="11"/>
  <c r="G67" i="11"/>
  <c r="H65" i="11"/>
  <c r="O258" i="19"/>
  <c r="M5" i="12"/>
  <c r="J161" i="11"/>
  <c r="I160" i="11"/>
  <c r="H159" i="11"/>
  <c r="I167" i="11"/>
  <c r="I166" i="11"/>
  <c r="H85" i="11"/>
  <c r="I86" i="11"/>
  <c r="N247" i="19"/>
  <c r="O247" i="19" s="1"/>
  <c r="O248" i="19"/>
  <c r="I190" i="11"/>
  <c r="I191" i="11"/>
  <c r="U190" i="11"/>
  <c r="U191" i="11"/>
  <c r="F179" i="11"/>
  <c r="G181" i="11"/>
  <c r="G183" i="11"/>
  <c r="G182" i="11"/>
  <c r="G180" i="11"/>
  <c r="G111" i="11"/>
  <c r="V105" i="11"/>
  <c r="I104" i="11"/>
  <c r="U104" i="11"/>
  <c r="J98" i="11"/>
  <c r="J105" i="11"/>
  <c r="J106" i="11"/>
  <c r="V106" i="11"/>
  <c r="F63" i="11"/>
  <c r="I80" i="11"/>
  <c r="I84" i="11"/>
  <c r="J99" i="11"/>
  <c r="I97" i="11"/>
  <c r="I100" i="11"/>
  <c r="J82" i="11"/>
  <c r="J88" i="11"/>
  <c r="J89" i="11"/>
  <c r="J90" i="11"/>
  <c r="I87" i="11"/>
  <c r="I83" i="11"/>
  <c r="H79" i="11"/>
  <c r="I96" i="11"/>
  <c r="H95" i="11"/>
  <c r="J102" i="11"/>
  <c r="J81" i="11"/>
  <c r="P5" i="12" l="1"/>
  <c r="O5" i="12"/>
  <c r="J145" i="11"/>
  <c r="I147" i="11"/>
  <c r="I151" i="11"/>
  <c r="J154" i="11"/>
  <c r="J153" i="11"/>
  <c r="J73" i="11" s="1"/>
  <c r="J152" i="11"/>
  <c r="J146" i="11"/>
  <c r="I148" i="11"/>
  <c r="I68" i="11" s="1"/>
  <c r="I144" i="11"/>
  <c r="I150" i="11"/>
  <c r="I74" i="11"/>
  <c r="H149" i="11"/>
  <c r="H70" i="11"/>
  <c r="H68" i="11"/>
  <c r="H143" i="11"/>
  <c r="H64" i="11"/>
  <c r="I65" i="11"/>
  <c r="I149" i="11"/>
  <c r="I72" i="11"/>
  <c r="I73" i="11"/>
  <c r="J160" i="11"/>
  <c r="I159" i="11"/>
  <c r="J167" i="11"/>
  <c r="J166" i="11"/>
  <c r="K161" i="11"/>
  <c r="I85" i="11"/>
  <c r="J86" i="11"/>
  <c r="N259" i="19"/>
  <c r="J190" i="11"/>
  <c r="J191" i="11"/>
  <c r="G179" i="11"/>
  <c r="H182" i="11"/>
  <c r="H183" i="11"/>
  <c r="H181" i="11"/>
  <c r="H180" i="11"/>
  <c r="V190" i="11"/>
  <c r="V191" i="11"/>
  <c r="H111" i="11"/>
  <c r="K98" i="11"/>
  <c r="J104" i="11"/>
  <c r="K105" i="11"/>
  <c r="W105" i="11"/>
  <c r="V104" i="11"/>
  <c r="W106" i="11"/>
  <c r="K106" i="11"/>
  <c r="G63" i="11"/>
  <c r="I79" i="11"/>
  <c r="J80" i="11"/>
  <c r="J84" i="11"/>
  <c r="J100" i="11"/>
  <c r="K99" i="11"/>
  <c r="J97" i="11"/>
  <c r="K89" i="11"/>
  <c r="K82" i="11"/>
  <c r="K81" i="11"/>
  <c r="K102" i="11"/>
  <c r="J96" i="11"/>
  <c r="I95" i="11"/>
  <c r="J87" i="11"/>
  <c r="J83" i="11"/>
  <c r="K90" i="11"/>
  <c r="K88" i="11"/>
  <c r="K152" i="11" l="1"/>
  <c r="K154" i="11"/>
  <c r="K74" i="11" s="1"/>
  <c r="J147" i="11"/>
  <c r="J67" i="11" s="1"/>
  <c r="J151" i="11"/>
  <c r="K145" i="11"/>
  <c r="K146" i="11"/>
  <c r="K66" i="11" s="1"/>
  <c r="K153" i="11"/>
  <c r="J148" i="11"/>
  <c r="J144" i="11"/>
  <c r="J64" i="11" s="1"/>
  <c r="J150" i="11"/>
  <c r="I70" i="11"/>
  <c r="I143" i="11"/>
  <c r="I64" i="11"/>
  <c r="J143" i="11"/>
  <c r="J66" i="11"/>
  <c r="J72" i="11"/>
  <c r="J74" i="11"/>
  <c r="I67" i="11"/>
  <c r="J65" i="11"/>
  <c r="O259" i="19"/>
  <c r="L161" i="11"/>
  <c r="K167" i="11"/>
  <c r="K160" i="11"/>
  <c r="J159" i="11"/>
  <c r="K166" i="11"/>
  <c r="J85" i="11"/>
  <c r="K86" i="11"/>
  <c r="K191" i="11"/>
  <c r="K190" i="11"/>
  <c r="W190" i="11"/>
  <c r="W191" i="11"/>
  <c r="I183" i="11"/>
  <c r="I182" i="11"/>
  <c r="I181" i="11"/>
  <c r="I180" i="11"/>
  <c r="H179" i="11"/>
  <c r="I111" i="11"/>
  <c r="W104" i="11"/>
  <c r="K104" i="11"/>
  <c r="X105" i="11"/>
  <c r="L105" i="11"/>
  <c r="L98" i="11"/>
  <c r="L106" i="11"/>
  <c r="X106" i="11"/>
  <c r="H63" i="11"/>
  <c r="K84" i="11"/>
  <c r="K80" i="11"/>
  <c r="L99" i="11"/>
  <c r="K100" i="11"/>
  <c r="K97" i="11"/>
  <c r="K83" i="11"/>
  <c r="L81" i="11"/>
  <c r="J95" i="11"/>
  <c r="K96" i="11"/>
  <c r="L88" i="11"/>
  <c r="L90" i="11"/>
  <c r="J79" i="11"/>
  <c r="L89" i="11"/>
  <c r="K87" i="11"/>
  <c r="L102" i="11"/>
  <c r="L82" i="11"/>
  <c r="L146" i="11" l="1"/>
  <c r="K151" i="11"/>
  <c r="L153" i="11"/>
  <c r="L73" i="11" s="1"/>
  <c r="L154" i="11"/>
  <c r="L152" i="11"/>
  <c r="L145" i="11"/>
  <c r="K147" i="11"/>
  <c r="K144" i="11"/>
  <c r="K148" i="11"/>
  <c r="K68" i="11" s="1"/>
  <c r="K150" i="11"/>
  <c r="J149" i="11"/>
  <c r="J70" i="11"/>
  <c r="J68" i="11"/>
  <c r="K73" i="11"/>
  <c r="K65" i="11"/>
  <c r="K72" i="11"/>
  <c r="L160" i="11"/>
  <c r="K159" i="11"/>
  <c r="M161" i="11"/>
  <c r="I179" i="11"/>
  <c r="L167" i="11"/>
  <c r="L166" i="11"/>
  <c r="K85" i="11"/>
  <c r="L86" i="11"/>
  <c r="L190" i="11"/>
  <c r="L191" i="11"/>
  <c r="J180" i="11"/>
  <c r="J183" i="11"/>
  <c r="J182" i="11"/>
  <c r="J181" i="11"/>
  <c r="X190" i="11"/>
  <c r="X191" i="11"/>
  <c r="J111" i="11"/>
  <c r="Y105" i="11"/>
  <c r="M98" i="11"/>
  <c r="L104" i="11"/>
  <c r="M105" i="11"/>
  <c r="X104" i="11"/>
  <c r="Y106" i="11"/>
  <c r="M106" i="11"/>
  <c r="I63" i="11"/>
  <c r="L80" i="11"/>
  <c r="L84" i="11"/>
  <c r="K79" i="11"/>
  <c r="L100" i="11"/>
  <c r="L97" i="11"/>
  <c r="M99" i="11"/>
  <c r="L87" i="11"/>
  <c r="M88" i="11"/>
  <c r="M90" i="11"/>
  <c r="K95" i="11"/>
  <c r="L96" i="11"/>
  <c r="M81" i="11"/>
  <c r="M102" i="11"/>
  <c r="M89" i="11"/>
  <c r="L83" i="11"/>
  <c r="P111" i="11"/>
  <c r="M82" i="11"/>
  <c r="M146" i="11" l="1"/>
  <c r="L147" i="11"/>
  <c r="L67" i="11" s="1"/>
  <c r="M153" i="11"/>
  <c r="M145" i="11"/>
  <c r="M154" i="11"/>
  <c r="M74" i="11" s="1"/>
  <c r="M152" i="11"/>
  <c r="L151" i="11"/>
  <c r="L148" i="11"/>
  <c r="L144" i="11"/>
  <c r="L64" i="11" s="1"/>
  <c r="L150" i="11"/>
  <c r="K149" i="11"/>
  <c r="K70" i="11"/>
  <c r="K143" i="11"/>
  <c r="K64" i="11"/>
  <c r="K67" i="11"/>
  <c r="L143" i="11"/>
  <c r="L65" i="11"/>
  <c r="L72" i="11"/>
  <c r="L74" i="11"/>
  <c r="L66" i="11"/>
  <c r="M166" i="11"/>
  <c r="M167" i="11"/>
  <c r="N161" i="11"/>
  <c r="O161" i="11" s="1"/>
  <c r="M160" i="11"/>
  <c r="L159" i="11"/>
  <c r="M86" i="11"/>
  <c r="L85" i="11"/>
  <c r="K180" i="11"/>
  <c r="K183" i="11"/>
  <c r="K182" i="11"/>
  <c r="K181" i="11"/>
  <c r="J179" i="11"/>
  <c r="Y191" i="11"/>
  <c r="Y190" i="11"/>
  <c r="M191" i="11"/>
  <c r="M190" i="11"/>
  <c r="K111" i="11"/>
  <c r="M104" i="11"/>
  <c r="N105" i="11"/>
  <c r="Y104" i="11"/>
  <c r="N98" i="11"/>
  <c r="Z105" i="11"/>
  <c r="N106" i="11"/>
  <c r="Z106" i="11"/>
  <c r="J63" i="11"/>
  <c r="L79" i="11"/>
  <c r="M80" i="11"/>
  <c r="M84" i="11"/>
  <c r="N99" i="11"/>
  <c r="M97" i="11"/>
  <c r="M100" i="11"/>
  <c r="N88" i="11"/>
  <c r="N82" i="11"/>
  <c r="M83" i="11"/>
  <c r="N102" i="11"/>
  <c r="N81" i="11"/>
  <c r="N90" i="11"/>
  <c r="N89" i="11"/>
  <c r="L95" i="11"/>
  <c r="M96" i="11"/>
  <c r="M87" i="11"/>
  <c r="M151" i="11" l="1"/>
  <c r="N153" i="11"/>
  <c r="N73" i="11" s="1"/>
  <c r="N154" i="11"/>
  <c r="N145" i="11"/>
  <c r="M147" i="11"/>
  <c r="N146" i="11"/>
  <c r="N152" i="11"/>
  <c r="M148" i="11"/>
  <c r="M68" i="11" s="1"/>
  <c r="M144" i="11"/>
  <c r="M150" i="11"/>
  <c r="L149" i="11"/>
  <c r="L70" i="11"/>
  <c r="L68" i="11"/>
  <c r="O152" i="11"/>
  <c r="M72" i="11"/>
  <c r="M65" i="11"/>
  <c r="O153" i="11"/>
  <c r="M73" i="11"/>
  <c r="O73" i="11" s="1"/>
  <c r="M143" i="11"/>
  <c r="M66" i="11"/>
  <c r="N166" i="11"/>
  <c r="P161" i="11"/>
  <c r="Q161" i="11" s="1"/>
  <c r="R161" i="11" s="1"/>
  <c r="S161" i="11" s="1"/>
  <c r="T161" i="11" s="1"/>
  <c r="O81" i="11"/>
  <c r="O129" i="11" s="1"/>
  <c r="O122" i="11"/>
  <c r="N167" i="11"/>
  <c r="N160" i="11"/>
  <c r="M159" i="11"/>
  <c r="K179" i="11"/>
  <c r="M85" i="11"/>
  <c r="N86" i="11"/>
  <c r="L180" i="11"/>
  <c r="L183" i="11"/>
  <c r="L182" i="11"/>
  <c r="L181" i="11"/>
  <c r="N191" i="11"/>
  <c r="N190" i="11"/>
  <c r="Z191" i="11"/>
  <c r="Z190" i="11"/>
  <c r="L111" i="11"/>
  <c r="AA105" i="11"/>
  <c r="Z104" i="11"/>
  <c r="O99" i="11"/>
  <c r="O105" i="11"/>
  <c r="Q98" i="11"/>
  <c r="O98" i="11"/>
  <c r="N104" i="11"/>
  <c r="AA106" i="11"/>
  <c r="O106" i="11"/>
  <c r="K63" i="11"/>
  <c r="N84" i="11"/>
  <c r="O102" i="11"/>
  <c r="N80" i="11"/>
  <c r="M79" i="11"/>
  <c r="N97" i="11"/>
  <c r="Q99" i="11"/>
  <c r="N100" i="11"/>
  <c r="P89" i="11"/>
  <c r="O89" i="11"/>
  <c r="O137" i="11" s="1"/>
  <c r="P82" i="11"/>
  <c r="O82" i="11"/>
  <c r="O130" i="11" s="1"/>
  <c r="N87" i="11"/>
  <c r="N96" i="11"/>
  <c r="M95" i="11"/>
  <c r="P90" i="11"/>
  <c r="O90" i="11"/>
  <c r="O138" i="11" s="1"/>
  <c r="N83" i="11"/>
  <c r="P88" i="11"/>
  <c r="O88" i="11"/>
  <c r="O136" i="11" s="1"/>
  <c r="P81" i="11"/>
  <c r="P145" i="11" l="1"/>
  <c r="P65" i="11" s="1"/>
  <c r="H136" i="11"/>
  <c r="I136" i="11"/>
  <c r="G136" i="11"/>
  <c r="C136" i="11"/>
  <c r="J136" i="11"/>
  <c r="K136" i="11"/>
  <c r="D136" i="11"/>
  <c r="L136" i="11"/>
  <c r="E136" i="11"/>
  <c r="M136" i="11"/>
  <c r="F136" i="11"/>
  <c r="N136" i="11"/>
  <c r="P152" i="11"/>
  <c r="N147" i="11"/>
  <c r="N67" i="11" s="1"/>
  <c r="L138" i="11"/>
  <c r="M138" i="11"/>
  <c r="G138" i="11"/>
  <c r="E138" i="11"/>
  <c r="C138" i="11"/>
  <c r="F138" i="11"/>
  <c r="N138" i="11"/>
  <c r="H138" i="11"/>
  <c r="I138" i="11"/>
  <c r="J138" i="11"/>
  <c r="K138" i="11"/>
  <c r="D138" i="11"/>
  <c r="P154" i="11"/>
  <c r="N151" i="11"/>
  <c r="L130" i="11"/>
  <c r="M130" i="11"/>
  <c r="G130" i="11"/>
  <c r="E130" i="11"/>
  <c r="F130" i="11"/>
  <c r="N130" i="11"/>
  <c r="H130" i="11"/>
  <c r="I130" i="11"/>
  <c r="J130" i="11"/>
  <c r="C130" i="11"/>
  <c r="K130" i="11"/>
  <c r="D130" i="11"/>
  <c r="P146" i="11"/>
  <c r="P66" i="11" s="1"/>
  <c r="N137" i="11"/>
  <c r="H137" i="11"/>
  <c r="I137" i="11"/>
  <c r="J137" i="11"/>
  <c r="C137" i="11"/>
  <c r="K137" i="11"/>
  <c r="D137" i="11"/>
  <c r="L137" i="11"/>
  <c r="E137" i="11"/>
  <c r="M137" i="11"/>
  <c r="G137" i="11"/>
  <c r="F137" i="11"/>
  <c r="P153" i="11"/>
  <c r="P73" i="11" s="1"/>
  <c r="N144" i="11"/>
  <c r="N148" i="11"/>
  <c r="N150" i="11"/>
  <c r="N70" i="11" s="1"/>
  <c r="N129" i="11"/>
  <c r="H129" i="11"/>
  <c r="I129" i="11"/>
  <c r="J129" i="11"/>
  <c r="C129" i="11"/>
  <c r="K129" i="11"/>
  <c r="D129" i="11"/>
  <c r="L129" i="11"/>
  <c r="G129" i="11"/>
  <c r="E129" i="11"/>
  <c r="M129" i="11"/>
  <c r="F129" i="11"/>
  <c r="M149" i="11"/>
  <c r="O150" i="11"/>
  <c r="M70" i="11"/>
  <c r="O144" i="11"/>
  <c r="M64" i="11"/>
  <c r="N149" i="11"/>
  <c r="N72" i="11"/>
  <c r="O72" i="11" s="1"/>
  <c r="O146" i="11"/>
  <c r="N66" i="11"/>
  <c r="O66" i="11" s="1"/>
  <c r="O147" i="11"/>
  <c r="M67" i="11"/>
  <c r="O67" i="11" s="1"/>
  <c r="O145" i="11"/>
  <c r="N65" i="11"/>
  <c r="O65" i="11" s="1"/>
  <c r="O154" i="11"/>
  <c r="N74" i="11"/>
  <c r="O74" i="11" s="1"/>
  <c r="O151" i="11"/>
  <c r="O112" i="11"/>
  <c r="O121" i="11"/>
  <c r="P160" i="11"/>
  <c r="N159" i="11"/>
  <c r="O160" i="11"/>
  <c r="O115" i="11"/>
  <c r="P167" i="11"/>
  <c r="O167" i="11"/>
  <c r="O118" i="11"/>
  <c r="O80" i="11"/>
  <c r="O128" i="11" s="1"/>
  <c r="P166" i="11"/>
  <c r="O166" i="11"/>
  <c r="N85" i="11"/>
  <c r="O85" i="11" s="1"/>
  <c r="P86" i="11"/>
  <c r="O86" i="11"/>
  <c r="O134" i="11" s="1"/>
  <c r="M180" i="11"/>
  <c r="M181" i="11"/>
  <c r="M183" i="11"/>
  <c r="M182" i="11"/>
  <c r="AA191" i="11"/>
  <c r="AA190" i="11"/>
  <c r="L179" i="11"/>
  <c r="M111" i="11"/>
  <c r="O114" i="11"/>
  <c r="R98" i="11"/>
  <c r="O100" i="11"/>
  <c r="R99" i="11"/>
  <c r="AA104" i="11"/>
  <c r="O104" i="11"/>
  <c r="O97" i="11"/>
  <c r="AB105" i="11"/>
  <c r="AB121" i="11"/>
  <c r="AB106" i="11"/>
  <c r="U161" i="11"/>
  <c r="L63" i="11"/>
  <c r="N79" i="11"/>
  <c r="O96" i="11"/>
  <c r="O84" i="11"/>
  <c r="O132" i="11" s="1"/>
  <c r="P84" i="11"/>
  <c r="Q100" i="11"/>
  <c r="Q97" i="11"/>
  <c r="Q102" i="11"/>
  <c r="Q88" i="11"/>
  <c r="P83" i="11"/>
  <c r="O83" i="11"/>
  <c r="O131" i="11" s="1"/>
  <c r="Q90" i="11"/>
  <c r="Q82" i="11"/>
  <c r="N95" i="11"/>
  <c r="P87" i="11"/>
  <c r="O87" i="11"/>
  <c r="O135" i="11" s="1"/>
  <c r="Q81" i="11"/>
  <c r="Q89" i="11"/>
  <c r="Q153" i="11" l="1"/>
  <c r="Q73" i="11" s="1"/>
  <c r="Q145" i="11"/>
  <c r="Q65" i="11" s="1"/>
  <c r="N135" i="11"/>
  <c r="M135" i="11"/>
  <c r="L135" i="11"/>
  <c r="K135" i="11"/>
  <c r="J135" i="11"/>
  <c r="I135" i="11"/>
  <c r="H135" i="11"/>
  <c r="G135" i="11"/>
  <c r="F135" i="11"/>
  <c r="E135" i="11"/>
  <c r="D135" i="11"/>
  <c r="C135" i="11"/>
  <c r="P151" i="11"/>
  <c r="Q146" i="11"/>
  <c r="Q66" i="11" s="1"/>
  <c r="Q154" i="11"/>
  <c r="Q74" i="11" s="1"/>
  <c r="N131" i="11"/>
  <c r="M131" i="11"/>
  <c r="L131" i="11"/>
  <c r="K131" i="11"/>
  <c r="J131" i="11"/>
  <c r="I131" i="11"/>
  <c r="H131" i="11"/>
  <c r="G131" i="11"/>
  <c r="F131" i="11"/>
  <c r="E131" i="11"/>
  <c r="D131" i="11"/>
  <c r="C131" i="11"/>
  <c r="P147" i="11"/>
  <c r="Q152" i="11"/>
  <c r="P144" i="11"/>
  <c r="P148" i="11"/>
  <c r="H132" i="11"/>
  <c r="I132" i="11"/>
  <c r="G132" i="11"/>
  <c r="C132" i="11"/>
  <c r="J132" i="11"/>
  <c r="K132" i="11"/>
  <c r="D132" i="11"/>
  <c r="L132" i="11"/>
  <c r="E132" i="11"/>
  <c r="M132" i="11"/>
  <c r="F132" i="11"/>
  <c r="N132" i="11"/>
  <c r="L134" i="11"/>
  <c r="L133" i="11" s="1"/>
  <c r="M134" i="11"/>
  <c r="G134" i="11"/>
  <c r="G133" i="11" s="1"/>
  <c r="E134" i="11"/>
  <c r="C134" i="11"/>
  <c r="C133" i="11" s="1"/>
  <c r="F134" i="11"/>
  <c r="F133" i="11" s="1"/>
  <c r="N134" i="11"/>
  <c r="N133" i="11" s="1"/>
  <c r="H134" i="11"/>
  <c r="H133" i="11" s="1"/>
  <c r="I134" i="11"/>
  <c r="I133" i="11" s="1"/>
  <c r="J134" i="11"/>
  <c r="J133" i="11" s="1"/>
  <c r="K134" i="11"/>
  <c r="K133" i="11" s="1"/>
  <c r="D134" i="11"/>
  <c r="D133" i="11" s="1"/>
  <c r="P150" i="11"/>
  <c r="H128" i="11"/>
  <c r="H127" i="11" s="1"/>
  <c r="I128" i="11"/>
  <c r="I127" i="11" s="1"/>
  <c r="G128" i="11"/>
  <c r="G127" i="11" s="1"/>
  <c r="C128" i="11"/>
  <c r="C127" i="11" s="1"/>
  <c r="J128" i="11"/>
  <c r="J127" i="11" s="1"/>
  <c r="K128" i="11"/>
  <c r="K127" i="11" s="1"/>
  <c r="D128" i="11"/>
  <c r="D127" i="11" s="1"/>
  <c r="L128" i="11"/>
  <c r="L127" i="11" s="1"/>
  <c r="E128" i="11"/>
  <c r="E127" i="11" s="1"/>
  <c r="M128" i="11"/>
  <c r="M127" i="11" s="1"/>
  <c r="F128" i="11"/>
  <c r="F127" i="11" s="1"/>
  <c r="N128" i="11"/>
  <c r="O70" i="11"/>
  <c r="O149" i="11"/>
  <c r="O148" i="11"/>
  <c r="N68" i="11"/>
  <c r="O68" i="11" s="1"/>
  <c r="N143" i="11"/>
  <c r="O143" i="11" s="1"/>
  <c r="N64" i="11"/>
  <c r="O64" i="11" s="1"/>
  <c r="P74" i="11"/>
  <c r="P72" i="11"/>
  <c r="M133" i="11"/>
  <c r="E133" i="11"/>
  <c r="Q167" i="11"/>
  <c r="R167" i="11" s="1"/>
  <c r="S167" i="11" s="1"/>
  <c r="T167" i="11" s="1"/>
  <c r="U167" i="11" s="1"/>
  <c r="V167" i="11" s="1"/>
  <c r="W167" i="11" s="1"/>
  <c r="X167" i="11" s="1"/>
  <c r="Y167" i="11" s="1"/>
  <c r="Z167" i="11" s="1"/>
  <c r="AA167" i="11" s="1"/>
  <c r="O159" i="11"/>
  <c r="O113" i="11"/>
  <c r="Q160" i="11"/>
  <c r="P159" i="11"/>
  <c r="F12" i="16"/>
  <c r="O79" i="11"/>
  <c r="Q166" i="11"/>
  <c r="R166" i="11" s="1"/>
  <c r="S166" i="11" s="1"/>
  <c r="T166" i="11" s="1"/>
  <c r="U166" i="11" s="1"/>
  <c r="V166" i="11" s="1"/>
  <c r="W166" i="11" s="1"/>
  <c r="X166" i="11" s="1"/>
  <c r="Y166" i="11" s="1"/>
  <c r="Z166" i="11" s="1"/>
  <c r="AA166" i="11" s="1"/>
  <c r="I12" i="16"/>
  <c r="N12" i="12" s="1"/>
  <c r="O120" i="11"/>
  <c r="P85" i="11"/>
  <c r="Q86" i="11"/>
  <c r="N180" i="11"/>
  <c r="N183" i="11"/>
  <c r="N182" i="11"/>
  <c r="N181" i="11"/>
  <c r="M179" i="11"/>
  <c r="O116" i="11"/>
  <c r="S99" i="11"/>
  <c r="R97" i="11"/>
  <c r="N111" i="11"/>
  <c r="S98" i="11"/>
  <c r="AB104" i="11"/>
  <c r="AB120" i="11"/>
  <c r="R100" i="11"/>
  <c r="O95" i="11"/>
  <c r="U174" i="11"/>
  <c r="F174" i="11"/>
  <c r="N174" i="11"/>
  <c r="C174" i="11"/>
  <c r="T174" i="11"/>
  <c r="G174" i="11"/>
  <c r="AA174" i="11"/>
  <c r="S174" i="11"/>
  <c r="H174" i="11"/>
  <c r="P174" i="11"/>
  <c r="E174" i="11"/>
  <c r="Z174" i="11"/>
  <c r="R174" i="11"/>
  <c r="I174" i="11"/>
  <c r="Y174" i="11"/>
  <c r="Q174" i="11"/>
  <c r="J174" i="11"/>
  <c r="K174" i="11"/>
  <c r="X174" i="11"/>
  <c r="M174" i="11"/>
  <c r="W174" i="11"/>
  <c r="D174" i="11"/>
  <c r="L174" i="11"/>
  <c r="V174" i="11"/>
  <c r="V161" i="11"/>
  <c r="M63" i="11"/>
  <c r="Q84" i="11"/>
  <c r="Q80" i="11"/>
  <c r="P79" i="11"/>
  <c r="R81" i="11"/>
  <c r="R89" i="11"/>
  <c r="Q96" i="11"/>
  <c r="P95" i="11"/>
  <c r="R90" i="11"/>
  <c r="R82" i="11"/>
  <c r="R102" i="11"/>
  <c r="Q83" i="11"/>
  <c r="Q87" i="11"/>
  <c r="N127" i="11"/>
  <c r="R88" i="11"/>
  <c r="C52" i="11"/>
  <c r="C51" i="11"/>
  <c r="C50" i="11"/>
  <c r="C49" i="11"/>
  <c r="C48" i="11"/>
  <c r="C46" i="11"/>
  <c r="C45" i="11"/>
  <c r="C44" i="11"/>
  <c r="C43" i="11"/>
  <c r="C42" i="11"/>
  <c r="R152" i="11" l="1"/>
  <c r="Q151" i="11"/>
  <c r="Q147" i="11"/>
  <c r="Q67" i="11" s="1"/>
  <c r="R146" i="11"/>
  <c r="R154" i="11"/>
  <c r="R153" i="11"/>
  <c r="R73" i="11" s="1"/>
  <c r="R145" i="11"/>
  <c r="R65" i="11" s="1"/>
  <c r="Q144" i="11"/>
  <c r="Q148" i="11"/>
  <c r="Q68" i="11" s="1"/>
  <c r="Q150" i="11"/>
  <c r="Q70" i="11" s="1"/>
  <c r="P149" i="11"/>
  <c r="P70" i="11"/>
  <c r="O133" i="11"/>
  <c r="P68" i="11"/>
  <c r="P143" i="11"/>
  <c r="Q149" i="11"/>
  <c r="Q72" i="11"/>
  <c r="P67" i="11"/>
  <c r="Q111" i="11"/>
  <c r="AB167" i="11"/>
  <c r="J12" i="16" s="1"/>
  <c r="C13" i="11"/>
  <c r="D48" i="11"/>
  <c r="O127" i="11"/>
  <c r="C11" i="16"/>
  <c r="D11" i="12" s="1"/>
  <c r="D42" i="11"/>
  <c r="R160" i="11"/>
  <c r="Q159" i="11"/>
  <c r="C12" i="16"/>
  <c r="D12" i="12" s="1"/>
  <c r="I12" i="12"/>
  <c r="D44" i="11"/>
  <c r="D27" i="11"/>
  <c r="O111" i="11"/>
  <c r="D51" i="11"/>
  <c r="O181" i="11"/>
  <c r="O183" i="11"/>
  <c r="AB166" i="11"/>
  <c r="G12" i="16" s="1"/>
  <c r="C14" i="11"/>
  <c r="Q85" i="11"/>
  <c r="R86" i="11"/>
  <c r="P183" i="11"/>
  <c r="P182" i="11"/>
  <c r="P181" i="11"/>
  <c r="P180" i="11"/>
  <c r="N179" i="11"/>
  <c r="O180" i="11"/>
  <c r="S100" i="11"/>
  <c r="AB190" i="11"/>
  <c r="T98" i="11"/>
  <c r="O190" i="11"/>
  <c r="S97" i="11"/>
  <c r="T99" i="11"/>
  <c r="D43" i="11"/>
  <c r="C11" i="11"/>
  <c r="C36" i="11"/>
  <c r="C35" i="11"/>
  <c r="C34" i="11"/>
  <c r="C33" i="11"/>
  <c r="D28" i="11"/>
  <c r="W161" i="11"/>
  <c r="Q79" i="11"/>
  <c r="R84" i="11"/>
  <c r="N63" i="11"/>
  <c r="R80" i="11"/>
  <c r="S88" i="11"/>
  <c r="R83" i="11"/>
  <c r="R96" i="11"/>
  <c r="Q95" i="11"/>
  <c r="S81" i="11"/>
  <c r="S82" i="11"/>
  <c r="S102" i="11"/>
  <c r="S90" i="11"/>
  <c r="R87" i="11"/>
  <c r="S89" i="11"/>
  <c r="D26" i="11"/>
  <c r="C12" i="11"/>
  <c r="D49" i="11"/>
  <c r="D50" i="11"/>
  <c r="C10" i="11"/>
  <c r="D45" i="11"/>
  <c r="D30" i="11"/>
  <c r="D46" i="11"/>
  <c r="D52" i="11"/>
  <c r="D29" i="11"/>
  <c r="C16" i="11"/>
  <c r="D32" i="11"/>
  <c r="S153" i="11" l="1"/>
  <c r="S73" i="11" s="1"/>
  <c r="R151" i="11"/>
  <c r="S154" i="11"/>
  <c r="S74" i="11" s="1"/>
  <c r="S146" i="11"/>
  <c r="S66" i="11" s="1"/>
  <c r="S145" i="11"/>
  <c r="S65" i="11" s="1"/>
  <c r="R147" i="11"/>
  <c r="S152" i="11"/>
  <c r="S72" i="11" s="1"/>
  <c r="R144" i="11"/>
  <c r="R148" i="11"/>
  <c r="R150" i="11"/>
  <c r="Q143" i="11"/>
  <c r="Q64" i="11"/>
  <c r="R74" i="11"/>
  <c r="R66" i="11"/>
  <c r="R72" i="11"/>
  <c r="D12" i="16"/>
  <c r="E46" i="11"/>
  <c r="E43" i="11"/>
  <c r="E42" i="11"/>
  <c r="E48" i="11"/>
  <c r="E50" i="11"/>
  <c r="E52" i="11"/>
  <c r="D12" i="11"/>
  <c r="S160" i="11"/>
  <c r="R159" i="11"/>
  <c r="E51" i="11"/>
  <c r="C18" i="11"/>
  <c r="O179" i="11"/>
  <c r="E45" i="11"/>
  <c r="C19" i="11"/>
  <c r="E44" i="11"/>
  <c r="C20" i="11"/>
  <c r="C10" i="16"/>
  <c r="P179" i="11"/>
  <c r="R85" i="11"/>
  <c r="S86" i="11"/>
  <c r="O63" i="11"/>
  <c r="Q182" i="11"/>
  <c r="Q180" i="11"/>
  <c r="Q183" i="11"/>
  <c r="Q181" i="11"/>
  <c r="R111" i="11"/>
  <c r="U98" i="11"/>
  <c r="U99" i="11"/>
  <c r="T97" i="11"/>
  <c r="T100" i="11"/>
  <c r="C103" i="11"/>
  <c r="C71" i="11" s="1"/>
  <c r="D11" i="11"/>
  <c r="C17" i="11"/>
  <c r="E29" i="11"/>
  <c r="E30" i="11"/>
  <c r="E28" i="11"/>
  <c r="E27" i="11"/>
  <c r="D33" i="11"/>
  <c r="D34" i="11"/>
  <c r="D36" i="11"/>
  <c r="D35" i="11"/>
  <c r="E49" i="11"/>
  <c r="X161" i="11"/>
  <c r="Q63" i="11"/>
  <c r="P63" i="11"/>
  <c r="R79" i="11"/>
  <c r="S80" i="11"/>
  <c r="S84" i="11"/>
  <c r="R95" i="11"/>
  <c r="S96" i="11"/>
  <c r="S87" i="11"/>
  <c r="S83" i="11"/>
  <c r="T90" i="11"/>
  <c r="T88" i="11"/>
  <c r="T81" i="11"/>
  <c r="T102" i="11"/>
  <c r="T89" i="11"/>
  <c r="T82" i="11"/>
  <c r="C9" i="11"/>
  <c r="D13" i="11"/>
  <c r="E26" i="11"/>
  <c r="D10" i="11"/>
  <c r="D14" i="11"/>
  <c r="D16" i="11"/>
  <c r="E32" i="11"/>
  <c r="P118" i="19" l="1"/>
  <c r="P102" i="19"/>
  <c r="T146" i="11"/>
  <c r="T153" i="11"/>
  <c r="T145" i="11"/>
  <c r="T152" i="11"/>
  <c r="T154" i="11"/>
  <c r="S147" i="11"/>
  <c r="S67" i="11" s="1"/>
  <c r="S151" i="11"/>
  <c r="S148" i="11"/>
  <c r="S68" i="11" s="1"/>
  <c r="S144" i="11"/>
  <c r="C69" i="11"/>
  <c r="S150" i="11"/>
  <c r="R149" i="11"/>
  <c r="R70" i="11"/>
  <c r="R68" i="11"/>
  <c r="R143" i="11"/>
  <c r="R64" i="11"/>
  <c r="R67" i="11"/>
  <c r="C15" i="11"/>
  <c r="F42" i="11"/>
  <c r="F45" i="11"/>
  <c r="F51" i="11"/>
  <c r="F52" i="11"/>
  <c r="F44" i="11"/>
  <c r="F50" i="11"/>
  <c r="F43" i="11"/>
  <c r="F49" i="11"/>
  <c r="T160" i="11"/>
  <c r="S159" i="11"/>
  <c r="F48" i="11"/>
  <c r="F46" i="11"/>
  <c r="D10" i="12"/>
  <c r="D20" i="11"/>
  <c r="E11" i="11"/>
  <c r="E13" i="11"/>
  <c r="D19" i="11"/>
  <c r="D18" i="11"/>
  <c r="E12" i="11"/>
  <c r="E14" i="11"/>
  <c r="C101" i="11"/>
  <c r="S85" i="11"/>
  <c r="T86" i="11"/>
  <c r="R183" i="11"/>
  <c r="R182" i="11"/>
  <c r="R181" i="11"/>
  <c r="R180" i="11"/>
  <c r="Q179" i="11"/>
  <c r="S111" i="11"/>
  <c r="U97" i="11"/>
  <c r="V99" i="11"/>
  <c r="U100" i="11"/>
  <c r="V98" i="11"/>
  <c r="D103" i="11"/>
  <c r="D71" i="11" s="1"/>
  <c r="E33" i="11"/>
  <c r="F30" i="11"/>
  <c r="F28" i="11"/>
  <c r="F29" i="11"/>
  <c r="F27" i="11"/>
  <c r="D17" i="11"/>
  <c r="E35" i="11"/>
  <c r="E36" i="11"/>
  <c r="E34" i="11"/>
  <c r="Y161" i="11"/>
  <c r="S79" i="11"/>
  <c r="T84" i="11"/>
  <c r="T80" i="11"/>
  <c r="S95" i="11"/>
  <c r="T96" i="11"/>
  <c r="U89" i="11"/>
  <c r="U88" i="11"/>
  <c r="U82" i="11"/>
  <c r="T83" i="11"/>
  <c r="U102" i="11"/>
  <c r="T87" i="11"/>
  <c r="U90" i="11"/>
  <c r="U81" i="11"/>
  <c r="E10" i="11"/>
  <c r="D9" i="11"/>
  <c r="F26" i="11"/>
  <c r="F32" i="11"/>
  <c r="E16" i="11"/>
  <c r="Q118" i="19" l="1"/>
  <c r="Q116" i="19" s="1"/>
  <c r="Q102" i="19"/>
  <c r="Q100" i="19" s="1"/>
  <c r="P100" i="19"/>
  <c r="P116" i="19"/>
  <c r="U145" i="11"/>
  <c r="U65" i="11" s="1"/>
  <c r="U154" i="11"/>
  <c r="U74" i="11" s="1"/>
  <c r="T151" i="11"/>
  <c r="T147" i="11"/>
  <c r="U146" i="11"/>
  <c r="U152" i="11"/>
  <c r="U72" i="11" s="1"/>
  <c r="U153" i="11"/>
  <c r="U73" i="11" s="1"/>
  <c r="T144" i="11"/>
  <c r="T148" i="11"/>
  <c r="D69" i="11"/>
  <c r="T150" i="11"/>
  <c r="S149" i="11"/>
  <c r="S70" i="11"/>
  <c r="S143" i="11"/>
  <c r="S64" i="11"/>
  <c r="T74" i="11"/>
  <c r="T72" i="11"/>
  <c r="T65" i="11"/>
  <c r="T73" i="11"/>
  <c r="T66" i="11"/>
  <c r="C195" i="11"/>
  <c r="P258" i="19"/>
  <c r="G48" i="11"/>
  <c r="G50" i="11"/>
  <c r="G51" i="11"/>
  <c r="G42" i="11"/>
  <c r="U160" i="11"/>
  <c r="T159" i="11"/>
  <c r="G44" i="11"/>
  <c r="G45" i="11"/>
  <c r="G49" i="11"/>
  <c r="C117" i="11"/>
  <c r="R179" i="11"/>
  <c r="G46" i="11"/>
  <c r="G43" i="11"/>
  <c r="G52" i="11"/>
  <c r="F12" i="11"/>
  <c r="E9" i="11"/>
  <c r="G26" i="11"/>
  <c r="E20" i="11"/>
  <c r="F13" i="11"/>
  <c r="E19" i="11"/>
  <c r="D15" i="11"/>
  <c r="Q258" i="19" s="1"/>
  <c r="F11" i="11"/>
  <c r="T85" i="11"/>
  <c r="U86" i="11"/>
  <c r="S183" i="11"/>
  <c r="S182" i="11"/>
  <c r="S181" i="11"/>
  <c r="S180" i="11"/>
  <c r="C185" i="11"/>
  <c r="C188" i="11"/>
  <c r="C187" i="11"/>
  <c r="C186" i="11"/>
  <c r="T111" i="11"/>
  <c r="D189" i="11"/>
  <c r="W99" i="11"/>
  <c r="V100" i="11"/>
  <c r="W98" i="11"/>
  <c r="V97" i="11"/>
  <c r="E103" i="11"/>
  <c r="E71" i="11" s="1"/>
  <c r="D101" i="11"/>
  <c r="E17" i="11"/>
  <c r="G30" i="11"/>
  <c r="G27" i="11"/>
  <c r="F14" i="11"/>
  <c r="G29" i="11"/>
  <c r="G28" i="11"/>
  <c r="F34" i="11"/>
  <c r="E18" i="11"/>
  <c r="F35" i="11"/>
  <c r="F36" i="11"/>
  <c r="F33" i="11"/>
  <c r="Z161" i="11"/>
  <c r="R63" i="11"/>
  <c r="U80" i="11"/>
  <c r="T79" i="11"/>
  <c r="U84" i="11"/>
  <c r="V89" i="11"/>
  <c r="V90" i="11"/>
  <c r="V81" i="11"/>
  <c r="V82" i="11"/>
  <c r="V102" i="11"/>
  <c r="T95" i="11"/>
  <c r="U96" i="11"/>
  <c r="U87" i="11"/>
  <c r="V88" i="11"/>
  <c r="F10" i="11"/>
  <c r="U83" i="11"/>
  <c r="F16" i="11"/>
  <c r="G32" i="11"/>
  <c r="R118" i="19" l="1"/>
  <c r="R102" i="19"/>
  <c r="R100" i="19" s="1"/>
  <c r="U147" i="11"/>
  <c r="U67" i="11" s="1"/>
  <c r="V152" i="11"/>
  <c r="U151" i="11"/>
  <c r="V146" i="11"/>
  <c r="V145" i="11"/>
  <c r="V154" i="11"/>
  <c r="V153" i="11"/>
  <c r="U148" i="11"/>
  <c r="U68" i="11" s="1"/>
  <c r="U144" i="11"/>
  <c r="U64" i="11" s="1"/>
  <c r="E69" i="11"/>
  <c r="U150" i="11"/>
  <c r="T149" i="11"/>
  <c r="T70" i="11"/>
  <c r="T68" i="11"/>
  <c r="T143" i="11"/>
  <c r="T64" i="11"/>
  <c r="U143" i="11"/>
  <c r="U66" i="11"/>
  <c r="T67" i="11"/>
  <c r="K26" i="11"/>
  <c r="L26" i="11" s="1"/>
  <c r="K32" i="11"/>
  <c r="H52" i="11"/>
  <c r="V160" i="11"/>
  <c r="U159" i="11"/>
  <c r="H42" i="11"/>
  <c r="S179" i="11"/>
  <c r="H45" i="11"/>
  <c r="H51" i="11"/>
  <c r="G10" i="11"/>
  <c r="H43" i="11"/>
  <c r="H50" i="11"/>
  <c r="H44" i="11"/>
  <c r="H46" i="11"/>
  <c r="H49" i="11"/>
  <c r="H48" i="11"/>
  <c r="D117" i="11"/>
  <c r="H26" i="11"/>
  <c r="I26" i="11" s="1"/>
  <c r="H32" i="11"/>
  <c r="H28" i="11"/>
  <c r="H29" i="11"/>
  <c r="D195" i="11"/>
  <c r="F19" i="11"/>
  <c r="H27" i="11"/>
  <c r="H11" i="11" s="1"/>
  <c r="G14" i="11"/>
  <c r="U85" i="11"/>
  <c r="V86" i="11"/>
  <c r="D185" i="11"/>
  <c r="D188" i="11"/>
  <c r="D186" i="11"/>
  <c r="D187" i="11"/>
  <c r="C184" i="11"/>
  <c r="T183" i="11"/>
  <c r="T182" i="11"/>
  <c r="T181" i="11"/>
  <c r="T180" i="11"/>
  <c r="W100" i="11"/>
  <c r="W97" i="11"/>
  <c r="X98" i="11"/>
  <c r="X99" i="11"/>
  <c r="U111" i="11"/>
  <c r="F103" i="11"/>
  <c r="F71" i="11" s="1"/>
  <c r="G13" i="11"/>
  <c r="E15" i="11"/>
  <c r="F9" i="11"/>
  <c r="E101" i="11"/>
  <c r="H30" i="11"/>
  <c r="G11" i="11"/>
  <c r="G12" i="11"/>
  <c r="G34" i="11"/>
  <c r="G33" i="11"/>
  <c r="F17" i="11"/>
  <c r="G36" i="11"/>
  <c r="F20" i="11"/>
  <c r="G35" i="11"/>
  <c r="F18" i="11"/>
  <c r="AA161" i="11"/>
  <c r="S63" i="11"/>
  <c r="V84" i="11"/>
  <c r="V80" i="11"/>
  <c r="V87" i="11"/>
  <c r="V83" i="11"/>
  <c r="W88" i="11"/>
  <c r="V96" i="11"/>
  <c r="U95" i="11"/>
  <c r="W102" i="11"/>
  <c r="W89" i="11"/>
  <c r="W81" i="11"/>
  <c r="U79" i="11"/>
  <c r="W90" i="11"/>
  <c r="W82" i="11"/>
  <c r="G16" i="11"/>
  <c r="R116" i="19" l="1"/>
  <c r="S118" i="19"/>
  <c r="S116" i="19" s="1"/>
  <c r="S102" i="19"/>
  <c r="S100" i="19" s="1"/>
  <c r="W146" i="11"/>
  <c r="W66" i="11" s="1"/>
  <c r="W154" i="11"/>
  <c r="W74" i="11" s="1"/>
  <c r="W145" i="11"/>
  <c r="W153" i="11"/>
  <c r="W73" i="11" s="1"/>
  <c r="W152" i="11"/>
  <c r="W72" i="11" s="1"/>
  <c r="V147" i="11"/>
  <c r="V151" i="11"/>
  <c r="V144" i="11"/>
  <c r="V148" i="11"/>
  <c r="F69" i="11"/>
  <c r="V150" i="11"/>
  <c r="U149" i="11"/>
  <c r="U70" i="11"/>
  <c r="V73" i="11"/>
  <c r="V74" i="11"/>
  <c r="V65" i="11"/>
  <c r="V66" i="11"/>
  <c r="V149" i="11"/>
  <c r="V72" i="11"/>
  <c r="H12" i="11"/>
  <c r="H13" i="11"/>
  <c r="M26" i="11"/>
  <c r="H10" i="11"/>
  <c r="L32" i="11"/>
  <c r="I49" i="11"/>
  <c r="I50" i="11"/>
  <c r="I51" i="11"/>
  <c r="I52" i="11"/>
  <c r="I46" i="11"/>
  <c r="I43" i="11"/>
  <c r="I45" i="11"/>
  <c r="I42" i="11"/>
  <c r="I44" i="11"/>
  <c r="W160" i="11"/>
  <c r="V159" i="11"/>
  <c r="C196" i="11"/>
  <c r="P259" i="19"/>
  <c r="I48" i="11"/>
  <c r="E117" i="11"/>
  <c r="E195" i="11"/>
  <c r="R258" i="19"/>
  <c r="I30" i="11"/>
  <c r="I27" i="11"/>
  <c r="I28" i="11"/>
  <c r="G20" i="11"/>
  <c r="G18" i="11"/>
  <c r="I32" i="11"/>
  <c r="G19" i="11"/>
  <c r="J26" i="11"/>
  <c r="I29" i="11"/>
  <c r="T179" i="11"/>
  <c r="V85" i="11"/>
  <c r="W86" i="11"/>
  <c r="E185" i="11"/>
  <c r="E188" i="11"/>
  <c r="E186" i="11"/>
  <c r="E187" i="11"/>
  <c r="U183" i="11"/>
  <c r="U182" i="11"/>
  <c r="U181" i="11"/>
  <c r="U180" i="11"/>
  <c r="D184" i="11"/>
  <c r="V111" i="11"/>
  <c r="F189" i="11"/>
  <c r="X97" i="11"/>
  <c r="Y99" i="11"/>
  <c r="X100" i="11"/>
  <c r="E189" i="11"/>
  <c r="Y98" i="11"/>
  <c r="F101" i="11"/>
  <c r="G103" i="11"/>
  <c r="G71" i="11" s="1"/>
  <c r="G9" i="11"/>
  <c r="H34" i="11"/>
  <c r="H33" i="11"/>
  <c r="H14" i="11"/>
  <c r="F15" i="11"/>
  <c r="H36" i="11"/>
  <c r="G17" i="11"/>
  <c r="H35" i="11"/>
  <c r="AB161" i="11"/>
  <c r="T63" i="11"/>
  <c r="W84" i="11"/>
  <c r="V79" i="11"/>
  <c r="W80" i="11"/>
  <c r="W96" i="11"/>
  <c r="V95" i="11"/>
  <c r="W87" i="11"/>
  <c r="X88" i="11"/>
  <c r="W83" i="11"/>
  <c r="X82" i="11"/>
  <c r="X102" i="11"/>
  <c r="X81" i="11"/>
  <c r="X89" i="11"/>
  <c r="X90" i="11"/>
  <c r="H16" i="11"/>
  <c r="I10" i="11"/>
  <c r="T118" i="19" l="1"/>
  <c r="T116" i="19" s="1"/>
  <c r="T102" i="19"/>
  <c r="T100" i="19" s="1"/>
  <c r="X154" i="11"/>
  <c r="X153" i="11"/>
  <c r="X145" i="11"/>
  <c r="X146" i="11"/>
  <c r="W147" i="11"/>
  <c r="W67" i="11" s="1"/>
  <c r="X152" i="11"/>
  <c r="W151" i="11"/>
  <c r="W144" i="11"/>
  <c r="W64" i="11" s="1"/>
  <c r="W148" i="11"/>
  <c r="W68" i="11" s="1"/>
  <c r="G69" i="11"/>
  <c r="W150" i="11"/>
  <c r="V70" i="11"/>
  <c r="V68" i="11"/>
  <c r="V143" i="11"/>
  <c r="V64" i="11"/>
  <c r="V67" i="11"/>
  <c r="W143" i="11"/>
  <c r="W65" i="11"/>
  <c r="U179" i="11"/>
  <c r="I13" i="11"/>
  <c r="I11" i="11"/>
  <c r="I12" i="11"/>
  <c r="N26" i="11"/>
  <c r="M32" i="11"/>
  <c r="J48" i="11"/>
  <c r="J45" i="11"/>
  <c r="J51" i="11"/>
  <c r="J44" i="11"/>
  <c r="J43" i="11"/>
  <c r="J50" i="11"/>
  <c r="J46" i="11"/>
  <c r="J49" i="11"/>
  <c r="X160" i="11"/>
  <c r="W159" i="11"/>
  <c r="J42" i="11"/>
  <c r="J10" i="11" s="1"/>
  <c r="J52" i="11"/>
  <c r="D196" i="11"/>
  <c r="Q259" i="19"/>
  <c r="J30" i="11"/>
  <c r="K30" i="11" s="1"/>
  <c r="L30" i="11" s="1"/>
  <c r="M30" i="11" s="1"/>
  <c r="N30" i="11" s="1"/>
  <c r="G15" i="11"/>
  <c r="T258" i="19" s="1"/>
  <c r="J32" i="11"/>
  <c r="J28" i="11"/>
  <c r="K28" i="11" s="1"/>
  <c r="L28" i="11" s="1"/>
  <c r="M28" i="11" s="1"/>
  <c r="N28" i="11" s="1"/>
  <c r="H19" i="11"/>
  <c r="H18" i="11"/>
  <c r="J29" i="11"/>
  <c r="K29" i="11" s="1"/>
  <c r="L29" i="11" s="1"/>
  <c r="M29" i="11" s="1"/>
  <c r="N29" i="11" s="1"/>
  <c r="J27" i="11"/>
  <c r="K27" i="11" s="1"/>
  <c r="L27" i="11" s="1"/>
  <c r="M27" i="11" s="1"/>
  <c r="N27" i="11" s="1"/>
  <c r="F117" i="11"/>
  <c r="H20" i="11"/>
  <c r="F195" i="11"/>
  <c r="S258" i="19"/>
  <c r="H9" i="11"/>
  <c r="I14" i="11"/>
  <c r="W85" i="11"/>
  <c r="X86" i="11"/>
  <c r="V181" i="11"/>
  <c r="V180" i="11"/>
  <c r="V183" i="11"/>
  <c r="V182" i="11"/>
  <c r="F185" i="11"/>
  <c r="F188" i="11"/>
  <c r="F186" i="11"/>
  <c r="F187" i="11"/>
  <c r="E184" i="11"/>
  <c r="Y100" i="11"/>
  <c r="Z99" i="11"/>
  <c r="Z98" i="11"/>
  <c r="Y97" i="11"/>
  <c r="W111" i="11"/>
  <c r="H103" i="11"/>
  <c r="H71" i="11" s="1"/>
  <c r="H17" i="11"/>
  <c r="G101" i="11"/>
  <c r="I36" i="11"/>
  <c r="I33" i="11"/>
  <c r="I34" i="11"/>
  <c r="I35" i="11"/>
  <c r="U63" i="11"/>
  <c r="W79" i="11"/>
  <c r="X84" i="11"/>
  <c r="X80" i="11"/>
  <c r="Y102" i="11"/>
  <c r="Y89" i="11"/>
  <c r="X83" i="11"/>
  <c r="Y81" i="11"/>
  <c r="Y90" i="11"/>
  <c r="Y82" i="11"/>
  <c r="X96" i="11"/>
  <c r="W95" i="11"/>
  <c r="Y88" i="11"/>
  <c r="X87" i="11"/>
  <c r="I16" i="11"/>
  <c r="U118" i="19" l="1"/>
  <c r="U102" i="19"/>
  <c r="U100" i="19" s="1"/>
  <c r="X151" i="11"/>
  <c r="Y152" i="11"/>
  <c r="Y146" i="11"/>
  <c r="Y66" i="11" s="1"/>
  <c r="Y154" i="11"/>
  <c r="Y74" i="11" s="1"/>
  <c r="Y145" i="11"/>
  <c r="Y65" i="11" s="1"/>
  <c r="X147" i="11"/>
  <c r="Y153" i="11"/>
  <c r="Y73" i="11" s="1"/>
  <c r="X144" i="11"/>
  <c r="X148" i="11"/>
  <c r="H69" i="11"/>
  <c r="X150" i="11"/>
  <c r="W149" i="11"/>
  <c r="W70" i="11"/>
  <c r="X72" i="11"/>
  <c r="X66" i="11"/>
  <c r="X65" i="11"/>
  <c r="X73" i="11"/>
  <c r="X74" i="11"/>
  <c r="G195" i="11"/>
  <c r="P26" i="11"/>
  <c r="Q26" i="11" s="1"/>
  <c r="N32" i="11"/>
  <c r="P27" i="11"/>
  <c r="P30" i="11"/>
  <c r="P29" i="11"/>
  <c r="P28" i="11"/>
  <c r="K42" i="11"/>
  <c r="K10" i="11" s="1"/>
  <c r="K50" i="11"/>
  <c r="K48" i="11"/>
  <c r="K49" i="11"/>
  <c r="Y160" i="11"/>
  <c r="X159" i="11"/>
  <c r="K43" i="11"/>
  <c r="K46" i="11"/>
  <c r="K14" i="11" s="1"/>
  <c r="K51" i="11"/>
  <c r="K44" i="11"/>
  <c r="K52" i="11"/>
  <c r="K45" i="11"/>
  <c r="E196" i="11"/>
  <c r="R259" i="19"/>
  <c r="J13" i="11"/>
  <c r="J14" i="11"/>
  <c r="H15" i="11"/>
  <c r="U258" i="19" s="1"/>
  <c r="G117" i="11"/>
  <c r="J12" i="11"/>
  <c r="J11" i="11"/>
  <c r="I19" i="11"/>
  <c r="I9" i="11"/>
  <c r="X85" i="11"/>
  <c r="Y86" i="11"/>
  <c r="W183" i="11"/>
  <c r="W182" i="11"/>
  <c r="W181" i="11"/>
  <c r="W180" i="11"/>
  <c r="V179" i="11"/>
  <c r="F184" i="11"/>
  <c r="G187" i="11"/>
  <c r="G185" i="11"/>
  <c r="G188" i="11"/>
  <c r="G186" i="11"/>
  <c r="H189" i="11"/>
  <c r="X111" i="11"/>
  <c r="AA99" i="11"/>
  <c r="G189" i="11"/>
  <c r="Z97" i="11"/>
  <c r="AA98" i="11"/>
  <c r="Z100" i="11"/>
  <c r="I103" i="11"/>
  <c r="I71" i="11" s="1"/>
  <c r="H101" i="11"/>
  <c r="J35" i="11"/>
  <c r="J34" i="11"/>
  <c r="I18" i="11"/>
  <c r="J33" i="11"/>
  <c r="I17" i="11"/>
  <c r="J36" i="11"/>
  <c r="I20" i="11"/>
  <c r="V63" i="11"/>
  <c r="Y84" i="11"/>
  <c r="Y80" i="11"/>
  <c r="Z88" i="11"/>
  <c r="Y83" i="11"/>
  <c r="Z82" i="11"/>
  <c r="Z81" i="11"/>
  <c r="Z102" i="11"/>
  <c r="Z90" i="11"/>
  <c r="Y87" i="11"/>
  <c r="Y96" i="11"/>
  <c r="X95" i="11"/>
  <c r="X79" i="11"/>
  <c r="Z89" i="11"/>
  <c r="J16" i="11"/>
  <c r="V118" i="19" l="1"/>
  <c r="V116" i="19" s="1"/>
  <c r="V102" i="19"/>
  <c r="V100" i="19" s="1"/>
  <c r="U116" i="19"/>
  <c r="Z153" i="11"/>
  <c r="Y151" i="11"/>
  <c r="Z154" i="11"/>
  <c r="Z145" i="11"/>
  <c r="Z146" i="11"/>
  <c r="Y147" i="11"/>
  <c r="Y67" i="11" s="1"/>
  <c r="Z152" i="11"/>
  <c r="Y144" i="11"/>
  <c r="Y148" i="11"/>
  <c r="Y68" i="11" s="1"/>
  <c r="I69" i="11"/>
  <c r="Y150" i="11"/>
  <c r="Y70" i="11" s="1"/>
  <c r="X149" i="11"/>
  <c r="X70" i="11"/>
  <c r="X68" i="11"/>
  <c r="X143" i="11"/>
  <c r="X64" i="11"/>
  <c r="X67" i="11"/>
  <c r="Y149" i="11"/>
  <c r="Y72" i="11"/>
  <c r="Q27" i="11"/>
  <c r="R27" i="11" s="1"/>
  <c r="Q28" i="11"/>
  <c r="R28" i="11" s="1"/>
  <c r="R26" i="11"/>
  <c r="S26" i="11" s="1"/>
  <c r="Q29" i="11"/>
  <c r="R29" i="11" s="1"/>
  <c r="Q30" i="11"/>
  <c r="R30" i="11" s="1"/>
  <c r="S30" i="11" s="1"/>
  <c r="P32" i="11"/>
  <c r="Q32" i="11" s="1"/>
  <c r="R32" i="11" s="1"/>
  <c r="S32" i="11" s="1"/>
  <c r="T32" i="11" s="1"/>
  <c r="L52" i="11"/>
  <c r="L46" i="11"/>
  <c r="L14" i="11" s="1"/>
  <c r="L50" i="11"/>
  <c r="L45" i="11"/>
  <c r="L13" i="11" s="1"/>
  <c r="L44" i="11"/>
  <c r="L12" i="11" s="1"/>
  <c r="L43" i="11"/>
  <c r="L42" i="11"/>
  <c r="L10" i="11" s="1"/>
  <c r="L49" i="11"/>
  <c r="Z160" i="11"/>
  <c r="Y159" i="11"/>
  <c r="L51" i="11"/>
  <c r="L48" i="11"/>
  <c r="L11" i="11"/>
  <c r="K11" i="11"/>
  <c r="K12" i="11"/>
  <c r="H195" i="11"/>
  <c r="J9" i="11"/>
  <c r="K13" i="11"/>
  <c r="H117" i="11"/>
  <c r="J19" i="11"/>
  <c r="F196" i="11"/>
  <c r="S259" i="19"/>
  <c r="Y85" i="11"/>
  <c r="Z86" i="11"/>
  <c r="W179" i="11"/>
  <c r="H187" i="11"/>
  <c r="H185" i="11"/>
  <c r="H188" i="11"/>
  <c r="H186" i="11"/>
  <c r="X183" i="11"/>
  <c r="X180" i="11"/>
  <c r="X182" i="11"/>
  <c r="X181" i="11"/>
  <c r="G184" i="11"/>
  <c r="AA100" i="11"/>
  <c r="AB99" i="11"/>
  <c r="AB115" i="11"/>
  <c r="AB98" i="11"/>
  <c r="Y111" i="11"/>
  <c r="AA97" i="11"/>
  <c r="J103" i="11"/>
  <c r="J71" i="11" s="1"/>
  <c r="I101" i="11"/>
  <c r="K35" i="11"/>
  <c r="I15" i="11"/>
  <c r="K36" i="11"/>
  <c r="J20" i="11"/>
  <c r="K33" i="11"/>
  <c r="J17" i="11"/>
  <c r="K34" i="11"/>
  <c r="J18" i="11"/>
  <c r="W63" i="11"/>
  <c r="Z80" i="11"/>
  <c r="Z84" i="11"/>
  <c r="AA81" i="11"/>
  <c r="Z83" i="11"/>
  <c r="Z96" i="11"/>
  <c r="Y95" i="11"/>
  <c r="Z87" i="11"/>
  <c r="AA82" i="11"/>
  <c r="AA89" i="11"/>
  <c r="AA102" i="11"/>
  <c r="AB118" i="11" s="1"/>
  <c r="Y79" i="11"/>
  <c r="AA90" i="11"/>
  <c r="AA88" i="11"/>
  <c r="K16" i="11"/>
  <c r="W118" i="19" l="1"/>
  <c r="W102" i="19"/>
  <c r="W100" i="19" s="1"/>
  <c r="AA152" i="11"/>
  <c r="AA72" i="11" s="1"/>
  <c r="AA154" i="11"/>
  <c r="AA74" i="11" s="1"/>
  <c r="AA153" i="11"/>
  <c r="AA73" i="11" s="1"/>
  <c r="AA146" i="11"/>
  <c r="AA66" i="11" s="1"/>
  <c r="AB82" i="11"/>
  <c r="AB130" i="11" s="1"/>
  <c r="Z151" i="11"/>
  <c r="Z147" i="11"/>
  <c r="AA145" i="11"/>
  <c r="AA65" i="11" s="1"/>
  <c r="AB81" i="11"/>
  <c r="AB129" i="11" s="1"/>
  <c r="Z148" i="11"/>
  <c r="Z144" i="11"/>
  <c r="J69" i="11"/>
  <c r="Z150" i="11"/>
  <c r="Y143" i="11"/>
  <c r="Y64" i="11"/>
  <c r="AB152" i="11"/>
  <c r="Z72" i="11"/>
  <c r="AB72" i="11" s="1"/>
  <c r="Z143" i="11"/>
  <c r="AB146" i="11"/>
  <c r="Z66" i="11"/>
  <c r="AB66" i="11" s="1"/>
  <c r="AB145" i="11"/>
  <c r="Z65" i="11"/>
  <c r="AB65" i="11" s="1"/>
  <c r="AB154" i="11"/>
  <c r="Z74" i="11"/>
  <c r="AB74" i="11" s="1"/>
  <c r="AB153" i="11"/>
  <c r="Z73" i="11"/>
  <c r="AB73" i="11" s="1"/>
  <c r="AB122" i="11"/>
  <c r="S28" i="11"/>
  <c r="T28" i="11" s="1"/>
  <c r="S29" i="11"/>
  <c r="T29" i="11" s="1"/>
  <c r="S27" i="11"/>
  <c r="T27" i="11" s="1"/>
  <c r="Z111" i="11"/>
  <c r="X32" i="11"/>
  <c r="Y32" i="11" s="1"/>
  <c r="Z32" i="11" s="1"/>
  <c r="AA32" i="11" s="1"/>
  <c r="U32" i="11"/>
  <c r="V32" i="11" s="1"/>
  <c r="W32" i="11" s="1"/>
  <c r="M48" i="11"/>
  <c r="AA160" i="11"/>
  <c r="Z159" i="11"/>
  <c r="M44" i="11"/>
  <c r="M12" i="11" s="1"/>
  <c r="M50" i="11"/>
  <c r="K9" i="11"/>
  <c r="M51" i="11"/>
  <c r="M49" i="11"/>
  <c r="M45" i="11"/>
  <c r="M13" i="11" s="1"/>
  <c r="M46" i="11"/>
  <c r="M14" i="11" s="1"/>
  <c r="M42" i="11"/>
  <c r="M10" i="11" s="1"/>
  <c r="M52" i="11"/>
  <c r="M43" i="11"/>
  <c r="M11" i="11" s="1"/>
  <c r="T26" i="11"/>
  <c r="T30" i="11"/>
  <c r="I195" i="11"/>
  <c r="V258" i="19"/>
  <c r="I117" i="11"/>
  <c r="K19" i="11"/>
  <c r="G196" i="11"/>
  <c r="T259" i="19"/>
  <c r="J189" i="11"/>
  <c r="Z85" i="11"/>
  <c r="AA86" i="11"/>
  <c r="X179" i="11"/>
  <c r="Y183" i="11"/>
  <c r="Y181" i="11"/>
  <c r="Y182" i="11"/>
  <c r="Y180" i="11"/>
  <c r="H184" i="11"/>
  <c r="I187" i="11"/>
  <c r="I186" i="11"/>
  <c r="I185" i="11"/>
  <c r="I188" i="11"/>
  <c r="AB97" i="11"/>
  <c r="AB113" i="11"/>
  <c r="AB100" i="11"/>
  <c r="I189" i="11"/>
  <c r="AB114" i="11"/>
  <c r="K103" i="11"/>
  <c r="K71" i="11" s="1"/>
  <c r="J101" i="11"/>
  <c r="J15" i="11"/>
  <c r="L35" i="11"/>
  <c r="L34" i="11"/>
  <c r="K18" i="11"/>
  <c r="L33" i="11"/>
  <c r="K17" i="11"/>
  <c r="L36" i="11"/>
  <c r="K20" i="11"/>
  <c r="X63" i="11"/>
  <c r="AA84" i="11"/>
  <c r="AB102" i="11"/>
  <c r="Z79" i="11"/>
  <c r="AA80" i="11"/>
  <c r="AB90" i="11"/>
  <c r="AB138" i="11" s="1"/>
  <c r="AB88" i="11"/>
  <c r="AB136" i="11" s="1"/>
  <c r="Z95" i="11"/>
  <c r="AA96" i="11"/>
  <c r="AA83" i="11"/>
  <c r="AB89" i="11"/>
  <c r="AB137" i="11" s="1"/>
  <c r="AA87" i="11"/>
  <c r="L9" i="11"/>
  <c r="L16" i="11"/>
  <c r="X118" i="19" l="1"/>
  <c r="X116" i="19" s="1"/>
  <c r="X102" i="19"/>
  <c r="X100" i="19" s="1"/>
  <c r="W116" i="19"/>
  <c r="AA151" i="11"/>
  <c r="AA137" i="11"/>
  <c r="Y137" i="11"/>
  <c r="W137" i="11"/>
  <c r="V137" i="11"/>
  <c r="U137" i="11"/>
  <c r="T137" i="11"/>
  <c r="Q137" i="11"/>
  <c r="P137" i="11"/>
  <c r="X137" i="11"/>
  <c r="R137" i="11"/>
  <c r="Z137" i="11"/>
  <c r="S137" i="11"/>
  <c r="AA147" i="11"/>
  <c r="AA67" i="11" s="1"/>
  <c r="AB83" i="11"/>
  <c r="AB131" i="11" s="1"/>
  <c r="V136" i="11"/>
  <c r="AA136" i="11"/>
  <c r="Y136" i="11"/>
  <c r="X136" i="11"/>
  <c r="W136" i="11"/>
  <c r="T136" i="11"/>
  <c r="S136" i="11"/>
  <c r="Q136" i="11"/>
  <c r="P136" i="11"/>
  <c r="R136" i="11"/>
  <c r="Z136" i="11"/>
  <c r="U136" i="11"/>
  <c r="Z138" i="11"/>
  <c r="AA138" i="11"/>
  <c r="W138" i="11"/>
  <c r="U138" i="11"/>
  <c r="T138" i="11"/>
  <c r="S138" i="11"/>
  <c r="V138" i="11"/>
  <c r="P138" i="11"/>
  <c r="X138" i="11"/>
  <c r="Q138" i="11"/>
  <c r="Y138" i="11"/>
  <c r="R138" i="11"/>
  <c r="AA144" i="11"/>
  <c r="AB80" i="11"/>
  <c r="AB128" i="11" s="1"/>
  <c r="AA148" i="11"/>
  <c r="AA68" i="11" s="1"/>
  <c r="AB84" i="11"/>
  <c r="AB132" i="11" s="1"/>
  <c r="K69" i="11"/>
  <c r="AA150" i="11"/>
  <c r="Z149" i="11"/>
  <c r="AB150" i="11"/>
  <c r="Z70" i="11"/>
  <c r="AB144" i="11"/>
  <c r="Z64" i="11"/>
  <c r="AB148" i="11"/>
  <c r="Z68" i="11"/>
  <c r="AB68" i="11" s="1"/>
  <c r="AA129" i="11"/>
  <c r="Y129" i="11"/>
  <c r="W129" i="11"/>
  <c r="V129" i="11"/>
  <c r="U129" i="11"/>
  <c r="T129" i="11"/>
  <c r="Q129" i="11"/>
  <c r="P129" i="11"/>
  <c r="X129" i="11"/>
  <c r="R129" i="11"/>
  <c r="Z129" i="11"/>
  <c r="S129" i="11"/>
  <c r="AB147" i="11"/>
  <c r="Z67" i="11"/>
  <c r="AB67" i="11" s="1"/>
  <c r="AB151" i="11"/>
  <c r="Z130" i="11"/>
  <c r="AA130" i="11"/>
  <c r="W130" i="11"/>
  <c r="U130" i="11"/>
  <c r="T130" i="11"/>
  <c r="S130" i="11"/>
  <c r="R130" i="11"/>
  <c r="V130" i="11"/>
  <c r="P130" i="11"/>
  <c r="X130" i="11"/>
  <c r="Q130" i="11"/>
  <c r="Y130" i="11"/>
  <c r="AB86" i="11"/>
  <c r="AB134" i="11" s="1"/>
  <c r="U26" i="11"/>
  <c r="X26" i="11"/>
  <c r="Y26" i="11" s="1"/>
  <c r="Z26" i="11" s="1"/>
  <c r="AA26" i="11" s="1"/>
  <c r="U28" i="11"/>
  <c r="U29" i="11"/>
  <c r="U27" i="11"/>
  <c r="U30" i="11"/>
  <c r="N42" i="11"/>
  <c r="N10" i="11" s="1"/>
  <c r="N50" i="11"/>
  <c r="N45" i="11"/>
  <c r="N13" i="11" s="1"/>
  <c r="N44" i="11"/>
  <c r="N12" i="11" s="1"/>
  <c r="N49" i="11"/>
  <c r="N43" i="11"/>
  <c r="N11" i="11" s="1"/>
  <c r="N46" i="11"/>
  <c r="N14" i="11" s="1"/>
  <c r="AA159" i="11"/>
  <c r="AB159" i="11" s="1"/>
  <c r="D11" i="16" s="1"/>
  <c r="AB160" i="11"/>
  <c r="N51" i="11"/>
  <c r="N52" i="11"/>
  <c r="N48" i="11"/>
  <c r="L19" i="11"/>
  <c r="H196" i="11"/>
  <c r="U259" i="19"/>
  <c r="J195" i="11"/>
  <c r="W258" i="19"/>
  <c r="J117" i="11"/>
  <c r="Y179" i="11"/>
  <c r="AA85" i="11"/>
  <c r="AB85" i="11" s="1"/>
  <c r="J186" i="11"/>
  <c r="J187" i="11"/>
  <c r="J185" i="11"/>
  <c r="J188" i="11"/>
  <c r="I184" i="11"/>
  <c r="Z183" i="11"/>
  <c r="Z182" i="11"/>
  <c r="Z181" i="11"/>
  <c r="Z180" i="11"/>
  <c r="AB116" i="11"/>
  <c r="AB96" i="11"/>
  <c r="AB95" i="11" s="1"/>
  <c r="L103" i="11"/>
  <c r="L71" i="11" s="1"/>
  <c r="K101" i="11"/>
  <c r="K15" i="11"/>
  <c r="M35" i="11"/>
  <c r="M33" i="11"/>
  <c r="L17" i="11"/>
  <c r="M36" i="11"/>
  <c r="L20" i="11"/>
  <c r="M34" i="11"/>
  <c r="L18" i="11"/>
  <c r="Y63" i="11"/>
  <c r="AA95" i="11"/>
  <c r="AB87" i="11"/>
  <c r="AB135" i="11" s="1"/>
  <c r="AA79" i="11"/>
  <c r="AB79" i="11" s="1"/>
  <c r="M9" i="11"/>
  <c r="M16" i="11"/>
  <c r="Y118" i="19" l="1"/>
  <c r="Y102" i="19"/>
  <c r="Y100" i="19" s="1"/>
  <c r="W135" i="11"/>
  <c r="AA135" i="11"/>
  <c r="Z135" i="11"/>
  <c r="Y135" i="11"/>
  <c r="X135" i="11"/>
  <c r="V135" i="11"/>
  <c r="U135" i="11"/>
  <c r="T135" i="11"/>
  <c r="S135" i="11"/>
  <c r="R135" i="11"/>
  <c r="Q135" i="11"/>
  <c r="P135" i="11"/>
  <c r="L69" i="11"/>
  <c r="Z134" i="11"/>
  <c r="Z133" i="11" s="1"/>
  <c r="AA134" i="11"/>
  <c r="AA133" i="11" s="1"/>
  <c r="W134" i="11"/>
  <c r="W133" i="11" s="1"/>
  <c r="U134" i="11"/>
  <c r="T134" i="11"/>
  <c r="T133" i="11" s="1"/>
  <c r="S134" i="11"/>
  <c r="S133" i="11" s="1"/>
  <c r="V134" i="11"/>
  <c r="V133" i="11" s="1"/>
  <c r="P134" i="11"/>
  <c r="P133" i="11" s="1"/>
  <c r="X134" i="11"/>
  <c r="X133" i="11" s="1"/>
  <c r="Q134" i="11"/>
  <c r="Q133" i="11" s="1"/>
  <c r="Y134" i="11"/>
  <c r="Y133" i="11" s="1"/>
  <c r="R134" i="11"/>
  <c r="R133" i="11" s="1"/>
  <c r="AA149" i="11"/>
  <c r="AB149" i="11" s="1"/>
  <c r="AA70" i="11"/>
  <c r="U132" i="11"/>
  <c r="AA132" i="11"/>
  <c r="Y132" i="11"/>
  <c r="X132" i="11"/>
  <c r="W132" i="11"/>
  <c r="V132" i="11"/>
  <c r="T132" i="11"/>
  <c r="S132" i="11"/>
  <c r="Q132" i="11"/>
  <c r="P132" i="11"/>
  <c r="R132" i="11"/>
  <c r="Z132" i="11"/>
  <c r="U128" i="11"/>
  <c r="AA128" i="11"/>
  <c r="Y128" i="11"/>
  <c r="X128" i="11"/>
  <c r="W128" i="11"/>
  <c r="V128" i="11"/>
  <c r="T128" i="11"/>
  <c r="S128" i="11"/>
  <c r="Q128" i="11"/>
  <c r="P128" i="11"/>
  <c r="R128" i="11"/>
  <c r="Z128" i="11"/>
  <c r="AA143" i="11"/>
  <c r="AB143" i="11" s="1"/>
  <c r="AA64" i="11"/>
  <c r="AB64" i="11" s="1"/>
  <c r="U133" i="11"/>
  <c r="W131" i="11"/>
  <c r="AA131" i="11"/>
  <c r="Z131" i="11"/>
  <c r="Y131" i="11"/>
  <c r="X131" i="11"/>
  <c r="V131" i="11"/>
  <c r="U131" i="11"/>
  <c r="T131" i="11"/>
  <c r="S131" i="11"/>
  <c r="R131" i="11"/>
  <c r="Q131" i="11"/>
  <c r="P131" i="11"/>
  <c r="P48" i="11"/>
  <c r="Q48" i="11" s="1"/>
  <c r="R48" i="11" s="1"/>
  <c r="S48" i="11" s="1"/>
  <c r="T48" i="11" s="1"/>
  <c r="U48" i="11" s="1"/>
  <c r="V48" i="11" s="1"/>
  <c r="W48" i="11" s="1"/>
  <c r="X48" i="11" s="1"/>
  <c r="Y48" i="11" s="1"/>
  <c r="Z48" i="11" s="1"/>
  <c r="AA48" i="11" s="1"/>
  <c r="P46" i="11"/>
  <c r="Q46" i="11" s="1"/>
  <c r="R46" i="11" s="1"/>
  <c r="S46" i="11" s="1"/>
  <c r="T46" i="11" s="1"/>
  <c r="U46" i="11" s="1"/>
  <c r="V46" i="11" s="1"/>
  <c r="W46" i="11" s="1"/>
  <c r="X46" i="11" s="1"/>
  <c r="Y46" i="11" s="1"/>
  <c r="Z46" i="11" s="1"/>
  <c r="AA46" i="11" s="1"/>
  <c r="P52" i="11"/>
  <c r="Q52" i="11" s="1"/>
  <c r="R52" i="11" s="1"/>
  <c r="S52" i="11" s="1"/>
  <c r="T52" i="11" s="1"/>
  <c r="U52" i="11" s="1"/>
  <c r="V52" i="11" s="1"/>
  <c r="W52" i="11" s="1"/>
  <c r="X52" i="11" s="1"/>
  <c r="Y52" i="11" s="1"/>
  <c r="Z52" i="11" s="1"/>
  <c r="AA52" i="11" s="1"/>
  <c r="P43" i="11"/>
  <c r="Q43" i="11" s="1"/>
  <c r="R43" i="11" s="1"/>
  <c r="S43" i="11" s="1"/>
  <c r="T43" i="11" s="1"/>
  <c r="U43" i="11" s="1"/>
  <c r="V43" i="11" s="1"/>
  <c r="W43" i="11" s="1"/>
  <c r="X43" i="11" s="1"/>
  <c r="Y43" i="11" s="1"/>
  <c r="Z43" i="11" s="1"/>
  <c r="AA43" i="11" s="1"/>
  <c r="P45" i="11"/>
  <c r="Q45" i="11" s="1"/>
  <c r="R45" i="11" s="1"/>
  <c r="S45" i="11" s="1"/>
  <c r="T45" i="11" s="1"/>
  <c r="U45" i="11" s="1"/>
  <c r="V45" i="11" s="1"/>
  <c r="W45" i="11" s="1"/>
  <c r="X45" i="11" s="1"/>
  <c r="Y45" i="11" s="1"/>
  <c r="Z45" i="11" s="1"/>
  <c r="AA45" i="11" s="1"/>
  <c r="P51" i="11"/>
  <c r="Q51" i="11" s="1"/>
  <c r="R51" i="11" s="1"/>
  <c r="S51" i="11" s="1"/>
  <c r="T51" i="11" s="1"/>
  <c r="U51" i="11" s="1"/>
  <c r="V51" i="11" s="1"/>
  <c r="W51" i="11" s="1"/>
  <c r="X51" i="11" s="1"/>
  <c r="Y51" i="11" s="1"/>
  <c r="Z51" i="11" s="1"/>
  <c r="AA51" i="11" s="1"/>
  <c r="P49" i="11"/>
  <c r="Q49" i="11" s="1"/>
  <c r="R49" i="11" s="1"/>
  <c r="S49" i="11" s="1"/>
  <c r="T49" i="11" s="1"/>
  <c r="U49" i="11" s="1"/>
  <c r="V49" i="11" s="1"/>
  <c r="W49" i="11" s="1"/>
  <c r="X49" i="11" s="1"/>
  <c r="Y49" i="11" s="1"/>
  <c r="Z49" i="11" s="1"/>
  <c r="AA49" i="11" s="1"/>
  <c r="P50" i="11"/>
  <c r="Q50" i="11" s="1"/>
  <c r="R50" i="11" s="1"/>
  <c r="S50" i="11" s="1"/>
  <c r="T50" i="11" s="1"/>
  <c r="U50" i="11" s="1"/>
  <c r="V50" i="11" s="1"/>
  <c r="W50" i="11" s="1"/>
  <c r="X50" i="11" s="1"/>
  <c r="Y50" i="11" s="1"/>
  <c r="Z50" i="11" s="1"/>
  <c r="AA50" i="11" s="1"/>
  <c r="P44" i="11"/>
  <c r="Q44" i="11" s="1"/>
  <c r="R44" i="11" s="1"/>
  <c r="S44" i="11" s="1"/>
  <c r="T44" i="11" s="1"/>
  <c r="U44" i="11" s="1"/>
  <c r="V44" i="11" s="1"/>
  <c r="W44" i="11" s="1"/>
  <c r="X44" i="11" s="1"/>
  <c r="Y44" i="11" s="1"/>
  <c r="Z44" i="11" s="1"/>
  <c r="AA44" i="11" s="1"/>
  <c r="P42" i="11"/>
  <c r="Q42" i="11" s="1"/>
  <c r="R42" i="11" s="1"/>
  <c r="S42" i="11" s="1"/>
  <c r="T42" i="11" s="1"/>
  <c r="U42" i="11" s="1"/>
  <c r="V42" i="11" s="1"/>
  <c r="W42" i="11" s="1"/>
  <c r="X42" i="11" s="1"/>
  <c r="Y42" i="11" s="1"/>
  <c r="Z42" i="11" s="1"/>
  <c r="AA42" i="11" s="1"/>
  <c r="V26" i="11"/>
  <c r="V30" i="11"/>
  <c r="V29" i="11"/>
  <c r="V28" i="11"/>
  <c r="V27" i="11"/>
  <c r="M19" i="11"/>
  <c r="O10" i="11"/>
  <c r="O12" i="11"/>
  <c r="O13" i="11"/>
  <c r="K117" i="11"/>
  <c r="O11" i="11"/>
  <c r="K195" i="11"/>
  <c r="X258" i="19"/>
  <c r="O14" i="11"/>
  <c r="I196" i="11"/>
  <c r="V259" i="19"/>
  <c r="D10" i="16"/>
  <c r="K186" i="11"/>
  <c r="K188" i="11"/>
  <c r="K185" i="11"/>
  <c r="K187" i="11"/>
  <c r="J184" i="11"/>
  <c r="AA183" i="11"/>
  <c r="AB183" i="11" s="1"/>
  <c r="AA182" i="11"/>
  <c r="AA181" i="11"/>
  <c r="AB181" i="11" s="1"/>
  <c r="AA180" i="11"/>
  <c r="Z179" i="11"/>
  <c r="F172" i="11"/>
  <c r="W172" i="11"/>
  <c r="J172" i="11"/>
  <c r="S172" i="11"/>
  <c r="Q172" i="11"/>
  <c r="E172" i="11"/>
  <c r="D172" i="11"/>
  <c r="R172" i="11"/>
  <c r="K172" i="11"/>
  <c r="L172" i="11"/>
  <c r="V172" i="11"/>
  <c r="I172" i="11"/>
  <c r="X172" i="11"/>
  <c r="H172" i="11"/>
  <c r="T172" i="11"/>
  <c r="AA172" i="11"/>
  <c r="M172" i="11"/>
  <c r="Y172" i="11"/>
  <c r="G172" i="11"/>
  <c r="N172" i="11"/>
  <c r="L189" i="11"/>
  <c r="AA111" i="11"/>
  <c r="AB111" i="11" s="1"/>
  <c r="AB112" i="11"/>
  <c r="K189" i="11"/>
  <c r="P172" i="11"/>
  <c r="Z172" i="11"/>
  <c r="U172" i="11"/>
  <c r="M103" i="11"/>
  <c r="M71" i="11" s="1"/>
  <c r="L15" i="11"/>
  <c r="L101" i="11"/>
  <c r="N35" i="11"/>
  <c r="N34" i="11"/>
  <c r="M18" i="11"/>
  <c r="N36" i="11"/>
  <c r="M20" i="11"/>
  <c r="N33" i="11"/>
  <c r="M17" i="11"/>
  <c r="AB174" i="11"/>
  <c r="O174" i="11"/>
  <c r="Z63" i="11"/>
  <c r="AA127" i="11"/>
  <c r="N16" i="11"/>
  <c r="N9" i="11"/>
  <c r="Z118" i="19" l="1"/>
  <c r="Z116" i="19" s="1"/>
  <c r="Z102" i="19"/>
  <c r="Z100" i="19" s="1"/>
  <c r="Y116" i="19"/>
  <c r="M69" i="11"/>
  <c r="Z127" i="11"/>
  <c r="R127" i="11"/>
  <c r="P127" i="11"/>
  <c r="Q127" i="11"/>
  <c r="S127" i="11"/>
  <c r="T127" i="11"/>
  <c r="V127" i="11"/>
  <c r="W127" i="11"/>
  <c r="X127" i="11"/>
  <c r="Y127" i="11"/>
  <c r="U127" i="11"/>
  <c r="AB70" i="11"/>
  <c r="AB133" i="11"/>
  <c r="P12" i="11"/>
  <c r="P13" i="11"/>
  <c r="P14" i="11"/>
  <c r="P11" i="11"/>
  <c r="W26" i="11"/>
  <c r="W28" i="11"/>
  <c r="W30" i="11"/>
  <c r="W27" i="11"/>
  <c r="W29" i="11"/>
  <c r="W259" i="19"/>
  <c r="L117" i="11"/>
  <c r="L195" i="11"/>
  <c r="Y258" i="19"/>
  <c r="J196" i="11"/>
  <c r="M189" i="11"/>
  <c r="O9" i="11"/>
  <c r="L185" i="11"/>
  <c r="L188" i="11"/>
  <c r="L186" i="11"/>
  <c r="L187" i="11"/>
  <c r="K184" i="11"/>
  <c r="AA179" i="11"/>
  <c r="AB179" i="11" s="1"/>
  <c r="AB182" i="11"/>
  <c r="O182" i="11"/>
  <c r="O172" i="11"/>
  <c r="F6" i="16" s="1"/>
  <c r="I6" i="12" s="1"/>
  <c r="AB172" i="11"/>
  <c r="AB180" i="11"/>
  <c r="M101" i="11"/>
  <c r="N103" i="11"/>
  <c r="N71" i="11" s="1"/>
  <c r="N20" i="11"/>
  <c r="P33" i="11"/>
  <c r="H9" i="12"/>
  <c r="P34" i="11"/>
  <c r="P18" i="11" s="1"/>
  <c r="N19" i="11"/>
  <c r="M15" i="11"/>
  <c r="N18" i="11"/>
  <c r="N17" i="11"/>
  <c r="P36" i="11"/>
  <c r="P20" i="11" s="1"/>
  <c r="P35" i="11"/>
  <c r="P19" i="11" s="1"/>
  <c r="H7" i="12"/>
  <c r="AA63" i="11"/>
  <c r="O4" i="11"/>
  <c r="P16" i="11"/>
  <c r="O16" i="11"/>
  <c r="P10" i="11"/>
  <c r="Q12" i="11"/>
  <c r="Q11" i="11"/>
  <c r="K6" i="12" l="1"/>
  <c r="J6" i="12"/>
  <c r="AA118" i="19"/>
  <c r="AA102" i="19"/>
  <c r="N69" i="11"/>
  <c r="O69" i="11" s="1"/>
  <c r="O71" i="11"/>
  <c r="AB127" i="11"/>
  <c r="F5" i="16"/>
  <c r="X28" i="11"/>
  <c r="Y28" i="11" s="1"/>
  <c r="Z28" i="11" s="1"/>
  <c r="AA28" i="11" s="1"/>
  <c r="X30" i="11"/>
  <c r="Y30" i="11" s="1"/>
  <c r="Z30" i="11" s="1"/>
  <c r="AA30" i="11" s="1"/>
  <c r="X29" i="11"/>
  <c r="Y29" i="11" s="1"/>
  <c r="Z29" i="11" s="1"/>
  <c r="AA29" i="11" s="1"/>
  <c r="X27" i="11"/>
  <c r="Y27" i="11" s="1"/>
  <c r="Z27" i="11" s="1"/>
  <c r="AA27" i="11" s="1"/>
  <c r="H8" i="12"/>
  <c r="O20" i="11"/>
  <c r="O17" i="11"/>
  <c r="O119" i="11"/>
  <c r="K196" i="11"/>
  <c r="X259" i="19"/>
  <c r="O18" i="11"/>
  <c r="M117" i="11"/>
  <c r="M195" i="11"/>
  <c r="Z258" i="19"/>
  <c r="O19" i="11"/>
  <c r="AB63" i="11"/>
  <c r="L184" i="11"/>
  <c r="M185" i="11"/>
  <c r="M188" i="11"/>
  <c r="M187" i="11"/>
  <c r="M186" i="11"/>
  <c r="P103" i="11"/>
  <c r="P71" i="11" s="1"/>
  <c r="Q33" i="11"/>
  <c r="Q34" i="11"/>
  <c r="Q18" i="11" s="1"/>
  <c r="P17" i="11"/>
  <c r="P15" i="11" s="1"/>
  <c r="O103" i="11"/>
  <c r="N101" i="11"/>
  <c r="Q35" i="11"/>
  <c r="Q19" i="11" s="1"/>
  <c r="Q36" i="11"/>
  <c r="N15" i="11"/>
  <c r="AA258" i="19" s="1"/>
  <c r="H15" i="12"/>
  <c r="Q13" i="11"/>
  <c r="P9" i="11"/>
  <c r="Q14" i="11"/>
  <c r="Q16" i="11"/>
  <c r="Q10" i="11"/>
  <c r="R14" i="11"/>
  <c r="R13" i="11"/>
  <c r="AA100" i="19" l="1"/>
  <c r="AB100" i="19" s="1"/>
  <c r="AB102" i="19"/>
  <c r="AA116" i="19"/>
  <c r="AB116" i="19" s="1"/>
  <c r="AB118" i="19"/>
  <c r="P69" i="11"/>
  <c r="G6" i="16"/>
  <c r="G14" i="16" s="1"/>
  <c r="G9" i="16" s="1"/>
  <c r="I13" i="12"/>
  <c r="F14" i="16"/>
  <c r="I14" i="12" s="1"/>
  <c r="C17" i="15"/>
  <c r="I5" i="12"/>
  <c r="F7" i="16"/>
  <c r="Y259" i="19"/>
  <c r="P195" i="11"/>
  <c r="L196" i="11"/>
  <c r="O101" i="11"/>
  <c r="N117" i="11"/>
  <c r="O15" i="11"/>
  <c r="I5" i="16" s="1"/>
  <c r="N195" i="11"/>
  <c r="N185" i="11"/>
  <c r="N188" i="11"/>
  <c r="N187" i="11"/>
  <c r="N186" i="11"/>
  <c r="M184" i="11"/>
  <c r="N189" i="11"/>
  <c r="O191" i="11"/>
  <c r="Q103" i="11"/>
  <c r="Q71" i="11" s="1"/>
  <c r="P101" i="11"/>
  <c r="S12" i="11"/>
  <c r="S11" i="11"/>
  <c r="R35" i="11"/>
  <c r="R19" i="11" s="1"/>
  <c r="R36" i="11"/>
  <c r="R34" i="11"/>
  <c r="R33" i="11"/>
  <c r="C5" i="12"/>
  <c r="Q17" i="11"/>
  <c r="Q20" i="11"/>
  <c r="H16" i="12"/>
  <c r="H18" i="12"/>
  <c r="R12" i="11"/>
  <c r="R11" i="11"/>
  <c r="Q9" i="11"/>
  <c r="R16" i="11"/>
  <c r="R10" i="11"/>
  <c r="K14" i="12" l="1"/>
  <c r="J14" i="12"/>
  <c r="F5" i="12"/>
  <c r="E5" i="12"/>
  <c r="Q69" i="11"/>
  <c r="E17" i="15"/>
  <c r="N5" i="12"/>
  <c r="I7" i="12"/>
  <c r="F8" i="16"/>
  <c r="F9" i="16"/>
  <c r="I9" i="12" s="1"/>
  <c r="C5" i="16"/>
  <c r="O189" i="11"/>
  <c r="M196" i="11"/>
  <c r="Z259" i="19"/>
  <c r="O188" i="11"/>
  <c r="O117" i="11"/>
  <c r="O186" i="11"/>
  <c r="O195" i="11"/>
  <c r="AB258" i="19"/>
  <c r="Q189" i="11"/>
  <c r="P185" i="11"/>
  <c r="P188" i="11"/>
  <c r="P187" i="11"/>
  <c r="P186" i="11"/>
  <c r="N184" i="11"/>
  <c r="P189" i="11"/>
  <c r="R103" i="11"/>
  <c r="R71" i="11" s="1"/>
  <c r="Q101" i="11"/>
  <c r="T13" i="11"/>
  <c r="T14" i="11"/>
  <c r="S13" i="11"/>
  <c r="S35" i="11"/>
  <c r="S36" i="11"/>
  <c r="S20" i="11" s="1"/>
  <c r="S33" i="11"/>
  <c r="S34" i="11"/>
  <c r="S18" i="11" s="1"/>
  <c r="Q15" i="11"/>
  <c r="Q195" i="11" s="1"/>
  <c r="R17" i="11"/>
  <c r="R20" i="11"/>
  <c r="R18" i="11"/>
  <c r="H19" i="12"/>
  <c r="S14" i="11"/>
  <c r="R9" i="11"/>
  <c r="S16" i="11"/>
  <c r="S10" i="11"/>
  <c r="K7" i="12" l="1"/>
  <c r="J7" i="12"/>
  <c r="K9" i="12"/>
  <c r="J9" i="12"/>
  <c r="R69" i="11"/>
  <c r="F15" i="16"/>
  <c r="I15" i="12" s="1"/>
  <c r="I8" i="12"/>
  <c r="K8" i="12" s="1"/>
  <c r="G17" i="15"/>
  <c r="D5" i="12"/>
  <c r="L260" i="19"/>
  <c r="L261" i="19" s="1"/>
  <c r="L262" i="19" s="1"/>
  <c r="D260" i="19"/>
  <c r="D261" i="19" s="1"/>
  <c r="D262" i="19" s="1"/>
  <c r="N196" i="11"/>
  <c r="AA259" i="19"/>
  <c r="G260" i="19"/>
  <c r="G261" i="19" s="1"/>
  <c r="G262" i="19" s="1"/>
  <c r="H260" i="19"/>
  <c r="H261" i="19" s="1"/>
  <c r="H262" i="19" s="1"/>
  <c r="K260" i="19"/>
  <c r="K261" i="19" s="1"/>
  <c r="K262" i="19" s="1"/>
  <c r="E260" i="19"/>
  <c r="E261" i="19" s="1"/>
  <c r="E262" i="19" s="1"/>
  <c r="J260" i="19"/>
  <c r="J261" i="19" s="1"/>
  <c r="J262" i="19" s="1"/>
  <c r="O236" i="19"/>
  <c r="M6" i="12" s="1"/>
  <c r="C260" i="19"/>
  <c r="C261" i="19" s="1"/>
  <c r="C262" i="19" s="1"/>
  <c r="M260" i="19"/>
  <c r="M261" i="19" s="1"/>
  <c r="M262" i="19" s="1"/>
  <c r="I260" i="19"/>
  <c r="I261" i="19" s="1"/>
  <c r="I262" i="19" s="1"/>
  <c r="F260" i="19"/>
  <c r="F261" i="19" s="1"/>
  <c r="F262" i="19" s="1"/>
  <c r="N260" i="19"/>
  <c r="N261" i="19" s="1"/>
  <c r="N262" i="19" s="1"/>
  <c r="Q188" i="11"/>
  <c r="Q186" i="11"/>
  <c r="Q185" i="11"/>
  <c r="Q187" i="11"/>
  <c r="P184" i="11"/>
  <c r="P196" i="11" s="1"/>
  <c r="S103" i="11"/>
  <c r="S71" i="11" s="1"/>
  <c r="R101" i="11"/>
  <c r="S17" i="11"/>
  <c r="T12" i="11"/>
  <c r="T36" i="11"/>
  <c r="T33" i="11"/>
  <c r="T34" i="11"/>
  <c r="T35" i="11"/>
  <c r="R15" i="11"/>
  <c r="R195" i="11" s="1"/>
  <c r="S19" i="11"/>
  <c r="T11" i="11"/>
  <c r="S9" i="11"/>
  <c r="T16" i="11"/>
  <c r="T10" i="11"/>
  <c r="J15" i="12" l="1"/>
  <c r="K15" i="12"/>
  <c r="S69" i="11"/>
  <c r="F16" i="16"/>
  <c r="I16" i="12" s="1"/>
  <c r="K16" i="12" s="1"/>
  <c r="F18" i="16"/>
  <c r="I18" i="12" s="1"/>
  <c r="C13" i="12"/>
  <c r="E13" i="12" s="1"/>
  <c r="O260" i="19"/>
  <c r="O261" i="19" s="1"/>
  <c r="O262" i="19" s="1"/>
  <c r="Q184" i="11"/>
  <c r="Q196" i="11" s="1"/>
  <c r="R185" i="11"/>
  <c r="R188" i="11"/>
  <c r="R187" i="11"/>
  <c r="R186" i="11"/>
  <c r="S189" i="11"/>
  <c r="R189" i="11"/>
  <c r="T103" i="11"/>
  <c r="T71" i="11" s="1"/>
  <c r="U11" i="11"/>
  <c r="U12" i="11"/>
  <c r="S15" i="11"/>
  <c r="S195" i="11" s="1"/>
  <c r="T17" i="11"/>
  <c r="S101" i="11"/>
  <c r="U13" i="11"/>
  <c r="V12" i="11"/>
  <c r="V14" i="11"/>
  <c r="V11" i="11"/>
  <c r="U34" i="11"/>
  <c r="U36" i="11"/>
  <c r="U33" i="11"/>
  <c r="U35" i="11"/>
  <c r="T19" i="11"/>
  <c r="T18" i="11"/>
  <c r="T20" i="11"/>
  <c r="V13" i="11"/>
  <c r="T9" i="11"/>
  <c r="U14" i="11"/>
  <c r="U16" i="11"/>
  <c r="U10" i="11"/>
  <c r="J18" i="12" l="1"/>
  <c r="K18" i="12"/>
  <c r="T69" i="11"/>
  <c r="F19" i="16"/>
  <c r="I19" i="12" s="1"/>
  <c r="K19" i="12" s="1"/>
  <c r="C19" i="15"/>
  <c r="T189" i="11"/>
  <c r="S185" i="11"/>
  <c r="S188" i="11"/>
  <c r="S186" i="11"/>
  <c r="S187" i="11"/>
  <c r="R184" i="11"/>
  <c r="R196" i="11" s="1"/>
  <c r="U103" i="11"/>
  <c r="U71" i="11" s="1"/>
  <c r="T101" i="11"/>
  <c r="W11" i="11"/>
  <c r="W13" i="11"/>
  <c r="W14" i="11"/>
  <c r="W12" i="11"/>
  <c r="V35" i="11"/>
  <c r="V19" i="11" s="1"/>
  <c r="V33" i="11"/>
  <c r="V36" i="11"/>
  <c r="V34" i="11"/>
  <c r="T15" i="11"/>
  <c r="T195" i="11" s="1"/>
  <c r="U20" i="11"/>
  <c r="U19" i="11"/>
  <c r="U17" i="11"/>
  <c r="U18" i="11"/>
  <c r="U9" i="11"/>
  <c r="V16" i="11"/>
  <c r="V10" i="11"/>
  <c r="V9" i="11" s="1"/>
  <c r="U69" i="11" l="1"/>
  <c r="S184" i="11"/>
  <c r="S196" i="11" s="1"/>
  <c r="T187" i="11"/>
  <c r="T185" i="11"/>
  <c r="T188" i="11"/>
  <c r="T186" i="11"/>
  <c r="V103" i="11"/>
  <c r="V71" i="11" s="1"/>
  <c r="U101" i="11"/>
  <c r="X11" i="11"/>
  <c r="X13" i="11"/>
  <c r="X12" i="11"/>
  <c r="X14" i="11"/>
  <c r="W35" i="11"/>
  <c r="W19" i="11" s="1"/>
  <c r="W34" i="11"/>
  <c r="W33" i="11"/>
  <c r="V18" i="11"/>
  <c r="W36" i="11"/>
  <c r="V20" i="11"/>
  <c r="U15" i="11"/>
  <c r="U195" i="11" s="1"/>
  <c r="V17" i="11"/>
  <c r="W16" i="11"/>
  <c r="W10" i="11"/>
  <c r="W9" i="11" s="1"/>
  <c r="V69" i="11" l="1"/>
  <c r="V189" i="11"/>
  <c r="U187" i="11"/>
  <c r="U186" i="11"/>
  <c r="U185" i="11"/>
  <c r="U188" i="11"/>
  <c r="T184" i="11"/>
  <c r="T196" i="11" s="1"/>
  <c r="U189" i="11"/>
  <c r="V101" i="11"/>
  <c r="W103" i="11"/>
  <c r="W71" i="11" s="1"/>
  <c r="Y13" i="11"/>
  <c r="Y14" i="11"/>
  <c r="Y12" i="11"/>
  <c r="X36" i="11"/>
  <c r="X35" i="11"/>
  <c r="X33" i="11"/>
  <c r="X34" i="11"/>
  <c r="V15" i="11"/>
  <c r="V195" i="11" s="1"/>
  <c r="W20" i="11"/>
  <c r="W18" i="11"/>
  <c r="W17" i="11"/>
  <c r="X16" i="11"/>
  <c r="X10" i="11"/>
  <c r="X9" i="11" s="1"/>
  <c r="W69" i="11" l="1"/>
  <c r="U184" i="11"/>
  <c r="U196" i="11" s="1"/>
  <c r="V186" i="11"/>
  <c r="V187" i="11"/>
  <c r="V185" i="11"/>
  <c r="V188" i="11"/>
  <c r="X103" i="11"/>
  <c r="X71" i="11" s="1"/>
  <c r="Y36" i="11"/>
  <c r="W101" i="11"/>
  <c r="Z11" i="11"/>
  <c r="Z14" i="11"/>
  <c r="Y11" i="11"/>
  <c r="Z12" i="11"/>
  <c r="Z13" i="11"/>
  <c r="Y33" i="11"/>
  <c r="Y34" i="11"/>
  <c r="Y35" i="11"/>
  <c r="W15" i="11"/>
  <c r="W195" i="11" s="1"/>
  <c r="X17" i="11"/>
  <c r="X20" i="11"/>
  <c r="X18" i="11"/>
  <c r="X19" i="11"/>
  <c r="Y16" i="11"/>
  <c r="Y10" i="11"/>
  <c r="X69" i="11" l="1"/>
  <c r="V184" i="11"/>
  <c r="V196" i="11" s="1"/>
  <c r="W186" i="11"/>
  <c r="W187" i="11"/>
  <c r="W185" i="11"/>
  <c r="W188" i="11"/>
  <c r="X189" i="11"/>
  <c r="W189" i="11"/>
  <c r="Y103" i="11"/>
  <c r="Y71" i="11" s="1"/>
  <c r="X101" i="11"/>
  <c r="Y9" i="11"/>
  <c r="Z35" i="11"/>
  <c r="Z33" i="11"/>
  <c r="Y19" i="11"/>
  <c r="Z36" i="11"/>
  <c r="Z34" i="11"/>
  <c r="Z18" i="11" s="1"/>
  <c r="X15" i="11"/>
  <c r="X195" i="11" s="1"/>
  <c r="Y17" i="11"/>
  <c r="Y20" i="11"/>
  <c r="Y18" i="11"/>
  <c r="Z16" i="11"/>
  <c r="Z10" i="11"/>
  <c r="Z9" i="11" s="1"/>
  <c r="Y69" i="11" l="1"/>
  <c r="X186" i="11"/>
  <c r="X187" i="11"/>
  <c r="X185" i="11"/>
  <c r="X188" i="11"/>
  <c r="W184" i="11"/>
  <c r="W196" i="11" s="1"/>
  <c r="Y189" i="11"/>
  <c r="Z103" i="11"/>
  <c r="Z71" i="11" s="1"/>
  <c r="Y101" i="11"/>
  <c r="Z17" i="11"/>
  <c r="AA34" i="11"/>
  <c r="AA36" i="11"/>
  <c r="AA33" i="11"/>
  <c r="AA35" i="11"/>
  <c r="Z20" i="11"/>
  <c r="Z19" i="11"/>
  <c r="Y15" i="11"/>
  <c r="Y195" i="11" s="1"/>
  <c r="AB4" i="11"/>
  <c r="AA12" i="11"/>
  <c r="AB12" i="11" s="1"/>
  <c r="AA11" i="11"/>
  <c r="AB11" i="11" s="1"/>
  <c r="AA14" i="11"/>
  <c r="AB14" i="11" s="1"/>
  <c r="AA13" i="11"/>
  <c r="AB13" i="11" s="1"/>
  <c r="AA16" i="11"/>
  <c r="AA10" i="11"/>
  <c r="Z69" i="11" l="1"/>
  <c r="X184" i="11"/>
  <c r="X196" i="11" s="1"/>
  <c r="Y188" i="11"/>
  <c r="Y186" i="11"/>
  <c r="Y187" i="11"/>
  <c r="Y185" i="11"/>
  <c r="Z189" i="11"/>
  <c r="AA103" i="11"/>
  <c r="AA71" i="11" s="1"/>
  <c r="Z101" i="11"/>
  <c r="AA18" i="11"/>
  <c r="AB18" i="11" s="1"/>
  <c r="Z15" i="11"/>
  <c r="Z195" i="11" s="1"/>
  <c r="AA19" i="11"/>
  <c r="AB19" i="11" s="1"/>
  <c r="AA17" i="11"/>
  <c r="AB17" i="11" s="1"/>
  <c r="AA20" i="11"/>
  <c r="AB20" i="11" s="1"/>
  <c r="AA9" i="11"/>
  <c r="AB10" i="11"/>
  <c r="AB16" i="11"/>
  <c r="AA69" i="11" l="1"/>
  <c r="AB71" i="11"/>
  <c r="AB69" i="11"/>
  <c r="AB117" i="11"/>
  <c r="Y184" i="11"/>
  <c r="Y196" i="11" s="1"/>
  <c r="AB9" i="11"/>
  <c r="G5" i="16" s="1"/>
  <c r="Z185" i="11"/>
  <c r="Z187" i="11"/>
  <c r="Z188" i="11"/>
  <c r="Z186" i="11"/>
  <c r="AA189" i="11"/>
  <c r="AB189" i="11" s="1"/>
  <c r="AB191" i="11"/>
  <c r="AB103" i="11"/>
  <c r="AB101" i="11" s="1"/>
  <c r="AA101" i="11"/>
  <c r="AA15" i="11"/>
  <c r="AB15" i="11" s="1"/>
  <c r="J5" i="16" s="1"/>
  <c r="AB119" i="11" l="1"/>
  <c r="D17" i="15"/>
  <c r="D18" i="15" s="1"/>
  <c r="G7" i="16"/>
  <c r="F17" i="15"/>
  <c r="F18" i="15" s="1"/>
  <c r="D5" i="16"/>
  <c r="H17" i="15" s="1"/>
  <c r="H18" i="15" s="1"/>
  <c r="AA195" i="11"/>
  <c r="AB195" i="11"/>
  <c r="Z184" i="11"/>
  <c r="Z196" i="11" s="1"/>
  <c r="AA185" i="11"/>
  <c r="AA188" i="11"/>
  <c r="AB188" i="11" s="1"/>
  <c r="AA186" i="11"/>
  <c r="AB186" i="11" s="1"/>
  <c r="AA187" i="11"/>
  <c r="C173" i="11"/>
  <c r="T173" i="11"/>
  <c r="T197" i="11" s="1"/>
  <c r="I173" i="11"/>
  <c r="V173" i="11"/>
  <c r="V197" i="11" s="1"/>
  <c r="G173" i="11"/>
  <c r="W173" i="11"/>
  <c r="W197" i="11" s="1"/>
  <c r="E173" i="11"/>
  <c r="D173" i="11"/>
  <c r="Y173" i="11"/>
  <c r="Y197" i="11" s="1"/>
  <c r="Y198" i="11" s="1"/>
  <c r="M173" i="11"/>
  <c r="AA173" i="11"/>
  <c r="AA197" i="11" s="1"/>
  <c r="Q173" i="11"/>
  <c r="Q197" i="11" s="1"/>
  <c r="U173" i="11"/>
  <c r="U197" i="11" s="1"/>
  <c r="S173" i="11"/>
  <c r="S197" i="11" s="1"/>
  <c r="J173" i="11"/>
  <c r="F173" i="11"/>
  <c r="H173" i="11"/>
  <c r="X173" i="11"/>
  <c r="X197" i="11" s="1"/>
  <c r="N173" i="11"/>
  <c r="Z173" i="11"/>
  <c r="Z197" i="11" s="1"/>
  <c r="P173" i="11"/>
  <c r="P197" i="11" s="1"/>
  <c r="L173" i="11"/>
  <c r="R173" i="11"/>
  <c r="R197" i="11" s="1"/>
  <c r="K173" i="11"/>
  <c r="G8" i="16" l="1"/>
  <c r="G15" i="16"/>
  <c r="N197" i="11"/>
  <c r="N198" i="11" s="1"/>
  <c r="N199" i="11" s="1"/>
  <c r="AA260" i="19"/>
  <c r="AA261" i="19" s="1"/>
  <c r="AA262" i="19" s="1"/>
  <c r="H197" i="11"/>
  <c r="H198" i="11" s="1"/>
  <c r="H199" i="11" s="1"/>
  <c r="U260" i="19"/>
  <c r="U261" i="19" s="1"/>
  <c r="U262" i="19" s="1"/>
  <c r="G197" i="11"/>
  <c r="G198" i="11" s="1"/>
  <c r="G199" i="11" s="1"/>
  <c r="T260" i="19"/>
  <c r="T261" i="19" s="1"/>
  <c r="T262" i="19" s="1"/>
  <c r="C197" i="11"/>
  <c r="C198" i="11" s="1"/>
  <c r="C199" i="11" s="1"/>
  <c r="P260" i="19"/>
  <c r="P261" i="19" s="1"/>
  <c r="P262" i="19" s="1"/>
  <c r="K197" i="11"/>
  <c r="X260" i="19"/>
  <c r="X261" i="19" s="1"/>
  <c r="X262" i="19" s="1"/>
  <c r="F197" i="11"/>
  <c r="F198" i="11" s="1"/>
  <c r="S260" i="19"/>
  <c r="S261" i="19" s="1"/>
  <c r="S262" i="19" s="1"/>
  <c r="D197" i="11"/>
  <c r="D198" i="11" s="1"/>
  <c r="D199" i="11" s="1"/>
  <c r="Q260" i="19"/>
  <c r="Q261" i="19" s="1"/>
  <c r="Q262" i="19" s="1"/>
  <c r="I197" i="11"/>
  <c r="I198" i="11" s="1"/>
  <c r="I199" i="11" s="1"/>
  <c r="V260" i="19"/>
  <c r="V261" i="19" s="1"/>
  <c r="V262" i="19" s="1"/>
  <c r="J197" i="11"/>
  <c r="J198" i="11" s="1"/>
  <c r="W260" i="19"/>
  <c r="W261" i="19" s="1"/>
  <c r="W262" i="19" s="1"/>
  <c r="E197" i="11"/>
  <c r="E198" i="11" s="1"/>
  <c r="E199" i="11" s="1"/>
  <c r="R260" i="19"/>
  <c r="R261" i="19" s="1"/>
  <c r="R262" i="19" s="1"/>
  <c r="M197" i="11"/>
  <c r="M198" i="11" s="1"/>
  <c r="Z260" i="19"/>
  <c r="Z261" i="19" s="1"/>
  <c r="Z262" i="19" s="1"/>
  <c r="L197" i="11"/>
  <c r="L198" i="11" s="1"/>
  <c r="L199" i="11" s="1"/>
  <c r="Y260" i="19"/>
  <c r="Z198" i="11"/>
  <c r="Z199" i="11" s="1"/>
  <c r="S198" i="11"/>
  <c r="S199" i="11" s="1"/>
  <c r="W198" i="11"/>
  <c r="W199" i="11" s="1"/>
  <c r="R198" i="11"/>
  <c r="R199" i="11" s="1"/>
  <c r="Q198" i="11"/>
  <c r="Q199" i="11" s="1"/>
  <c r="V198" i="11"/>
  <c r="V199" i="11" s="1"/>
  <c r="P198" i="11"/>
  <c r="P199" i="11" s="1"/>
  <c r="Y199" i="11"/>
  <c r="U198" i="11"/>
  <c r="U199" i="11" s="1"/>
  <c r="X198" i="11"/>
  <c r="X199" i="11" s="1"/>
  <c r="T198" i="11"/>
  <c r="T199" i="11" s="1"/>
  <c r="AA184" i="11"/>
  <c r="AB184" i="11" s="1"/>
  <c r="AB187" i="11"/>
  <c r="O187" i="11"/>
  <c r="O184" i="11"/>
  <c r="O185" i="11"/>
  <c r="AB185" i="11"/>
  <c r="O173" i="11"/>
  <c r="I6" i="16" s="1"/>
  <c r="AB173" i="11"/>
  <c r="N6" i="12" l="1"/>
  <c r="C6" i="16"/>
  <c r="I7" i="16"/>
  <c r="G18" i="16"/>
  <c r="G16" i="16"/>
  <c r="AB197" i="11"/>
  <c r="D13" i="16"/>
  <c r="C13" i="16"/>
  <c r="N13" i="12"/>
  <c r="I14" i="16"/>
  <c r="I9" i="16" s="1"/>
  <c r="F199" i="11"/>
  <c r="K198" i="11"/>
  <c r="K199" i="11" s="1"/>
  <c r="J199" i="11"/>
  <c r="M199" i="11"/>
  <c r="O197" i="11"/>
  <c r="Y261" i="19"/>
  <c r="Y262" i="19" s="1"/>
  <c r="O196" i="11"/>
  <c r="J6" i="16"/>
  <c r="AA196" i="11"/>
  <c r="M7" i="12"/>
  <c r="C6" i="12"/>
  <c r="M9" i="12"/>
  <c r="O6" i="12" l="1"/>
  <c r="P6" i="12"/>
  <c r="N14" i="12"/>
  <c r="AB260" i="19"/>
  <c r="AB259" i="19"/>
  <c r="G19" i="16"/>
  <c r="D19" i="15"/>
  <c r="D20" i="15" s="1"/>
  <c r="N7" i="12"/>
  <c r="O7" i="12" s="1"/>
  <c r="I8" i="16"/>
  <c r="D6" i="12"/>
  <c r="E6" i="12" s="1"/>
  <c r="C7" i="16"/>
  <c r="N9" i="12"/>
  <c r="P9" i="12" s="1"/>
  <c r="I15" i="16"/>
  <c r="D13" i="12"/>
  <c r="C14" i="16"/>
  <c r="AB196" i="11"/>
  <c r="AB198" i="11" s="1"/>
  <c r="AB199" i="11" s="1"/>
  <c r="M8" i="12"/>
  <c r="C7" i="12"/>
  <c r="M15" i="12"/>
  <c r="O198" i="11"/>
  <c r="O199" i="11" s="1"/>
  <c r="AA198" i="11"/>
  <c r="AA199" i="11" s="1"/>
  <c r="O9" i="12" l="1"/>
  <c r="F6" i="12"/>
  <c r="P7" i="12"/>
  <c r="O14" i="12"/>
  <c r="P14" i="12"/>
  <c r="D14" i="12"/>
  <c r="N8" i="12"/>
  <c r="P8" i="12" s="1"/>
  <c r="AB261" i="19"/>
  <c r="AB262" i="19" s="1"/>
  <c r="D7" i="12"/>
  <c r="F7" i="12" s="1"/>
  <c r="C8" i="16"/>
  <c r="N15" i="12"/>
  <c r="P15" i="12" s="1"/>
  <c r="I16" i="16"/>
  <c r="I18" i="16"/>
  <c r="C9" i="16"/>
  <c r="J14" i="16"/>
  <c r="J9" i="16" s="1"/>
  <c r="D6" i="16"/>
  <c r="J7" i="16"/>
  <c r="M16" i="12"/>
  <c r="C9" i="12"/>
  <c r="C8" i="12"/>
  <c r="M18" i="12"/>
  <c r="O15" i="12" l="1"/>
  <c r="E7" i="12"/>
  <c r="E14" i="12"/>
  <c r="F14" i="12"/>
  <c r="C15" i="12"/>
  <c r="C16" i="12" s="1"/>
  <c r="N16" i="12"/>
  <c r="P16" i="12" s="1"/>
  <c r="D8" i="12"/>
  <c r="F8" i="12" s="1"/>
  <c r="E19" i="15"/>
  <c r="N18" i="12"/>
  <c r="O18" i="12" s="1"/>
  <c r="I19" i="16"/>
  <c r="D9" i="12"/>
  <c r="E9" i="12" s="1"/>
  <c r="C15" i="16"/>
  <c r="C17" i="16" s="1"/>
  <c r="J8" i="16"/>
  <c r="J15" i="16"/>
  <c r="D7" i="16"/>
  <c r="D8" i="16" s="1"/>
  <c r="D14" i="16"/>
  <c r="D9" i="16" s="1"/>
  <c r="M19" i="12"/>
  <c r="F9" i="12" l="1"/>
  <c r="E8" i="12"/>
  <c r="P18" i="12"/>
  <c r="C17" i="12"/>
  <c r="D15" i="16"/>
  <c r="D16" i="16" s="1"/>
  <c r="N19" i="12"/>
  <c r="P19" i="12" s="1"/>
  <c r="C18" i="16"/>
  <c r="D15" i="12"/>
  <c r="F15" i="12" s="1"/>
  <c r="C16" i="16"/>
  <c r="J16" i="16"/>
  <c r="J18" i="16"/>
  <c r="E15" i="12" l="1"/>
  <c r="C18" i="12"/>
  <c r="D18" i="16"/>
  <c r="H19" i="15" s="1"/>
  <c r="H20" i="15" s="1"/>
  <c r="D16" i="12"/>
  <c r="F16" i="12" s="1"/>
  <c r="D17" i="12"/>
  <c r="E17" i="12" s="1"/>
  <c r="D18" i="12"/>
  <c r="G19" i="15"/>
  <c r="C19" i="16"/>
  <c r="J19" i="16"/>
  <c r="F19" i="15"/>
  <c r="F20" i="15" s="1"/>
  <c r="E18" i="12" l="1"/>
  <c r="F18" i="12"/>
  <c r="C19" i="12"/>
  <c r="D19" i="16"/>
  <c r="D19" i="12"/>
  <c r="F19" i="12" l="1"/>
</calcChain>
</file>

<file path=xl/sharedStrings.xml><?xml version="1.0" encoding="utf-8"?>
<sst xmlns="http://schemas.openxmlformats.org/spreadsheetml/2006/main" count="4591" uniqueCount="268">
  <si>
    <t>Последовательность расчётов</t>
  </si>
  <si>
    <t>[1]</t>
  </si>
  <si>
    <t>На листе «План-Факт» рассчитайте отклонения фактических показателей от плановых в абсолютных и относительных значениях.</t>
  </si>
  <si>
    <t>[2]</t>
  </si>
  <si>
    <t>Проанализируйте, какие выводы можно сделать на данном этапе.</t>
  </si>
  <si>
    <t>[3]</t>
  </si>
  <si>
    <t>На листе «Свод факта» рассчитайте отклонения фактических показателей от плановых.</t>
  </si>
  <si>
    <t>[4]</t>
  </si>
  <si>
    <t>[5]</t>
  </si>
  <si>
    <t>Сделайте свод данных на листах «Выгрузка персонал», «Выгрузка оборудование» и «Выгрузка лицензии» и сравните получившиеся результаты с данными на листе «Свод факта».</t>
  </si>
  <si>
    <t>[6]</t>
  </si>
  <si>
    <t>Добавьте недостающие данные из выгрузок на лист «Свод факта».</t>
  </si>
  <si>
    <t>[7]</t>
  </si>
  <si>
    <t>Сделайте выводы на листе «Свод факта» и «План-факт», добавьте предложения по доработке бюджетной модели для минимизации отклонений в будущем.</t>
  </si>
  <si>
    <t>[8]</t>
  </si>
  <si>
    <t>В отдельном pptx-файле сформируйте для руководства Kihi презентацию по результатам работы новых направлений. Дополнитеные таблицы / расчёты для презентации по необходимости формируйте на листе «Для презентации».</t>
  </si>
  <si>
    <t>Подсказку?</t>
  </si>
  <si>
    <t>Да</t>
  </si>
  <si>
    <t>Нет</t>
  </si>
  <si>
    <t>Таблица 1. Отчёт о прибылях и убытках, тыс. руб.</t>
  </si>
  <si>
    <t>Итого новые проекты</t>
  </si>
  <si>
    <t>Community</t>
  </si>
  <si>
    <t>Education</t>
  </si>
  <si>
    <t>Факт</t>
  </si>
  <si>
    <t>План</t>
  </si>
  <si>
    <t>Δ</t>
  </si>
  <si>
    <t>Δ, %</t>
  </si>
  <si>
    <t>Выручка</t>
  </si>
  <si>
    <t>Себестоимость</t>
  </si>
  <si>
    <t xml:space="preserve">Валовая прибыль </t>
  </si>
  <si>
    <t>Валовая прибыль, %</t>
  </si>
  <si>
    <t>Операционные расходы</t>
  </si>
  <si>
    <t>Расходы на персонал</t>
  </si>
  <si>
    <t>Аренда</t>
  </si>
  <si>
    <t>Реклама и маркетинг</t>
  </si>
  <si>
    <t>Оборудование, лицензии и ПО</t>
  </si>
  <si>
    <t>Прочие и непредвиденные расходы</t>
  </si>
  <si>
    <t>Операционная прибыль</t>
  </si>
  <si>
    <t>Операционная прибыль, %</t>
  </si>
  <si>
    <t>Налог на прибыль</t>
  </si>
  <si>
    <t>Чистая прибыль</t>
  </si>
  <si>
    <t>Чистая прибыль, %</t>
  </si>
  <si>
    <t>Выводы</t>
  </si>
  <si>
    <t>Таблица 2. Количество дней в периоде, шт.</t>
  </si>
  <si>
    <t>всего</t>
  </si>
  <si>
    <t>рабочих</t>
  </si>
  <si>
    <t>Таблица 3. Выручка, тыс. руб.</t>
  </si>
  <si>
    <t>факт</t>
  </si>
  <si>
    <r>
      <rPr>
        <b/>
        <sz val="14"/>
        <color rgb="FF000000"/>
        <rFont val="Roboto"/>
      </rPr>
      <t>Δ</t>
    </r>
    <r>
      <rPr>
        <b/>
        <sz val="7.7"/>
        <color rgb="FF000000"/>
        <rFont val="Roboto"/>
      </rPr>
      <t xml:space="preserve">  (</t>
    </r>
    <r>
      <rPr>
        <b/>
        <sz val="11"/>
        <color rgb="FF000000"/>
        <rFont val="Roboto"/>
      </rPr>
      <t>факт - план)</t>
    </r>
  </si>
  <si>
    <t xml:space="preserve">Первый месяц </t>
  </si>
  <si>
    <t>Подписка на месяц</t>
  </si>
  <si>
    <t>Пакет на 3 месяца</t>
  </si>
  <si>
    <t>Пакет на 6 месяцев</t>
  </si>
  <si>
    <t>Пакет на 12 месяцев</t>
  </si>
  <si>
    <t>Фритрек</t>
  </si>
  <si>
    <t>Полная оплата курса</t>
  </si>
  <si>
    <t>Оплата курса 2 траншами</t>
  </si>
  <si>
    <t>Оплата курса 3 траншами</t>
  </si>
  <si>
    <t>Оплата курса помесячно</t>
  </si>
  <si>
    <t>Таблица 3.1. Количество пользователей, чел.</t>
  </si>
  <si>
    <t>Таблица 3.1.1. Количество новых пользователей, чел.</t>
  </si>
  <si>
    <t>Таблица 3.1.2. Количество продлений, чел.</t>
  </si>
  <si>
    <t>Таблица 3.2. Стоимость подписки в мес., руб.</t>
  </si>
  <si>
    <t>Таблица 4. Расходы на аутсорс-разработку под ключ, тыс. руб.</t>
  </si>
  <si>
    <t>Таблица 5. Расходы на поддерживающий персонал, тыс. руб.</t>
  </si>
  <si>
    <t>Producr Owner</t>
  </si>
  <si>
    <t>Модератор</t>
  </si>
  <si>
    <t>Инженер тех. поддержки</t>
  </si>
  <si>
    <t>Контент-мейкер</t>
  </si>
  <si>
    <t>SMM</t>
  </si>
  <si>
    <t>Куратор</t>
  </si>
  <si>
    <t>Бухгалтер</t>
  </si>
  <si>
    <t>Таблица 5.1. Заработная плата с учётом количества штатных единиц, тыс. руб.</t>
  </si>
  <si>
    <t>Таблица 5.1.1. Оклад штатной единицы, тыс. руб.</t>
  </si>
  <si>
    <t>Таблица 5.2.2. Количество штатных единиц, чел.</t>
  </si>
  <si>
    <t>Таблица 5.2. ДМС с учётом количества штатных единиц, тыс. руб.</t>
  </si>
  <si>
    <t>Таблица 5.3. Отпускные с учётом количества штатных единиц, тыс. руб.</t>
  </si>
  <si>
    <t>Таблица 5.4. Страховые взносы с учётом количества штатных единиц, тыс. руб.</t>
  </si>
  <si>
    <t>Таблица 6. Расходы на аренду, тыс. руб.</t>
  </si>
  <si>
    <t>Всего</t>
  </si>
  <si>
    <t>Закупка мебели</t>
  </si>
  <si>
    <t>Таблица 7. Расходы на маркетинг и рекламу, тыс. руб.</t>
  </si>
  <si>
    <t>Таблица 8. Расходы на оборудование, тыс. руб.</t>
  </si>
  <si>
    <t>Бухгалтерия</t>
  </si>
  <si>
    <t>Таблица 9. Расходы на лицензии и софт, тыс. руб.</t>
  </si>
  <si>
    <t>MS Office</t>
  </si>
  <si>
    <t>Miro</t>
  </si>
  <si>
    <t>Jira</t>
  </si>
  <si>
    <t>Доп.софт для разработки комьюнити-платформы</t>
  </si>
  <si>
    <t>Доп.софт для разработки обучающей платформы</t>
  </si>
  <si>
    <t>1С</t>
  </si>
  <si>
    <t>ОРЕХ</t>
  </si>
  <si>
    <t>Непредвиденные</t>
  </si>
  <si>
    <t>EBITDA</t>
  </si>
  <si>
    <t>Дата</t>
  </si>
  <si>
    <t>Назначение</t>
  </si>
  <si>
    <t>ID сотрудника</t>
  </si>
  <si>
    <t>Должность</t>
  </si>
  <si>
    <t>Направление</t>
  </si>
  <si>
    <t>Сумма, руб.</t>
  </si>
  <si>
    <t>аванс</t>
  </si>
  <si>
    <t>заработная плата</t>
  </si>
  <si>
    <t>ДМС на год</t>
  </si>
  <si>
    <t>страховые и прочие взносы</t>
  </si>
  <si>
    <t>компенсация питания</t>
  </si>
  <si>
    <t>Тип</t>
  </si>
  <si>
    <t>Срок полезного использования</t>
  </si>
  <si>
    <t>Комплект оборудования "Стандартный"</t>
  </si>
  <si>
    <t>2 года</t>
  </si>
  <si>
    <t>Лицензия</t>
  </si>
  <si>
    <r>
      <t xml:space="preserve">Стоимость за годовой доступ, </t>
    </r>
    <r>
      <rPr>
        <sz val="11"/>
        <color theme="1"/>
        <rFont val="Calibri"/>
        <family val="2"/>
      </rPr>
      <t>$</t>
    </r>
  </si>
  <si>
    <t>Курс доллара</t>
  </si>
  <si>
    <t>Итого новые направления</t>
  </si>
  <si>
    <t>Неоцифрованные</t>
  </si>
  <si>
    <t>Создать базу квалифицированных разработчиков, которые потенциально смогут работать в Kihi</t>
  </si>
  <si>
    <t>Создать сообщество с большим количеством активных пользователей</t>
  </si>
  <si>
    <t>Нефинансовые показатели</t>
  </si>
  <si>
    <t>Количество активных пользователей</t>
  </si>
  <si>
    <t>Sticky Factor</t>
  </si>
  <si>
    <t>Средний срок жизни одного пользователя</t>
  </si>
  <si>
    <t>Стоимость привлечения пользователя</t>
  </si>
  <si>
    <t>Коэффициент удержания</t>
  </si>
  <si>
    <t>Индекс удовлетворённости</t>
  </si>
  <si>
    <t>Индекс дохождения до финала</t>
  </si>
  <si>
    <t>Количество трудоустроенных студентов</t>
  </si>
  <si>
    <t>Финансовые показатели, тыс.руб.</t>
  </si>
  <si>
    <t>Прирост год к году, %</t>
  </si>
  <si>
    <t>Таблица 11. Рыночная цена аналогов, руб.</t>
  </si>
  <si>
    <t>Таблица 15. Ожидаемое количество новых пользователей, чел.</t>
  </si>
  <si>
    <t>Таблица 17. Прочие вводные</t>
  </si>
  <si>
    <t>Ежегодная индексация ЗП</t>
  </si>
  <si>
    <t>Фритрек (недельный)</t>
  </si>
  <si>
    <t>В первый месяц</t>
  </si>
  <si>
    <t>Полная оплата годового курса</t>
  </si>
  <si>
    <t>Ежемесячный прирост</t>
  </si>
  <si>
    <t>Аренда помещения под 20-25 человек, тыс. руб./мес.</t>
  </si>
  <si>
    <t>Ограничения</t>
  </si>
  <si>
    <t>нет</t>
  </si>
  <si>
    <t>Не более 30 человек на одного куратора (фритрек не сопровождается куратором)</t>
  </si>
  <si>
    <t>Закупка мебели, тыс. руб.</t>
  </si>
  <si>
    <t>Сезонность (дополнительный прирост в летние месяцы к ежемесячному приросту)</t>
  </si>
  <si>
    <t>Закупка оборудования (компьютеры, мыши, клавиатуры), тыс. руб./чел.</t>
  </si>
  <si>
    <t>Непредвиденные расходы</t>
  </si>
  <si>
    <t>1% от всех расходов</t>
  </si>
  <si>
    <t>Таблица 16. Ожидаемый уровень проникновения продаж</t>
  </si>
  <si>
    <t>Стоимость ДМС на 1 чел./мес., тыс. руб.</t>
  </si>
  <si>
    <t>Таблица 12. Стоимость и время аутсорс-разработки под ключ, тыс. руб.</t>
  </si>
  <si>
    <t>Лицензия 1С для 1 ПК/год, тыс. руб.</t>
  </si>
  <si>
    <t>Стоимость</t>
  </si>
  <si>
    <t>Время</t>
  </si>
  <si>
    <t>Лицензия MS Office для 1 ПК/год, тыс. руб.</t>
  </si>
  <si>
    <t>Лицензия Miro для 1 ПК/год, тыс. руб.</t>
  </si>
  <si>
    <t>Лицензия Jira для 1 ПК/год, тыс. руб.</t>
  </si>
  <si>
    <t>Софт для разработки комьюнити-платформы  1 ПК/год, тыс. руб.</t>
  </si>
  <si>
    <t>Таблица 13. Рыночные ежемесячные расходы на рекламу, тыс. руб.</t>
  </si>
  <si>
    <t>Софт для разработки  обучающей платформы  1 ПК/год, тыс. руб.</t>
  </si>
  <si>
    <t>SEO</t>
  </si>
  <si>
    <t>PPC</t>
  </si>
  <si>
    <t>App ads</t>
  </si>
  <si>
    <t>Email-рассылка</t>
  </si>
  <si>
    <t>Контент-маркетинг</t>
  </si>
  <si>
    <t>Таблица 14. Рыночная ЗП поддерживающего персонала в мес., тыс. руб.</t>
  </si>
  <si>
    <t>Бухгалтер (на два проекта)</t>
  </si>
  <si>
    <t>Таблица 18. Количество дней в периоде, шт.</t>
  </si>
  <si>
    <t>Допущения</t>
  </si>
  <si>
    <t>Таблица 19. Выручка, тыс. руб.</t>
  </si>
  <si>
    <t>Таблица 19.1. Количество пользователей, чел.</t>
  </si>
  <si>
    <t>- Лояльность клиентов 100% (купленные подписки всегда продлеваются, все студенты проходят полный курс обучения)
- Стоимость подписки ближайшие два года без повышения</t>
  </si>
  <si>
    <t>Таблица 19.2. Стоимость подписки в мес., руб.</t>
  </si>
  <si>
    <t>Таблица 20. Расходы на аутсорс-разработку под ключ, тыс. руб.</t>
  </si>
  <si>
    <t>- Стоимость разработки распределена на 2 года (на период выхода в "0")</t>
  </si>
  <si>
    <t>Таблица 21. Расходы на поддерживающий персонал, тыс. руб.</t>
  </si>
  <si>
    <t>- В расчёт не заложены премии (считаем, что на первоначальном этапе система премирования под вопросом)</t>
  </si>
  <si>
    <t>Таблица 21.1. Оклад штатной единицы, тыс. руб.</t>
  </si>
  <si>
    <t>Таблица 21.2. Количество штатных единиц, чел.</t>
  </si>
  <si>
    <t>Таблица 21.3. ДМС штатной единицы, тыс. руб.</t>
  </si>
  <si>
    <t>- Без учёта инфляции (считаем, что договор ДМС заключён на 2 года)</t>
  </si>
  <si>
    <t>Таблица 21.4. Отпускные штатной единицы, тыс. руб.</t>
  </si>
  <si>
    <t>Таблица 21.5. Страховые взносы штатной единицы, тыс. руб.</t>
  </si>
  <si>
    <t>Таблица 22. Расходы на аренду, тыс. руб.</t>
  </si>
  <si>
    <t>- Расходы на мебель распределены на 2 года (на период выхода в "0")</t>
  </si>
  <si>
    <t>Таблица 23. Расходы на маркетинг и рекламу, тыс. руб.</t>
  </si>
  <si>
    <t>Таблица 24. Расходы на оборудование, тыс. руб.</t>
  </si>
  <si>
    <t>- Расходы на оборудование распределены на 2 года (на период выхода в "0")</t>
  </si>
  <si>
    <t>Таблица 25. Расходы на лицензии и софт, тыс. руб.</t>
  </si>
  <si>
    <t>Оборудование, лицензии и программное обеспечение</t>
  </si>
  <si>
    <t>янв.26</t>
  </si>
  <si>
    <t>фев.26</t>
  </si>
  <si>
    <t>мар.26</t>
  </si>
  <si>
    <t>апр.26</t>
  </si>
  <si>
    <t>июн.26</t>
  </si>
  <si>
    <t>июл.26</t>
  </si>
  <si>
    <t>авг.26</t>
  </si>
  <si>
    <t>сент.26</t>
  </si>
  <si>
    <t>окт.26</t>
  </si>
  <si>
    <t>ноя.26</t>
  </si>
  <si>
    <t>дек.26</t>
  </si>
  <si>
    <t>Таблица 10. Цели 2026-2027</t>
  </si>
  <si>
    <t>Самоокупаемость к концу 2027 года</t>
  </si>
  <si>
    <t>Ожидаемая инфляция 27/26</t>
  </si>
  <si>
    <t>релиз - 10.01.26, время на доработку - 6 мес.</t>
  </si>
  <si>
    <t>релиз - 15.01.26, время на доработку - 3 мес.</t>
  </si>
  <si>
    <t>янв.27</t>
  </si>
  <si>
    <t>фев.27</t>
  </si>
  <si>
    <t>мар.27</t>
  </si>
  <si>
    <t>апр.27</t>
  </si>
  <si>
    <t>июн.27</t>
  </si>
  <si>
    <t>июл.27</t>
  </si>
  <si>
    <t>авг.27</t>
  </si>
  <si>
    <t>сент.27</t>
  </si>
  <si>
    <t>окт.27</t>
  </si>
  <si>
    <t>ноя.27</t>
  </si>
  <si>
    <t>дек.27</t>
  </si>
  <si>
    <t>Таблица 26. Бюджет доходов и расходов 2026-2027, тыс. руб.</t>
  </si>
  <si>
    <t>Названия строк</t>
  </si>
  <si>
    <t>Общий итог</t>
  </si>
  <si>
    <t>Названия столбцов</t>
  </si>
  <si>
    <t>Сумма по полю Сумма, руб.</t>
  </si>
  <si>
    <t>уровень проникновения продаж факт</t>
  </si>
  <si>
    <t>ежемесячный прирост</t>
  </si>
  <si>
    <r>
      <t xml:space="preserve">План по чистой прибыли по новым направлениям в целом за 2026 год </t>
    </r>
    <r>
      <rPr>
        <sz val="16"/>
        <color rgb="FF222222"/>
        <rFont val="Inherit"/>
      </rPr>
      <t>не выполнен</t>
    </r>
    <r>
      <rPr>
        <sz val="16"/>
        <color theme="1"/>
        <rFont val="Arial"/>
        <family val="2"/>
        <charset val="204"/>
      </rPr>
      <t>, убытки выше плановых (в абсолютном отклонении -554, в относиельном на 3%)</t>
    </r>
  </si>
  <si>
    <r>
      <t xml:space="preserve">По направлению </t>
    </r>
    <r>
      <rPr>
        <i/>
        <sz val="16"/>
        <color theme="1"/>
        <rFont val="Inherit"/>
      </rPr>
      <t>Education</t>
    </r>
    <r>
      <rPr>
        <sz val="16"/>
        <color theme="1"/>
        <rFont val="Arial"/>
        <family val="2"/>
      </rPr>
      <t xml:space="preserve"> план перевыполнен - убыток меньше плана в относительном отклонении на 8%</t>
    </r>
  </si>
  <si>
    <t>Таблица 5.5. Компенсация питания с учётом количества штатных единиц, тыс. руб.</t>
  </si>
  <si>
    <t>Месячный формат</t>
  </si>
  <si>
    <t>янв</t>
  </si>
  <si>
    <t>февр</t>
  </si>
  <si>
    <t>март</t>
  </si>
  <si>
    <t>апр</t>
  </si>
  <si>
    <t>май</t>
  </si>
  <si>
    <t>июнь</t>
  </si>
  <si>
    <t>июль</t>
  </si>
  <si>
    <t>авг</t>
  </si>
  <si>
    <t>сент</t>
  </si>
  <si>
    <t>окт</t>
  </si>
  <si>
    <t>нояб</t>
  </si>
  <si>
    <t>дек</t>
  </si>
  <si>
    <t>Сумма зп+аванс</t>
  </si>
  <si>
    <t xml:space="preserve">Community Первый месяц </t>
  </si>
  <si>
    <t>Education Фритрек</t>
  </si>
  <si>
    <t>Допущение о 100% лояльности неверно. Это подтверждается данными из таблицы 3.1.2 («Количество продлений») и колонками с отклонениями (факт – план). Для минимизации отклонений в будующем можно разделить прогноз на новые клиенты и продления, анализируя их отдельно.Стимулирование  бонусы за продление, отдельные предложения.
Провести анализ причин оттока по сегментам (опросы, анализ поведения)</t>
  </si>
  <si>
    <t>Уровень продаж проникновения для всех типов подписок Community демонстрирует стабильный и невысокий рост. Анализ кол-ва продлений показывает кумулятивный рост, но с явными отклонениями от плановых показателей. Рекомендация например включить Бонусы за продление (скидка 10–15% при оплате следующего периода).
Система накопительных баллов (например, за активность, отзывы). 'Уровень проникновения продаж  для всех  типов подписок Education стабильно низкий, самый высокий рост показывает при помесячной форме оплаты.Эксклюзивный контент для продливших подписку. По продлению отклонения от плана: меньше, чем в Community. Сезонные колебания: незначительные, отток минимален (особенно в сравнении с Community). По ежемесячному приросту по Education Фритрек показывает спад сезонности ноябрь-декабрь. Для повышения точности планирования нужно учитывать в плане прогноза как сезонность, внедрить метрики удержания:
LTV (жизненный цикл клиента);
CAC (стоимость привлечения).
Автоматизировать мониторинг отклонений (еженедельные отчёты по Δ = факт – план).
Учитывать внешние факторы (конкуренция, экономические условия) при корректировке планов.</t>
  </si>
  <si>
    <t>Отклонение фактического числа кураторов от планового связано с увеличением прихода новых студентов</t>
  </si>
  <si>
    <t xml:space="preserve">Связано с увеличением кураторов для студентов что повлияло увеличением ДМС </t>
  </si>
  <si>
    <t>Факта нет, считаем только из плановых показателей из вкладки расчеты</t>
  </si>
  <si>
    <t>Причина отклонений связано с ростом количества кураторов</t>
  </si>
  <si>
    <t>Из выгрузки не попали компенсация питания, добавил табл. 5.5. Отколнения в таб.5 это ровно не запланированная компенсация на питание и количество кураторов конечно</t>
  </si>
  <si>
    <t>В выгрузке лицензии видно скачок роста курса доллара с марта, новый софт по новым кураторам приобретался по новым ценам.Плановая модель не учла возможный рост штата в Education и роста курса доллара, что стало ключевой причиной отклонений. Для минимизации отклонений в плановой модели стоимости лицензий в будущем можно предпринять следующие шаги:
Регулярно (каждые 3–6 месяцев) пересматривать бюджет с учётом актуального курса валют и рыночных изменений.
Разработать сценарное планирование :
создать 3–5 вариантов бюджета с разными курсами валют (оптимистичный, базовый, пессимистичный сценарии).
для каждого сценария прописать меры реагирования (например, при росте курса выше 105 руб. за доллар — перейти на рублёвые аналоги ПО).</t>
  </si>
  <si>
    <t>Community: план по привлечению пользователей не выполнен по всем категориям. Наибольший разрыв — в «Подписке на месяц» и «Пакете на 3 месяца». Основная причина — более медленный рост фактического числа пользователей по сравнению с амбициозным планом.</t>
  </si>
  <si>
    <t>Education: план перевыполнен в большинстве категорий, кроме «Фритрек». Успех в привлечении пользователей с различными моделями оплаты.</t>
  </si>
  <si>
    <t>Фактический уровень продаж не соотвествует плановому, по табл Уровень Проникновения Продаж сделаны расчеты для наглядности</t>
  </si>
  <si>
    <t>Изменение курса доллара не было учтено при планировании при оплате за лицензии, что повлияло существенное повышение цены для новых кураторов</t>
  </si>
  <si>
    <t>В плане не была учтена такая статья расходов как компенсация по питанию, обязательно включить этот пункт в бюджетирование с учётом среднего чека и числа сотрудников</t>
  </si>
  <si>
    <t>Выбывающие клиенты, вероятно, не были учтены в полной мере. План строился на предположении стабильного или растущего числа клиентов, без поправки на отток</t>
  </si>
  <si>
    <t>Несогласованность темпов роста штата и закупок, когда новые сотрудники приходят, а необходимое оборудование (компьютеры, лицензии ПО, периферия) не готово, учтёно при планировании не было</t>
  </si>
  <si>
    <t>Рекомендации руководству улучшить синхронизацию отделов, организовать регулярные встречи (например, раз в неделю) между HR, IT-отделом и отделом закупок для согласования планов по росту штата и закупке оборудования</t>
  </si>
  <si>
    <t>Для каждой вакансии зафиксировать сроки закупки оборудования (например: ПК — за 3 недели до выхода сотрудника, лицензии ПО — за 1 неделю);</t>
  </si>
  <si>
    <t>Внедрить сценарное планирование, проводить регулярный анализ отклонений</t>
  </si>
  <si>
    <t>Для минимизации отклонений плана от факта нужно улучшить систему прогнозирования,</t>
  </si>
  <si>
    <t>Внедрить систему еженедельного/ежемесячного план-фактного анализа,</t>
  </si>
  <si>
    <t>Улучшить координацию между отделами, систему мотивации</t>
  </si>
  <si>
    <t>Анализировать причины отклонений, после каждого отчётного периода проводить 'разбор полётов'</t>
  </si>
  <si>
    <t>Учесть факторы риска и неопределённости</t>
  </si>
  <si>
    <r>
      <t xml:space="preserve">По направлению </t>
    </r>
    <r>
      <rPr>
        <i/>
        <sz val="16"/>
        <color theme="1"/>
        <rFont val="Inherit"/>
      </rPr>
      <t>Community</t>
    </r>
    <r>
      <rPr>
        <sz val="16"/>
        <color theme="1"/>
        <rFont val="Arial"/>
        <family val="2"/>
      </rPr>
      <t xml:space="preserve">  недовыполнение, убытки выше плановых в относительном отклонении на 9%</t>
    </r>
  </si>
  <si>
    <t>По выгрузке оборудования выявлено ежемесячная закупка оборудования по мере роста штата, это не было учтёно при планировании</t>
  </si>
  <si>
    <t>Расходы на оборудование</t>
  </si>
  <si>
    <t>Расходы на лицензии</t>
  </si>
  <si>
    <t> Тыс. Руб.</t>
  </si>
  <si>
    <t>Δ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</si>
</sst>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0,"/>
    <numFmt numFmtId="165" formatCode="0.0%"/>
    <numFmt numFmtId="166" formatCode="_-* #,##0_-;\-* #,##0_-;_-* &quot;-&quot;??_-;_-@_-"/>
    <numFmt numFmtId="167" formatCode="0.000"/>
    <numFmt numFmtId="168" formatCode="0.0"/>
    <numFmt numFmtId="169" formatCode="[$]d\ mmm\ yyyy;@" x16r2:formatCode16="[$-en-150,1]d\ mmm\ yyyy;@"/>
    <numFmt numFmtId="170" formatCode="#,##0.0"/>
  </numFmts>
  <fonts count="33">
    <font>
      <sz val="11"/>
      <color theme="1"/>
      <name val="Calibri"/>
      <family val="2"/>
      <scheme val="minor"/>
    </font>
    <font>
      <sz val="11"/>
      <color theme="1"/>
      <name val="Calibri"/>
      <family val="2"/>
      <scheme val="minor"/>
    </font>
    <font>
      <b/>
      <sz val="11"/>
      <color rgb="FF000000"/>
      <name val="Roboto"/>
    </font>
    <font>
      <sz val="11"/>
      <color theme="1"/>
      <name val="Roboto"/>
    </font>
    <font>
      <b/>
      <sz val="11"/>
      <color theme="1"/>
      <name val="Roboto"/>
    </font>
    <font>
      <sz val="11"/>
      <color rgb="FF000000"/>
      <name val="Roboto"/>
    </font>
    <font>
      <u/>
      <sz val="11"/>
      <color theme="10"/>
      <name val="Calibri"/>
      <family val="2"/>
      <scheme val="minor"/>
    </font>
    <font>
      <b/>
      <sz val="11"/>
      <color theme="1"/>
      <name val="Calibri"/>
      <family val="2"/>
      <scheme val="minor"/>
    </font>
    <font>
      <sz val="8"/>
      <name val="Calibri"/>
      <family val="2"/>
      <scheme val="minor"/>
    </font>
    <font>
      <sz val="10"/>
      <color rgb="FF000000"/>
      <name val="Roboto"/>
    </font>
    <font>
      <sz val="10"/>
      <color theme="1"/>
      <name val="Calibri"/>
      <family val="2"/>
      <scheme val="minor"/>
    </font>
    <font>
      <sz val="11"/>
      <color theme="0"/>
      <name val="Roboto"/>
    </font>
    <font>
      <sz val="11"/>
      <color theme="1"/>
      <name val="Calibri"/>
      <family val="2"/>
    </font>
    <font>
      <b/>
      <sz val="11"/>
      <name val="Roboto"/>
    </font>
    <font>
      <sz val="11"/>
      <name val="Roboto"/>
    </font>
    <font>
      <b/>
      <sz val="14"/>
      <color rgb="FF000000"/>
      <name val="Roboto"/>
    </font>
    <font>
      <sz val="14"/>
      <color theme="1"/>
      <name val="Calibri"/>
      <family val="2"/>
      <scheme val="minor"/>
    </font>
    <font>
      <b/>
      <sz val="14"/>
      <color theme="1"/>
      <name val="Roboto"/>
    </font>
    <font>
      <b/>
      <sz val="12"/>
      <color rgb="FF000000"/>
      <name val="Roboto"/>
    </font>
    <font>
      <b/>
      <sz val="10"/>
      <color rgb="FF000000"/>
      <name val="Roboto"/>
    </font>
    <font>
      <b/>
      <sz val="11"/>
      <color theme="1"/>
      <name val="Calibri"/>
      <family val="2"/>
      <charset val="204"/>
      <scheme val="minor"/>
    </font>
    <font>
      <b/>
      <sz val="7.7"/>
      <color rgb="FF000000"/>
      <name val="Roboto"/>
    </font>
    <font>
      <b/>
      <sz val="12"/>
      <color theme="1"/>
      <name val="Calibri"/>
      <family val="2"/>
      <charset val="204"/>
      <scheme val="minor"/>
    </font>
    <font>
      <sz val="12"/>
      <color theme="1"/>
      <name val="Calibri"/>
      <family val="2"/>
      <scheme val="minor"/>
    </font>
    <font>
      <sz val="12"/>
      <color theme="1"/>
      <name val="Roboto"/>
    </font>
    <font>
      <b/>
      <sz val="11"/>
      <color theme="1"/>
      <name val="Roboto"/>
      <charset val="204"/>
    </font>
    <font>
      <sz val="16"/>
      <color theme="1"/>
      <name val="Arial"/>
      <family val="2"/>
    </font>
    <font>
      <sz val="16"/>
      <color theme="1"/>
      <name val="Arial"/>
      <family val="2"/>
      <charset val="204"/>
    </font>
    <font>
      <sz val="16"/>
      <color rgb="FF222222"/>
      <name val="Inherit"/>
    </font>
    <font>
      <i/>
      <sz val="16"/>
      <color theme="1"/>
      <name val="Inherit"/>
    </font>
    <font>
      <sz val="11"/>
      <color theme="1"/>
      <name val="Arial"/>
      <family val="2"/>
    </font>
    <font>
      <sz val="14"/>
      <color rgb="FF000000"/>
      <name val="Aptos"/>
    </font>
    <font>
      <b/>
      <sz val="14"/>
      <color rgb="FF000000"/>
      <name val="Aptos"/>
    </font>
  </fonts>
  <fills count="10">
    <fill>
      <patternFill patternType="none"/>
    </fill>
    <fill>
      <patternFill patternType="gray125"/>
    </fill>
    <fill>
      <patternFill patternType="solid">
        <fgColor rgb="FFE3C3AA"/>
        <bgColor indexed="64"/>
      </patternFill>
    </fill>
    <fill>
      <patternFill patternType="solid">
        <fgColor rgb="FF99C2E5"/>
        <bgColor indexed="64"/>
      </patternFill>
    </fill>
    <fill>
      <patternFill patternType="solid">
        <fgColor rgb="FFF2E2D6"/>
        <bgColor indexed="64"/>
      </patternFill>
    </fill>
    <fill>
      <patternFill patternType="solid">
        <fgColor theme="0"/>
        <bgColor indexed="64"/>
      </patternFill>
    </fill>
    <fill>
      <patternFill patternType="solid">
        <fgColor rgb="FFDDEBF7"/>
        <bgColor indexed="64"/>
      </patternFill>
    </fill>
    <fill>
      <patternFill patternType="solid">
        <fgColor rgb="FFFCE4D6"/>
        <bgColor indexed="64"/>
      </patternFill>
    </fill>
    <fill>
      <patternFill patternType="solid">
        <fgColor rgb="FFFFFFFF"/>
        <bgColor indexed="64"/>
      </patternFill>
    </fill>
    <fill>
      <patternFill patternType="solid">
        <fgColor theme="4" tint="0.79998168889431442"/>
        <bgColor theme="4" tint="0.79998168889431442"/>
      </patternFill>
    </fill>
  </fills>
  <borders count="49">
    <border>
      <left/>
      <right/>
      <top/>
      <bottom/>
      <diagonal/>
    </border>
    <border>
      <left/>
      <right style="medium">
        <color rgb="FFFF7E29"/>
      </right>
      <top style="medium">
        <color rgb="FFFF7E29"/>
      </top>
      <bottom/>
      <diagonal/>
    </border>
    <border>
      <left/>
      <right style="medium">
        <color rgb="FFFF7E29"/>
      </right>
      <top/>
      <bottom/>
      <diagonal/>
    </border>
    <border>
      <left/>
      <right style="medium">
        <color rgb="FFFF7E29"/>
      </right>
      <top/>
      <bottom style="medium">
        <color rgb="FFFF7E29"/>
      </bottom>
      <diagonal/>
    </border>
    <border>
      <left style="medium">
        <color rgb="FFFF7E29"/>
      </left>
      <right/>
      <top style="medium">
        <color rgb="FFFF7E29"/>
      </top>
      <bottom/>
      <diagonal/>
    </border>
    <border>
      <left/>
      <right/>
      <top style="medium">
        <color rgb="FFFF7E29"/>
      </top>
      <bottom/>
      <diagonal/>
    </border>
    <border>
      <left style="medium">
        <color rgb="FFFF7E29"/>
      </left>
      <right/>
      <top/>
      <bottom/>
      <diagonal/>
    </border>
    <border>
      <left style="medium">
        <color rgb="FFFF7E29"/>
      </left>
      <right/>
      <top/>
      <bottom style="medium">
        <color rgb="FFFF7E29"/>
      </bottom>
      <diagonal/>
    </border>
    <border>
      <left/>
      <right/>
      <top/>
      <bottom style="medium">
        <color rgb="FFFF7E29"/>
      </bottom>
      <diagonal/>
    </border>
    <border>
      <left style="medium">
        <color rgb="FFFF7E29"/>
      </left>
      <right style="medium">
        <color rgb="FFFF7E29"/>
      </right>
      <top style="medium">
        <color rgb="FFFF7E29"/>
      </top>
      <bottom/>
      <diagonal/>
    </border>
    <border>
      <left style="medium">
        <color rgb="FFFF7E29"/>
      </left>
      <right style="medium">
        <color rgb="FFFF7E29"/>
      </right>
      <top/>
      <bottom/>
      <diagonal/>
    </border>
    <border>
      <left style="medium">
        <color rgb="FFFF7E29"/>
      </left>
      <right style="medium">
        <color rgb="FFFF7E29"/>
      </right>
      <top/>
      <bottom style="medium">
        <color rgb="FFFF7E29"/>
      </bottom>
      <diagonal/>
    </border>
    <border>
      <left style="thin">
        <color theme="0" tint="-0.14996795556505021"/>
      </left>
      <right style="thin">
        <color theme="0" tint="-0.14996795556505021"/>
      </right>
      <top/>
      <bottom/>
      <diagonal/>
    </border>
    <border>
      <left style="thin">
        <color theme="0" tint="-0.14996795556505021"/>
      </left>
      <right/>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top style="thin">
        <color theme="0" tint="-0.14996795556505021"/>
      </top>
      <bottom style="thin">
        <color theme="0" tint="-0.14996795556505021"/>
      </bottom>
      <diagonal/>
    </border>
    <border>
      <left/>
      <right style="thin">
        <color theme="0" tint="-0.14996795556505021"/>
      </right>
      <top style="thin">
        <color theme="0" tint="-0.14996795556505021"/>
      </top>
      <bottom/>
      <diagonal/>
    </border>
    <border>
      <left style="thin">
        <color theme="0" tint="-0.14996795556505021"/>
      </left>
      <right style="thin">
        <color theme="0" tint="-0.14996795556505021"/>
      </right>
      <top style="thin">
        <color theme="0" tint="-0.14996795556505021"/>
      </top>
      <bottom/>
      <diagonal/>
    </border>
    <border>
      <left style="thin">
        <color theme="0" tint="-0.14996795556505021"/>
      </left>
      <right/>
      <top style="thin">
        <color theme="0" tint="-0.14996795556505021"/>
      </top>
      <bottom/>
      <diagonal/>
    </border>
    <border>
      <left style="medium">
        <color rgb="FFFF7E29"/>
      </left>
      <right style="thin">
        <color theme="0" tint="-0.14996795556505021"/>
      </right>
      <top style="medium">
        <color rgb="FFFF7E29"/>
      </top>
      <bottom style="thin">
        <color theme="0" tint="-0.14996795556505021"/>
      </bottom>
      <diagonal/>
    </border>
    <border>
      <left style="thin">
        <color theme="0" tint="-0.14996795556505021"/>
      </left>
      <right style="medium">
        <color rgb="FFFF7E29"/>
      </right>
      <top style="medium">
        <color rgb="FFFF7E29"/>
      </top>
      <bottom style="thin">
        <color theme="0" tint="-0.14996795556505021"/>
      </bottom>
      <diagonal/>
    </border>
    <border>
      <left style="medium">
        <color rgb="FFFF7E29"/>
      </left>
      <right style="thin">
        <color theme="0" tint="-0.14996795556505021"/>
      </right>
      <top style="thin">
        <color theme="0" tint="-0.14996795556505021"/>
      </top>
      <bottom style="thin">
        <color theme="0" tint="-0.14996795556505021"/>
      </bottom>
      <diagonal/>
    </border>
    <border>
      <left style="thin">
        <color theme="0" tint="-0.14996795556505021"/>
      </left>
      <right style="medium">
        <color rgb="FFFF7E29"/>
      </right>
      <top style="thin">
        <color theme="0" tint="-0.14996795556505021"/>
      </top>
      <bottom style="thin">
        <color theme="0" tint="-0.14996795556505021"/>
      </bottom>
      <diagonal/>
    </border>
    <border>
      <left style="medium">
        <color rgb="FFFF7E29"/>
      </left>
      <right style="thin">
        <color theme="0" tint="-0.14996795556505021"/>
      </right>
      <top style="thin">
        <color theme="0" tint="-0.14996795556505021"/>
      </top>
      <bottom style="medium">
        <color rgb="FFFF7E29"/>
      </bottom>
      <diagonal/>
    </border>
    <border>
      <left style="thin">
        <color theme="0" tint="-0.14996795556505021"/>
      </left>
      <right style="medium">
        <color rgb="FFFF7E29"/>
      </right>
      <top style="thin">
        <color theme="0" tint="-0.14996795556505021"/>
      </top>
      <bottom style="medium">
        <color rgb="FFFF7E29"/>
      </bottom>
      <diagonal/>
    </border>
    <border>
      <left style="thin">
        <color theme="0" tint="-0.14996795556505021"/>
      </left>
      <right style="medium">
        <color rgb="FFFF7E29"/>
      </right>
      <top/>
      <bottom style="thin">
        <color theme="0" tint="-0.14996795556505021"/>
      </bottom>
      <diagonal/>
    </border>
    <border>
      <left style="thin">
        <color theme="0" tint="-0.14996795556505021"/>
      </left>
      <right style="medium">
        <color rgb="FFFF7E29"/>
      </right>
      <top style="thin">
        <color theme="0" tint="-0.14996795556505021"/>
      </top>
      <bottom/>
      <diagonal/>
    </border>
    <border>
      <left style="thin">
        <color theme="0" tint="-0.14996795556505021"/>
      </left>
      <right style="thin">
        <color theme="0" tint="-0.14996795556505021"/>
      </right>
      <top style="thin">
        <color theme="0" tint="-0.14996795556505021"/>
      </top>
      <bottom style="medium">
        <color rgb="FFFF7E29"/>
      </bottom>
      <diagonal/>
    </border>
    <border>
      <left style="thin">
        <color theme="0" tint="-0.14996795556505021"/>
      </left>
      <right style="thin">
        <color theme="0" tint="-0.14996795556505021"/>
      </right>
      <top style="medium">
        <color rgb="FFFF7E29"/>
      </top>
      <bottom style="thin">
        <color theme="0" tint="-0.14996795556505021"/>
      </bottom>
      <diagonal/>
    </border>
    <border>
      <left style="medium">
        <color rgb="FFFF7E29"/>
      </left>
      <right style="thin">
        <color theme="0" tint="-0.14996795556505021"/>
      </right>
      <top/>
      <bottom style="thin">
        <color theme="0" tint="-0.14996795556505021"/>
      </bottom>
      <diagonal/>
    </border>
    <border>
      <left style="medium">
        <color rgb="FFFF7E29"/>
      </left>
      <right style="thin">
        <color theme="0" tint="-0.14996795556505021"/>
      </right>
      <top style="thin">
        <color theme="0" tint="-0.14996795556505021"/>
      </top>
      <bottom/>
      <diagonal/>
    </border>
    <border>
      <left/>
      <right style="thin">
        <color theme="0" tint="-0.14996795556505021"/>
      </right>
      <top/>
      <bottom/>
      <diagonal/>
    </border>
    <border>
      <left/>
      <right/>
      <top/>
      <bottom style="medium">
        <color theme="1"/>
      </bottom>
      <diagonal/>
    </border>
    <border>
      <left/>
      <right/>
      <top style="medium">
        <color theme="1"/>
      </top>
      <bottom style="thin">
        <color indexed="64"/>
      </bottom>
      <diagonal/>
    </border>
    <border>
      <left/>
      <right style="thin">
        <color theme="0" tint="-0.14996795556505021"/>
      </right>
      <top/>
      <bottom style="medium">
        <color theme="1"/>
      </bottom>
      <diagonal/>
    </border>
    <border>
      <left style="thin">
        <color theme="0" tint="-0.14996795556505021"/>
      </left>
      <right style="thin">
        <color theme="0" tint="-0.14996795556505021"/>
      </right>
      <top/>
      <bottom style="medium">
        <color theme="1"/>
      </bottom>
      <diagonal/>
    </border>
    <border>
      <left style="thin">
        <color theme="0" tint="-0.14996795556505021"/>
      </left>
      <right/>
      <top/>
      <bottom style="medium">
        <color theme="1"/>
      </bottom>
      <diagonal/>
    </border>
    <border>
      <left style="medium">
        <color rgb="FFFF7E29"/>
      </left>
      <right style="thin">
        <color theme="0" tint="-0.14996795556505021"/>
      </right>
      <top/>
      <bottom style="medium">
        <color theme="1"/>
      </bottom>
      <diagonal/>
    </border>
    <border>
      <left style="thin">
        <color theme="0" tint="-0.14996795556505021"/>
      </left>
      <right style="medium">
        <color rgb="FFFF7E29"/>
      </right>
      <top/>
      <bottom style="medium">
        <color theme="1"/>
      </bottom>
      <diagonal/>
    </border>
    <border>
      <left/>
      <right/>
      <top/>
      <bottom style="thin">
        <color theme="4" tint="0.39997558519241921"/>
      </bottom>
      <diagonal/>
    </border>
    <border>
      <left style="medium">
        <color rgb="FFFF7E29"/>
      </left>
      <right/>
      <top style="thin">
        <color theme="0" tint="-0.14996795556505021"/>
      </top>
      <bottom/>
      <diagonal/>
    </border>
    <border>
      <left style="medium">
        <color rgb="FFFFFFFF"/>
      </left>
      <right style="medium">
        <color rgb="FFFFFFFF"/>
      </right>
      <top style="medium">
        <color rgb="FFFFFFFF"/>
      </top>
      <bottom style="medium">
        <color rgb="FFFFFFFF"/>
      </bottom>
      <diagonal/>
    </border>
    <border>
      <left style="medium">
        <color rgb="FFFFFFFF"/>
      </left>
      <right/>
      <top style="medium">
        <color rgb="FFFFFFFF"/>
      </top>
      <bottom style="medium">
        <color rgb="FFFFFFFF"/>
      </bottom>
      <diagonal/>
    </border>
    <border>
      <left/>
      <right/>
      <top style="medium">
        <color rgb="FFFFFFFF"/>
      </top>
      <bottom style="medium">
        <color rgb="FFFFFFFF"/>
      </bottom>
      <diagonal/>
    </border>
    <border>
      <left/>
      <right style="medium">
        <color rgb="FFFFFFFF"/>
      </right>
      <top style="medium">
        <color rgb="FFFFFFFF"/>
      </top>
      <bottom style="medium">
        <color rgb="FFFFFFFF"/>
      </bottom>
      <diagonal/>
    </border>
  </borders>
  <cellStyleXfs count="4">
    <xf numFmtId="0" fontId="0" fillId="0" borderId="0"/>
    <xf numFmtId="43" fontId="1" fillId="0" borderId="0" applyFont="0" applyFill="0" applyBorder="0" applyAlignment="0" applyProtection="0"/>
    <xf numFmtId="0" fontId="6" fillId="0" borderId="0" applyNumberFormat="0" applyFill="0" applyBorder="0" applyAlignment="0" applyProtection="0"/>
    <xf numFmtId="9" fontId="1" fillId="0" borderId="0" applyFont="0" applyFill="0" applyBorder="0" applyAlignment="0" applyProtection="0"/>
  </cellStyleXfs>
  <cellXfs count="344">
    <xf numFmtId="0" fontId="0" fillId="0" borderId="0" xfId="0"/>
    <xf numFmtId="0" fontId="3" fillId="0" borderId="0" xfId="0" applyFont="1"/>
    <xf numFmtId="0" fontId="5" fillId="0" borderId="0" xfId="0" applyFont="1"/>
    <xf numFmtId="0" fontId="4" fillId="0" borderId="0" xfId="0" applyFont="1"/>
    <xf numFmtId="0" fontId="2" fillId="0" borderId="0" xfId="0" applyFont="1"/>
    <xf numFmtId="167" fontId="3" fillId="0" borderId="0" xfId="0" applyNumberFormat="1" applyFont="1"/>
    <xf numFmtId="168" fontId="3" fillId="0" borderId="0" xfId="0" applyNumberFormat="1" applyFont="1"/>
    <xf numFmtId="3" fontId="4" fillId="0" borderId="0" xfId="0" applyNumberFormat="1" applyFont="1"/>
    <xf numFmtId="3" fontId="3" fillId="0" borderId="0" xfId="0" applyNumberFormat="1" applyFont="1"/>
    <xf numFmtId="3" fontId="0" fillId="0" borderId="0" xfId="0" applyNumberFormat="1"/>
    <xf numFmtId="0" fontId="0" fillId="0" borderId="0" xfId="0" applyAlignment="1">
      <alignment horizontal="center"/>
    </xf>
    <xf numFmtId="4" fontId="3" fillId="0" borderId="0" xfId="0" applyNumberFormat="1" applyFont="1"/>
    <xf numFmtId="0" fontId="0" fillId="0" borderId="0" xfId="0" quotePrefix="1"/>
    <xf numFmtId="0" fontId="3" fillId="0" borderId="0" xfId="0" applyFont="1" applyAlignment="1">
      <alignment horizontal="center"/>
    </xf>
    <xf numFmtId="3" fontId="10" fillId="0" borderId="0" xfId="0" applyNumberFormat="1" applyFont="1"/>
    <xf numFmtId="1" fontId="0" fillId="0" borderId="0" xfId="0" applyNumberFormat="1"/>
    <xf numFmtId="0" fontId="11" fillId="5" borderId="0" xfId="0" applyFont="1" applyFill="1"/>
    <xf numFmtId="165" fontId="3" fillId="0" borderId="0" xfId="3" applyNumberFormat="1" applyFont="1" applyFill="1"/>
    <xf numFmtId="14" fontId="0" fillId="0" borderId="0" xfId="0" applyNumberFormat="1"/>
    <xf numFmtId="169" fontId="0" fillId="0" borderId="0" xfId="0" applyNumberFormat="1"/>
    <xf numFmtId="43" fontId="0" fillId="0" borderId="0" xfId="1" applyFont="1" applyFill="1"/>
    <xf numFmtId="0" fontId="7" fillId="0" borderId="0" xfId="0" applyFont="1"/>
    <xf numFmtId="0" fontId="5" fillId="0" borderId="0" xfId="0" quotePrefix="1" applyFont="1" applyAlignment="1">
      <alignment horizontal="left" vertical="top" wrapText="1"/>
    </xf>
    <xf numFmtId="9" fontId="3" fillId="0" borderId="0" xfId="3" applyFont="1"/>
    <xf numFmtId="165" fontId="3" fillId="0" borderId="0" xfId="3" applyNumberFormat="1" applyFont="1"/>
    <xf numFmtId="0" fontId="4" fillId="0" borderId="0" xfId="0" applyFont="1" applyAlignment="1">
      <alignment horizontal="center"/>
    </xf>
    <xf numFmtId="165" fontId="0" fillId="0" borderId="0" xfId="3" applyNumberFormat="1" applyFont="1"/>
    <xf numFmtId="0" fontId="5" fillId="0" borderId="0" xfId="0" quotePrefix="1" applyFont="1" applyAlignment="1">
      <alignment horizontal="left" vertical="top"/>
    </xf>
    <xf numFmtId="3" fontId="7" fillId="0" borderId="0" xfId="0" applyNumberFormat="1" applyFont="1"/>
    <xf numFmtId="0" fontId="4" fillId="0" borderId="0" xfId="0" applyFont="1" applyAlignment="1">
      <alignment horizontal="left"/>
    </xf>
    <xf numFmtId="9" fontId="4" fillId="0" borderId="0" xfId="3" applyFont="1" applyFill="1"/>
    <xf numFmtId="165" fontId="4" fillId="0" borderId="0" xfId="3" applyNumberFormat="1" applyFont="1" applyFill="1"/>
    <xf numFmtId="165" fontId="0" fillId="0" borderId="0" xfId="0" applyNumberFormat="1"/>
    <xf numFmtId="0" fontId="0" fillId="5" borderId="9" xfId="0" applyFill="1" applyBorder="1"/>
    <xf numFmtId="0" fontId="0" fillId="5" borderId="10" xfId="0" applyFill="1" applyBorder="1"/>
    <xf numFmtId="0" fontId="3" fillId="5" borderId="10" xfId="0" applyFont="1" applyFill="1" applyBorder="1"/>
    <xf numFmtId="0" fontId="0" fillId="5" borderId="10" xfId="0" quotePrefix="1" applyFill="1" applyBorder="1"/>
    <xf numFmtId="0" fontId="2" fillId="0" borderId="14" xfId="0" applyFont="1" applyBorder="1"/>
    <xf numFmtId="3" fontId="4" fillId="0" borderId="15" xfId="0" applyNumberFormat="1" applyFont="1" applyBorder="1"/>
    <xf numFmtId="0" fontId="2" fillId="0" borderId="17" xfId="0" applyFont="1" applyBorder="1"/>
    <xf numFmtId="3" fontId="2" fillId="0" borderId="18" xfId="0" applyNumberFormat="1" applyFont="1" applyBorder="1"/>
    <xf numFmtId="3" fontId="4" fillId="0" borderId="18" xfId="0" applyNumberFormat="1" applyFont="1" applyBorder="1"/>
    <xf numFmtId="165" fontId="4" fillId="0" borderId="18" xfId="0" applyNumberFormat="1" applyFont="1" applyBorder="1"/>
    <xf numFmtId="0" fontId="3" fillId="0" borderId="17" xfId="0" applyFont="1" applyBorder="1" applyAlignment="1">
      <alignment horizontal="left" indent="2"/>
    </xf>
    <xf numFmtId="3" fontId="3" fillId="0" borderId="18" xfId="0" applyNumberFormat="1" applyFont="1" applyBorder="1"/>
    <xf numFmtId="0" fontId="3" fillId="0" borderId="17" xfId="0" applyFont="1" applyBorder="1"/>
    <xf numFmtId="0" fontId="2" fillId="0" borderId="20" xfId="0" applyFont="1" applyBorder="1"/>
    <xf numFmtId="165" fontId="4" fillId="0" borderId="21" xfId="0" applyNumberFormat="1" applyFont="1" applyBorder="1"/>
    <xf numFmtId="3" fontId="4" fillId="0" borderId="14" xfId="0" applyNumberFormat="1" applyFont="1" applyBorder="1"/>
    <xf numFmtId="3" fontId="2" fillId="0" borderId="17" xfId="0" applyNumberFormat="1" applyFont="1" applyBorder="1"/>
    <xf numFmtId="3" fontId="4" fillId="0" borderId="17" xfId="0" applyNumberFormat="1" applyFont="1" applyBorder="1"/>
    <xf numFmtId="165" fontId="4" fillId="0" borderId="17" xfId="0" applyNumberFormat="1" applyFont="1" applyBorder="1"/>
    <xf numFmtId="3" fontId="3" fillId="0" borderId="17" xfId="0" applyNumberFormat="1" applyFont="1" applyBorder="1"/>
    <xf numFmtId="165" fontId="4" fillId="0" borderId="20" xfId="0" applyNumberFormat="1" applyFont="1" applyBorder="1"/>
    <xf numFmtId="3" fontId="4" fillId="0" borderId="16" xfId="0" applyNumberFormat="1" applyFont="1" applyBorder="1"/>
    <xf numFmtId="3" fontId="2" fillId="0" borderId="19" xfId="0" applyNumberFormat="1" applyFont="1" applyBorder="1"/>
    <xf numFmtId="3" fontId="4" fillId="0" borderId="19" xfId="0" applyNumberFormat="1" applyFont="1" applyBorder="1"/>
    <xf numFmtId="165" fontId="4" fillId="0" borderId="19" xfId="0" applyNumberFormat="1" applyFont="1" applyBorder="1"/>
    <xf numFmtId="3" fontId="3" fillId="0" borderId="19" xfId="0" applyNumberFormat="1" applyFont="1" applyBorder="1"/>
    <xf numFmtId="165" fontId="4" fillId="0" borderId="22" xfId="0" applyNumberFormat="1" applyFont="1" applyBorder="1"/>
    <xf numFmtId="0" fontId="15" fillId="0" borderId="36" xfId="0" applyFont="1" applyBorder="1" applyAlignment="1">
      <alignment vertical="center"/>
    </xf>
    <xf numFmtId="0" fontId="16" fillId="0" borderId="0" xfId="0" applyFont="1" applyAlignment="1">
      <alignment vertical="center"/>
    </xf>
    <xf numFmtId="0" fontId="0" fillId="0" borderId="0" xfId="0" applyAlignment="1">
      <alignment vertical="center"/>
    </xf>
    <xf numFmtId="0" fontId="4" fillId="7" borderId="0" xfId="0" applyFont="1" applyFill="1" applyAlignment="1">
      <alignment horizontal="center" vertical="center" wrapText="1"/>
    </xf>
    <xf numFmtId="0" fontId="2" fillId="0" borderId="14" xfId="0" applyFont="1" applyBorder="1" applyAlignment="1">
      <alignment vertical="center"/>
    </xf>
    <xf numFmtId="3" fontId="4" fillId="0" borderId="15" xfId="0" applyNumberFormat="1" applyFont="1" applyBorder="1" applyAlignment="1">
      <alignment vertical="center"/>
    </xf>
    <xf numFmtId="3" fontId="4" fillId="0" borderId="16" xfId="0" applyNumberFormat="1" applyFont="1" applyBorder="1" applyAlignment="1">
      <alignment vertical="center"/>
    </xf>
    <xf numFmtId="3" fontId="13" fillId="5" borderId="23" xfId="0" applyNumberFormat="1" applyFont="1" applyFill="1" applyBorder="1" applyAlignment="1">
      <alignment vertical="center"/>
    </xf>
    <xf numFmtId="9" fontId="4" fillId="5" borderId="24" xfId="3" applyFont="1" applyFill="1" applyBorder="1" applyAlignment="1">
      <alignment vertical="center"/>
    </xf>
    <xf numFmtId="3" fontId="4" fillId="0" borderId="14" xfId="0" applyNumberFormat="1" applyFont="1" applyBorder="1" applyAlignment="1">
      <alignment vertical="center"/>
    </xf>
    <xf numFmtId="0" fontId="2" fillId="0" borderId="17" xfId="0" applyFont="1" applyBorder="1" applyAlignment="1">
      <alignment vertical="center"/>
    </xf>
    <xf numFmtId="3" fontId="2" fillId="0" borderId="18" xfId="0" applyNumberFormat="1" applyFont="1" applyBorder="1" applyAlignment="1">
      <alignment vertical="center"/>
    </xf>
    <xf numFmtId="3" fontId="2" fillId="0" borderId="19" xfId="0" applyNumberFormat="1" applyFont="1" applyBorder="1" applyAlignment="1">
      <alignment vertical="center"/>
    </xf>
    <xf numFmtId="3" fontId="13" fillId="5" borderId="25" xfId="0" applyNumberFormat="1" applyFont="1" applyFill="1" applyBorder="1" applyAlignment="1">
      <alignment vertical="center"/>
    </xf>
    <xf numFmtId="9" fontId="2" fillId="5" borderId="26" xfId="3" applyFont="1" applyFill="1" applyBorder="1" applyAlignment="1">
      <alignment vertical="center"/>
    </xf>
    <xf numFmtId="3" fontId="2" fillId="0" borderId="17" xfId="0" applyNumberFormat="1" applyFont="1" applyBorder="1" applyAlignment="1">
      <alignment vertical="center"/>
    </xf>
    <xf numFmtId="3" fontId="4" fillId="0" borderId="18" xfId="0" applyNumberFormat="1" applyFont="1" applyBorder="1" applyAlignment="1">
      <alignment vertical="center"/>
    </xf>
    <xf numFmtId="3" fontId="4" fillId="0" borderId="19" xfId="0" applyNumberFormat="1" applyFont="1" applyBorder="1" applyAlignment="1">
      <alignment vertical="center"/>
    </xf>
    <xf numFmtId="3" fontId="4" fillId="5" borderId="25" xfId="0" applyNumberFormat="1" applyFont="1" applyFill="1" applyBorder="1" applyAlignment="1">
      <alignment vertical="center"/>
    </xf>
    <xf numFmtId="9" fontId="4" fillId="5" borderId="26" xfId="3" applyFont="1" applyFill="1" applyBorder="1" applyAlignment="1">
      <alignment vertical="center"/>
    </xf>
    <xf numFmtId="3" fontId="4" fillId="0" borderId="17" xfId="0" applyNumberFormat="1" applyFont="1" applyBorder="1" applyAlignment="1">
      <alignment vertical="center"/>
    </xf>
    <xf numFmtId="165" fontId="4" fillId="0" borderId="18" xfId="0" applyNumberFormat="1" applyFont="1" applyBorder="1" applyAlignment="1">
      <alignment vertical="center"/>
    </xf>
    <xf numFmtId="165" fontId="4" fillId="0" borderId="19" xfId="0" applyNumberFormat="1" applyFont="1" applyBorder="1" applyAlignment="1">
      <alignment vertical="center"/>
    </xf>
    <xf numFmtId="170" fontId="4" fillId="5" borderId="25" xfId="0" applyNumberFormat="1" applyFont="1" applyFill="1" applyBorder="1" applyAlignment="1">
      <alignment vertical="center"/>
    </xf>
    <xf numFmtId="9" fontId="4" fillId="5" borderId="26" xfId="3" applyFont="1" applyFill="1" applyBorder="1" applyAlignment="1">
      <alignment horizontal="right" vertical="center"/>
    </xf>
    <xf numFmtId="165" fontId="4" fillId="0" borderId="17" xfId="0" applyNumberFormat="1" applyFont="1" applyBorder="1" applyAlignment="1">
      <alignment vertical="center"/>
    </xf>
    <xf numFmtId="3" fontId="3" fillId="0" borderId="18" xfId="0" applyNumberFormat="1" applyFont="1" applyBorder="1" applyAlignment="1">
      <alignment vertical="center"/>
    </xf>
    <xf numFmtId="3" fontId="3" fillId="0" borderId="19" xfId="0" applyNumberFormat="1" applyFont="1" applyBorder="1" applyAlignment="1">
      <alignment vertical="center"/>
    </xf>
    <xf numFmtId="3" fontId="3" fillId="5" borderId="25" xfId="0" applyNumberFormat="1" applyFont="1" applyFill="1" applyBorder="1" applyAlignment="1">
      <alignment vertical="center"/>
    </xf>
    <xf numFmtId="9" fontId="3" fillId="5" borderId="26" xfId="3" applyFont="1" applyFill="1" applyBorder="1" applyAlignment="1">
      <alignment vertical="center"/>
    </xf>
    <xf numFmtId="3" fontId="3" fillId="0" borderId="17" xfId="0" applyNumberFormat="1" applyFont="1" applyBorder="1" applyAlignment="1">
      <alignment vertical="center"/>
    </xf>
    <xf numFmtId="3" fontId="14" fillId="5" borderId="25" xfId="0" applyNumberFormat="1" applyFont="1" applyFill="1" applyBorder="1" applyAlignment="1">
      <alignment vertical="center"/>
    </xf>
    <xf numFmtId="0" fontId="3" fillId="0" borderId="17" xfId="0" applyFont="1" applyBorder="1" applyAlignment="1">
      <alignment vertical="center"/>
    </xf>
    <xf numFmtId="0" fontId="2" fillId="0" borderId="20" xfId="0" applyFont="1" applyBorder="1" applyAlignment="1">
      <alignment vertical="center"/>
    </xf>
    <xf numFmtId="165" fontId="4" fillId="0" borderId="21" xfId="0" applyNumberFormat="1" applyFont="1" applyBorder="1" applyAlignment="1">
      <alignment vertical="center"/>
    </xf>
    <xf numFmtId="165" fontId="4" fillId="0" borderId="22" xfId="0" applyNumberFormat="1" applyFont="1" applyBorder="1" applyAlignment="1">
      <alignment vertical="center"/>
    </xf>
    <xf numFmtId="170" fontId="4" fillId="5" borderId="27" xfId="0" applyNumberFormat="1" applyFont="1" applyFill="1" applyBorder="1" applyAlignment="1">
      <alignment vertical="center"/>
    </xf>
    <xf numFmtId="165" fontId="4" fillId="0" borderId="20" xfId="0" applyNumberFormat="1" applyFont="1" applyBorder="1" applyAlignment="1">
      <alignment vertical="center"/>
    </xf>
    <xf numFmtId="0" fontId="17" fillId="3" borderId="0" xfId="0" applyFont="1" applyFill="1" applyAlignment="1">
      <alignment vertical="center"/>
    </xf>
    <xf numFmtId="0" fontId="2" fillId="2" borderId="0" xfId="0" applyFont="1" applyFill="1" applyAlignment="1">
      <alignment horizontal="left" vertical="center"/>
    </xf>
    <xf numFmtId="0" fontId="0" fillId="2" borderId="0" xfId="0" applyFill="1" applyAlignment="1">
      <alignment vertical="center"/>
    </xf>
    <xf numFmtId="0" fontId="0" fillId="5" borderId="5" xfId="0" applyFill="1" applyBorder="1" applyAlignment="1">
      <alignment vertical="center"/>
    </xf>
    <xf numFmtId="0" fontId="0" fillId="5" borderId="1" xfId="0" applyFill="1" applyBorder="1" applyAlignment="1">
      <alignment vertical="center"/>
    </xf>
    <xf numFmtId="168" fontId="3" fillId="5" borderId="0" xfId="0" applyNumberFormat="1" applyFont="1" applyFill="1" applyAlignment="1">
      <alignment vertical="center"/>
    </xf>
    <xf numFmtId="0" fontId="0" fillId="5" borderId="0" xfId="0" applyFill="1" applyAlignment="1">
      <alignment vertical="center"/>
    </xf>
    <xf numFmtId="167" fontId="3" fillId="5" borderId="0" xfId="0" applyNumberFormat="1" applyFont="1" applyFill="1" applyAlignment="1">
      <alignment vertical="center"/>
    </xf>
    <xf numFmtId="0" fontId="0" fillId="5" borderId="2" xfId="0" applyFill="1" applyBorder="1" applyAlignment="1">
      <alignment vertical="center"/>
    </xf>
    <xf numFmtId="0" fontId="3" fillId="5" borderId="7" xfId="0" applyFont="1" applyFill="1" applyBorder="1" applyAlignment="1">
      <alignment vertical="center"/>
    </xf>
    <xf numFmtId="0" fontId="0" fillId="5" borderId="8" xfId="0" applyFill="1" applyBorder="1" applyAlignment="1">
      <alignment vertical="center"/>
    </xf>
    <xf numFmtId="0" fontId="0" fillId="5" borderId="3" xfId="0" applyFill="1" applyBorder="1" applyAlignment="1">
      <alignment vertical="center"/>
    </xf>
    <xf numFmtId="0" fontId="17" fillId="3" borderId="0" xfId="0" applyFont="1" applyFill="1" applyAlignment="1">
      <alignment horizontal="center" vertical="center"/>
    </xf>
    <xf numFmtId="0" fontId="15" fillId="2" borderId="0" xfId="0" applyFont="1" applyFill="1" applyAlignment="1">
      <alignment vertical="center"/>
    </xf>
    <xf numFmtId="0" fontId="16" fillId="2" borderId="0" xfId="0" applyFont="1" applyFill="1" applyAlignment="1">
      <alignment vertical="center"/>
    </xf>
    <xf numFmtId="0" fontId="4" fillId="5" borderId="38" xfId="0" applyFont="1" applyFill="1" applyBorder="1" applyAlignment="1">
      <alignment horizontal="center" vertical="center"/>
    </xf>
    <xf numFmtId="0" fontId="3" fillId="5" borderId="39" xfId="0" applyFont="1" applyFill="1" applyBorder="1" applyAlignment="1">
      <alignment horizontal="center" vertical="center"/>
    </xf>
    <xf numFmtId="0" fontId="4" fillId="5" borderId="39" xfId="0" applyFont="1" applyFill="1" applyBorder="1" applyAlignment="1">
      <alignment horizontal="center" vertical="center"/>
    </xf>
    <xf numFmtId="0" fontId="4" fillId="5" borderId="40" xfId="0" applyFont="1" applyFill="1" applyBorder="1" applyAlignment="1">
      <alignment horizontal="center" vertical="center"/>
    </xf>
    <xf numFmtId="0" fontId="5" fillId="0" borderId="14" xfId="0" applyFont="1" applyBorder="1" applyAlignment="1">
      <alignment vertical="center"/>
    </xf>
    <xf numFmtId="3" fontId="3" fillId="0" borderId="15" xfId="0" applyNumberFormat="1" applyFont="1" applyBorder="1" applyAlignment="1">
      <alignment vertical="center"/>
    </xf>
    <xf numFmtId="0" fontId="5" fillId="0" borderId="20" xfId="0" applyFont="1" applyBorder="1" applyAlignment="1">
      <alignment vertical="center"/>
    </xf>
    <xf numFmtId="3" fontId="3" fillId="0" borderId="21" xfId="0" applyNumberFormat="1" applyFont="1" applyBorder="1" applyAlignment="1">
      <alignment vertical="center"/>
    </xf>
    <xf numFmtId="3" fontId="4" fillId="0" borderId="21" xfId="0" applyNumberFormat="1" applyFont="1" applyBorder="1" applyAlignment="1">
      <alignment vertical="center"/>
    </xf>
    <xf numFmtId="3" fontId="4" fillId="0" borderId="22" xfId="0" applyNumberFormat="1" applyFont="1" applyBorder="1" applyAlignment="1">
      <alignment vertical="center"/>
    </xf>
    <xf numFmtId="0" fontId="4" fillId="5" borderId="0" xfId="0" applyFont="1" applyFill="1" applyAlignment="1">
      <alignment horizontal="center" vertical="center"/>
    </xf>
    <xf numFmtId="0" fontId="3" fillId="5" borderId="0" xfId="0" applyFont="1" applyFill="1" applyAlignment="1">
      <alignment horizontal="center" vertical="center"/>
    </xf>
    <xf numFmtId="0" fontId="2" fillId="6" borderId="0" xfId="0" applyFont="1" applyFill="1" applyAlignment="1">
      <alignment vertical="center"/>
    </xf>
    <xf numFmtId="3" fontId="4" fillId="6" borderId="0" xfId="0" applyNumberFormat="1" applyFont="1" applyFill="1" applyAlignment="1">
      <alignment vertical="center"/>
    </xf>
    <xf numFmtId="3" fontId="3" fillId="5" borderId="23" xfId="0" applyNumberFormat="1" applyFont="1" applyFill="1" applyBorder="1" applyAlignment="1">
      <alignment vertical="center"/>
    </xf>
    <xf numFmtId="3" fontId="3" fillId="5" borderId="32" xfId="0" applyNumberFormat="1" applyFont="1" applyFill="1" applyBorder="1" applyAlignment="1">
      <alignment vertical="center"/>
    </xf>
    <xf numFmtId="3" fontId="4" fillId="5" borderId="24" xfId="0" applyNumberFormat="1" applyFont="1" applyFill="1" applyBorder="1" applyAlignment="1">
      <alignment vertical="center"/>
    </xf>
    <xf numFmtId="0" fontId="5" fillId="5" borderId="14" xfId="0" applyFont="1" applyFill="1" applyBorder="1" applyAlignment="1">
      <alignment vertical="center"/>
    </xf>
    <xf numFmtId="3" fontId="3" fillId="5" borderId="15" xfId="0" applyNumberFormat="1" applyFont="1" applyFill="1" applyBorder="1" applyAlignment="1">
      <alignment vertical="center"/>
    </xf>
    <xf numFmtId="3" fontId="4" fillId="5" borderId="16" xfId="0" applyNumberFormat="1" applyFont="1" applyFill="1" applyBorder="1" applyAlignment="1">
      <alignment vertical="center"/>
    </xf>
    <xf numFmtId="3" fontId="3" fillId="5" borderId="18" xfId="0" applyNumberFormat="1" applyFont="1" applyFill="1" applyBorder="1" applyAlignment="1">
      <alignment vertical="center"/>
    </xf>
    <xf numFmtId="3" fontId="4" fillId="5" borderId="26" xfId="0" applyNumberFormat="1" applyFont="1" applyFill="1" applyBorder="1" applyAlignment="1">
      <alignment vertical="center"/>
    </xf>
    <xf numFmtId="0" fontId="5" fillId="5" borderId="17" xfId="0" applyFont="1" applyFill="1" applyBorder="1" applyAlignment="1">
      <alignment vertical="center"/>
    </xf>
    <xf numFmtId="3" fontId="4" fillId="5" borderId="19" xfId="0" applyNumberFormat="1" applyFont="1" applyFill="1" applyBorder="1" applyAlignment="1">
      <alignment vertical="center"/>
    </xf>
    <xf numFmtId="0" fontId="5" fillId="5" borderId="20" xfId="0" applyFont="1" applyFill="1" applyBorder="1" applyAlignment="1">
      <alignment vertical="center"/>
    </xf>
    <xf numFmtId="3" fontId="3" fillId="5" borderId="21" xfId="0" applyNumberFormat="1" applyFont="1" applyFill="1" applyBorder="1" applyAlignment="1">
      <alignment vertical="center"/>
    </xf>
    <xf numFmtId="3" fontId="4" fillId="5" borderId="22" xfId="0" applyNumberFormat="1" applyFont="1" applyFill="1" applyBorder="1" applyAlignment="1">
      <alignment vertical="center"/>
    </xf>
    <xf numFmtId="3" fontId="3" fillId="5" borderId="34" xfId="0" applyNumberFormat="1" applyFont="1" applyFill="1" applyBorder="1" applyAlignment="1">
      <alignment vertical="center"/>
    </xf>
    <xf numFmtId="3" fontId="4" fillId="5" borderId="30" xfId="0" applyNumberFormat="1" applyFont="1" applyFill="1" applyBorder="1" applyAlignment="1">
      <alignment vertical="center"/>
    </xf>
    <xf numFmtId="3" fontId="4" fillId="5" borderId="6" xfId="0" applyNumberFormat="1" applyFont="1" applyFill="1" applyBorder="1" applyAlignment="1">
      <alignment vertical="center"/>
    </xf>
    <xf numFmtId="3" fontId="4" fillId="5" borderId="0" xfId="0" applyNumberFormat="1" applyFont="1" applyFill="1" applyAlignment="1">
      <alignment vertical="center"/>
    </xf>
    <xf numFmtId="3" fontId="4" fillId="5" borderId="2" xfId="0" applyNumberFormat="1" applyFont="1" applyFill="1" applyBorder="1" applyAlignment="1">
      <alignment vertical="center"/>
    </xf>
    <xf numFmtId="3" fontId="3" fillId="5" borderId="33" xfId="0" applyNumberFormat="1" applyFont="1" applyFill="1" applyBorder="1" applyAlignment="1">
      <alignment vertical="center"/>
    </xf>
    <xf numFmtId="3" fontId="4" fillId="5" borderId="29" xfId="0" applyNumberFormat="1" applyFont="1" applyFill="1" applyBorder="1" applyAlignment="1">
      <alignment vertical="center"/>
    </xf>
    <xf numFmtId="0" fontId="5" fillId="0" borderId="17" xfId="0" applyFont="1" applyBorder="1" applyAlignment="1">
      <alignment vertical="center"/>
    </xf>
    <xf numFmtId="3" fontId="3" fillId="5" borderId="27" xfId="0" applyNumberFormat="1" applyFont="1" applyFill="1" applyBorder="1" applyAlignment="1">
      <alignment vertical="center"/>
    </xf>
    <xf numFmtId="3" fontId="3" fillId="5" borderId="31" xfId="0" applyNumberFormat="1" applyFont="1" applyFill="1" applyBorder="1" applyAlignment="1">
      <alignment vertical="center"/>
    </xf>
    <xf numFmtId="3" fontId="4" fillId="5" borderId="28" xfId="0" applyNumberFormat="1" applyFont="1" applyFill="1" applyBorder="1" applyAlignment="1">
      <alignment vertical="center"/>
    </xf>
    <xf numFmtId="0" fontId="15" fillId="7" borderId="0" xfId="0" applyFont="1" applyFill="1" applyAlignment="1">
      <alignment vertical="center"/>
    </xf>
    <xf numFmtId="3" fontId="3" fillId="8" borderId="15" xfId="0" applyNumberFormat="1" applyFont="1" applyFill="1" applyBorder="1" applyAlignment="1">
      <alignment vertical="center"/>
    </xf>
    <xf numFmtId="0" fontId="3" fillId="5" borderId="38" xfId="0" applyFont="1" applyFill="1" applyBorder="1" applyAlignment="1">
      <alignment horizontal="center" vertical="center"/>
    </xf>
    <xf numFmtId="165" fontId="3" fillId="0" borderId="15" xfId="3" applyNumberFormat="1" applyFont="1" applyBorder="1" applyAlignment="1">
      <alignment vertical="center"/>
    </xf>
    <xf numFmtId="165" fontId="3" fillId="0" borderId="15" xfId="3" applyNumberFormat="1" applyFont="1" applyFill="1" applyBorder="1" applyAlignment="1">
      <alignment vertical="center"/>
    </xf>
    <xf numFmtId="3" fontId="3" fillId="0" borderId="16" xfId="0" applyNumberFormat="1" applyFont="1" applyBorder="1" applyAlignment="1">
      <alignment vertical="center"/>
    </xf>
    <xf numFmtId="165" fontId="3" fillId="0" borderId="18" xfId="3" applyNumberFormat="1" applyFont="1" applyBorder="1" applyAlignment="1">
      <alignment vertical="center"/>
    </xf>
    <xf numFmtId="165" fontId="3" fillId="0" borderId="18" xfId="3" applyNumberFormat="1" applyFont="1" applyFill="1" applyBorder="1" applyAlignment="1">
      <alignment vertical="center"/>
    </xf>
    <xf numFmtId="165" fontId="3" fillId="0" borderId="21" xfId="3" applyNumberFormat="1" applyFont="1" applyBorder="1" applyAlignment="1">
      <alignment vertical="center"/>
    </xf>
    <xf numFmtId="165" fontId="3" fillId="0" borderId="21" xfId="3" applyNumberFormat="1" applyFont="1" applyFill="1" applyBorder="1" applyAlignment="1">
      <alignment vertical="center"/>
    </xf>
    <xf numFmtId="3" fontId="3" fillId="0" borderId="22" xfId="0" applyNumberFormat="1" applyFont="1" applyBorder="1" applyAlignment="1">
      <alignment vertical="center"/>
    </xf>
    <xf numFmtId="3" fontId="4" fillId="5" borderId="4" xfId="0" applyNumberFormat="1" applyFont="1" applyFill="1" applyBorder="1" applyAlignment="1">
      <alignment vertical="center"/>
    </xf>
    <xf numFmtId="3" fontId="4" fillId="5" borderId="5" xfId="0" applyNumberFormat="1" applyFont="1" applyFill="1" applyBorder="1" applyAlignment="1">
      <alignment vertical="center"/>
    </xf>
    <xf numFmtId="3" fontId="4" fillId="5" borderId="1" xfId="0" applyNumberFormat="1" applyFont="1" applyFill="1" applyBorder="1" applyAlignment="1">
      <alignment vertical="center"/>
    </xf>
    <xf numFmtId="0" fontId="0" fillId="5" borderId="6" xfId="0" applyFill="1" applyBorder="1" applyAlignment="1">
      <alignment vertical="center"/>
    </xf>
    <xf numFmtId="0" fontId="7" fillId="5" borderId="2" xfId="0" applyFont="1" applyFill="1" applyBorder="1" applyAlignment="1">
      <alignment vertical="center"/>
    </xf>
    <xf numFmtId="3" fontId="3" fillId="5" borderId="4" xfId="0" applyNumberFormat="1" applyFont="1" applyFill="1" applyBorder="1" applyAlignment="1">
      <alignment vertical="center"/>
    </xf>
    <xf numFmtId="3" fontId="3" fillId="5" borderId="5" xfId="0" applyNumberFormat="1" applyFont="1" applyFill="1" applyBorder="1" applyAlignment="1">
      <alignment vertical="center"/>
    </xf>
    <xf numFmtId="3" fontId="3" fillId="5" borderId="7" xfId="0" applyNumberFormat="1" applyFont="1" applyFill="1" applyBorder="1" applyAlignment="1">
      <alignment vertical="center"/>
    </xf>
    <xf numFmtId="3" fontId="3" fillId="5" borderId="8" xfId="0" applyNumberFormat="1" applyFont="1" applyFill="1" applyBorder="1" applyAlignment="1">
      <alignment vertical="center"/>
    </xf>
    <xf numFmtId="3" fontId="4" fillId="5" borderId="3" xfId="0" applyNumberFormat="1" applyFont="1" applyFill="1" applyBorder="1" applyAlignment="1">
      <alignment vertical="center"/>
    </xf>
    <xf numFmtId="3" fontId="4" fillId="5" borderId="7" xfId="0" applyNumberFormat="1" applyFont="1" applyFill="1" applyBorder="1" applyAlignment="1">
      <alignment vertical="center"/>
    </xf>
    <xf numFmtId="3" fontId="4" fillId="5" borderId="8" xfId="0" applyNumberFormat="1" applyFont="1" applyFill="1" applyBorder="1" applyAlignment="1">
      <alignment vertical="center"/>
    </xf>
    <xf numFmtId="0" fontId="2" fillId="7" borderId="0" xfId="0" applyFont="1" applyFill="1" applyAlignment="1">
      <alignment vertical="center"/>
    </xf>
    <xf numFmtId="3" fontId="3" fillId="5" borderId="6" xfId="0" applyNumberFormat="1" applyFont="1" applyFill="1" applyBorder="1" applyAlignment="1">
      <alignment vertical="center"/>
    </xf>
    <xf numFmtId="3" fontId="3" fillId="5" borderId="0" xfId="0" applyNumberFormat="1" applyFont="1" applyFill="1" applyAlignment="1">
      <alignment vertical="center"/>
    </xf>
    <xf numFmtId="0" fontId="2" fillId="0" borderId="36" xfId="0" applyFont="1" applyBorder="1" applyAlignment="1">
      <alignment vertical="center"/>
    </xf>
    <xf numFmtId="0" fontId="4" fillId="7" borderId="0" xfId="0" applyFont="1" applyFill="1" applyAlignment="1">
      <alignment horizontal="center" vertical="center"/>
    </xf>
    <xf numFmtId="0" fontId="0" fillId="0" borderId="15" xfId="0" applyBorder="1" applyAlignment="1">
      <alignment vertical="center"/>
    </xf>
    <xf numFmtId="2" fontId="0" fillId="0" borderId="16" xfId="0" applyNumberFormat="1" applyBorder="1" applyAlignment="1">
      <alignment vertical="center"/>
    </xf>
    <xf numFmtId="0" fontId="0" fillId="0" borderId="18" xfId="0" applyBorder="1" applyAlignment="1">
      <alignment vertical="center"/>
    </xf>
    <xf numFmtId="0" fontId="0" fillId="0" borderId="19" xfId="0" applyBorder="1" applyAlignment="1">
      <alignment vertical="center"/>
    </xf>
    <xf numFmtId="164" fontId="3" fillId="0" borderId="18" xfId="0" applyNumberFormat="1" applyFont="1" applyBorder="1" applyAlignment="1">
      <alignment vertical="center"/>
    </xf>
    <xf numFmtId="0" fontId="3" fillId="0" borderId="18" xfId="0" applyFont="1" applyBorder="1" applyAlignment="1">
      <alignment vertical="center"/>
    </xf>
    <xf numFmtId="165" fontId="3" fillId="0" borderId="18" xfId="0" applyNumberFormat="1" applyFont="1" applyBorder="1" applyAlignment="1">
      <alignment vertical="center"/>
    </xf>
    <xf numFmtId="165" fontId="3" fillId="0" borderId="19" xfId="3" applyNumberFormat="1" applyFont="1" applyFill="1" applyBorder="1" applyAlignment="1">
      <alignment vertical="center"/>
    </xf>
    <xf numFmtId="165" fontId="3" fillId="0" borderId="22" xfId="3" applyNumberFormat="1" applyFont="1" applyFill="1" applyBorder="1" applyAlignment="1">
      <alignment vertical="center"/>
    </xf>
    <xf numFmtId="0" fontId="18" fillId="2" borderId="0" xfId="0" applyFont="1" applyFill="1" applyAlignment="1">
      <alignment vertical="center"/>
    </xf>
    <xf numFmtId="0" fontId="2" fillId="2" borderId="0" xfId="0" applyFont="1" applyFill="1" applyAlignment="1">
      <alignment vertical="center"/>
    </xf>
    <xf numFmtId="0" fontId="19" fillId="2" borderId="0" xfId="0" applyFont="1" applyFill="1" applyAlignment="1">
      <alignment vertical="center"/>
    </xf>
    <xf numFmtId="0" fontId="2" fillId="2" borderId="0" xfId="0" applyFont="1" applyFill="1" applyAlignment="1">
      <alignment horizontal="center" vertical="center"/>
    </xf>
    <xf numFmtId="0" fontId="4" fillId="6" borderId="0" xfId="0" applyFont="1" applyFill="1" applyAlignment="1">
      <alignment horizontal="left" vertical="center"/>
    </xf>
    <xf numFmtId="0" fontId="4" fillId="6" borderId="0" xfId="0" applyFont="1" applyFill="1" applyAlignment="1">
      <alignment vertical="center"/>
    </xf>
    <xf numFmtId="165" fontId="3" fillId="0" borderId="16" xfId="0" applyNumberFormat="1" applyFont="1" applyBorder="1" applyAlignment="1">
      <alignment vertical="center"/>
    </xf>
    <xf numFmtId="0" fontId="5" fillId="0" borderId="15" xfId="0" applyFont="1" applyBorder="1" applyAlignment="1">
      <alignment vertical="center"/>
    </xf>
    <xf numFmtId="0" fontId="5" fillId="0" borderId="16" xfId="0" applyFont="1" applyBorder="1" applyAlignment="1">
      <alignment vertical="center"/>
    </xf>
    <xf numFmtId="165" fontId="3" fillId="0" borderId="19" xfId="0" applyNumberFormat="1" applyFont="1" applyBorder="1" applyAlignment="1">
      <alignment vertical="center"/>
    </xf>
    <xf numFmtId="0" fontId="5" fillId="0" borderId="18" xfId="0" applyFont="1" applyBorder="1" applyAlignment="1">
      <alignment vertical="center"/>
    </xf>
    <xf numFmtId="10" fontId="3" fillId="0" borderId="18" xfId="0" applyNumberFormat="1" applyFont="1" applyBorder="1" applyAlignment="1">
      <alignment vertical="center"/>
    </xf>
    <xf numFmtId="9" fontId="3" fillId="0" borderId="18" xfId="0" applyNumberFormat="1" applyFont="1" applyBorder="1" applyAlignment="1">
      <alignment horizontal="right" vertical="center"/>
    </xf>
    <xf numFmtId="9" fontId="3" fillId="0" borderId="18" xfId="0" applyNumberFormat="1" applyFont="1" applyBorder="1" applyAlignment="1">
      <alignment horizontal="left" vertical="center"/>
    </xf>
    <xf numFmtId="9" fontId="3" fillId="0" borderId="21" xfId="0" applyNumberFormat="1" applyFont="1" applyBorder="1" applyAlignment="1">
      <alignment vertical="center"/>
    </xf>
    <xf numFmtId="9" fontId="3" fillId="0" borderId="22" xfId="0" applyNumberFormat="1" applyFont="1" applyBorder="1" applyAlignment="1">
      <alignment horizontal="left" vertical="center"/>
    </xf>
    <xf numFmtId="0" fontId="5" fillId="0" borderId="21" xfId="0" applyFont="1" applyBorder="1" applyAlignment="1">
      <alignment vertical="center"/>
    </xf>
    <xf numFmtId="0" fontId="5" fillId="0" borderId="0" xfId="0" applyFont="1" applyAlignment="1">
      <alignment vertical="center"/>
    </xf>
    <xf numFmtId="10" fontId="3" fillId="0" borderId="0" xfId="3" applyNumberFormat="1" applyFont="1" applyAlignment="1">
      <alignment horizontal="center" vertical="center"/>
    </xf>
    <xf numFmtId="10" fontId="5" fillId="0" borderId="0" xfId="3" applyNumberFormat="1" applyFont="1" applyAlignment="1">
      <alignment horizontal="center" vertical="center"/>
    </xf>
    <xf numFmtId="3" fontId="3" fillId="0" borderId="0" xfId="0" applyNumberFormat="1" applyFont="1" applyAlignment="1">
      <alignment vertical="center"/>
    </xf>
    <xf numFmtId="0" fontId="5" fillId="0" borderId="19" xfId="0" applyFont="1" applyBorder="1" applyAlignment="1">
      <alignment vertical="center"/>
    </xf>
    <xf numFmtId="0" fontId="2" fillId="0" borderId="0" xfId="0" applyFont="1" applyAlignment="1">
      <alignment vertical="center"/>
    </xf>
    <xf numFmtId="4" fontId="3" fillId="0" borderId="15" xfId="0" applyNumberFormat="1" applyFont="1" applyBorder="1" applyAlignment="1">
      <alignment vertical="center"/>
    </xf>
    <xf numFmtId="4" fontId="3" fillId="0" borderId="16" xfId="0" applyNumberFormat="1" applyFont="1" applyBorder="1" applyAlignment="1">
      <alignment vertical="center"/>
    </xf>
    <xf numFmtId="3" fontId="3" fillId="0" borderId="14" xfId="0" applyNumberFormat="1" applyFont="1" applyBorder="1" applyAlignment="1">
      <alignment vertical="center"/>
    </xf>
    <xf numFmtId="4" fontId="3" fillId="0" borderId="18" xfId="0" applyNumberFormat="1" applyFont="1" applyBorder="1" applyAlignment="1">
      <alignment vertical="center"/>
    </xf>
    <xf numFmtId="4" fontId="3" fillId="0" borderId="19" xfId="0" applyNumberFormat="1" applyFont="1" applyBorder="1" applyAlignment="1">
      <alignment vertical="center"/>
    </xf>
    <xf numFmtId="3" fontId="3" fillId="0" borderId="20" xfId="0" applyNumberFormat="1" applyFont="1" applyBorder="1" applyAlignment="1">
      <alignment vertical="center"/>
    </xf>
    <xf numFmtId="0" fontId="5" fillId="0" borderId="22" xfId="0" applyFont="1" applyBorder="1" applyAlignment="1">
      <alignment vertical="center"/>
    </xf>
    <xf numFmtId="4" fontId="3" fillId="0" borderId="21" xfId="0" applyNumberFormat="1" applyFont="1" applyBorder="1" applyAlignment="1">
      <alignment vertical="center"/>
    </xf>
    <xf numFmtId="4" fontId="3" fillId="0" borderId="22" xfId="0" applyNumberFormat="1" applyFont="1" applyBorder="1" applyAlignment="1">
      <alignment vertical="center"/>
    </xf>
    <xf numFmtId="0" fontId="0" fillId="0" borderId="0" xfId="0" applyAlignment="1">
      <alignment horizontal="center" vertical="center"/>
    </xf>
    <xf numFmtId="0" fontId="0" fillId="6" borderId="0" xfId="0" applyFill="1" applyAlignment="1">
      <alignment vertical="center"/>
    </xf>
    <xf numFmtId="0" fontId="2" fillId="6" borderId="0" xfId="0" applyFont="1" applyFill="1" applyAlignment="1">
      <alignment horizontal="center" vertical="center"/>
    </xf>
    <xf numFmtId="166" fontId="0" fillId="0" borderId="0" xfId="1" applyNumberFormat="1" applyFont="1" applyAlignment="1">
      <alignment horizontal="center" vertical="center"/>
    </xf>
    <xf numFmtId="0" fontId="9" fillId="0" borderId="0" xfId="0" applyFont="1" applyAlignment="1">
      <alignment vertical="center"/>
    </xf>
    <xf numFmtId="0" fontId="20" fillId="2" borderId="0" xfId="0" applyFont="1" applyFill="1" applyAlignment="1">
      <alignment vertical="center"/>
    </xf>
    <xf numFmtId="0" fontId="5" fillId="0" borderId="35" xfId="0" applyFont="1" applyBorder="1" applyAlignment="1">
      <alignment vertical="center"/>
    </xf>
    <xf numFmtId="3" fontId="3" fillId="0" borderId="12" xfId="0" applyNumberFormat="1" applyFont="1" applyBorder="1" applyAlignment="1">
      <alignment vertical="center"/>
    </xf>
    <xf numFmtId="3" fontId="4" fillId="0" borderId="12" xfId="0" applyNumberFormat="1" applyFont="1" applyBorder="1" applyAlignment="1">
      <alignment vertical="center"/>
    </xf>
    <xf numFmtId="3" fontId="4" fillId="0" borderId="13" xfId="0" applyNumberFormat="1" applyFont="1" applyBorder="1" applyAlignment="1">
      <alignment vertical="center"/>
    </xf>
    <xf numFmtId="0" fontId="2" fillId="4" borderId="0" xfId="0" applyFont="1" applyFill="1" applyAlignment="1">
      <alignment vertical="center"/>
    </xf>
    <xf numFmtId="0" fontId="20" fillId="4" borderId="0" xfId="0" applyFont="1" applyFill="1" applyAlignment="1">
      <alignment vertical="center"/>
    </xf>
    <xf numFmtId="165" fontId="20" fillId="4" borderId="0" xfId="3" applyNumberFormat="1" applyFont="1" applyFill="1" applyAlignment="1">
      <alignment vertical="center"/>
    </xf>
    <xf numFmtId="0" fontId="18" fillId="4" borderId="0" xfId="0" applyFont="1" applyFill="1" applyAlignment="1">
      <alignment vertical="center"/>
    </xf>
    <xf numFmtId="0" fontId="22" fillId="4" borderId="0" xfId="0" applyFont="1" applyFill="1" applyAlignment="1">
      <alignment vertical="center"/>
    </xf>
    <xf numFmtId="0" fontId="23" fillId="0" borderId="0" xfId="0" applyFont="1"/>
    <xf numFmtId="0" fontId="24" fillId="0" borderId="0" xfId="0" applyFont="1" applyAlignment="1">
      <alignment horizontal="center"/>
    </xf>
    <xf numFmtId="0" fontId="24" fillId="0" borderId="0" xfId="0" applyFont="1"/>
    <xf numFmtId="0" fontId="15" fillId="5" borderId="36" xfId="0" applyFont="1" applyFill="1" applyBorder="1" applyAlignment="1">
      <alignment vertical="center"/>
    </xf>
    <xf numFmtId="0" fontId="2" fillId="5" borderId="36" xfId="0" applyFont="1" applyFill="1" applyBorder="1" applyAlignment="1">
      <alignment vertical="center"/>
    </xf>
    <xf numFmtId="0" fontId="4" fillId="0" borderId="0" xfId="0" applyFont="1" applyAlignment="1">
      <alignment vertical="center"/>
    </xf>
    <xf numFmtId="0" fontId="3" fillId="0" borderId="0" xfId="0" applyFont="1" applyAlignment="1">
      <alignment horizontal="center" vertical="center"/>
    </xf>
    <xf numFmtId="0" fontId="3" fillId="0" borderId="0" xfId="0" applyFont="1" applyAlignment="1">
      <alignment vertical="center"/>
    </xf>
    <xf numFmtId="0" fontId="4" fillId="2" borderId="0" xfId="0" applyFont="1" applyFill="1" applyAlignment="1">
      <alignment horizontal="center" vertical="center" wrapText="1"/>
    </xf>
    <xf numFmtId="0" fontId="15" fillId="2" borderId="0" xfId="0" applyFont="1" applyFill="1" applyAlignment="1">
      <alignment horizontal="center" vertical="center"/>
    </xf>
    <xf numFmtId="0" fontId="4" fillId="2" borderId="0" xfId="0" applyFont="1" applyFill="1" applyAlignment="1">
      <alignment horizontal="center" vertical="center"/>
    </xf>
    <xf numFmtId="0" fontId="4" fillId="6" borderId="0" xfId="0" applyFont="1" applyFill="1" applyAlignment="1">
      <alignment horizontal="center" vertical="center"/>
    </xf>
    <xf numFmtId="0" fontId="5" fillId="0" borderId="0" xfId="0" applyFont="1" applyAlignment="1">
      <alignment horizontal="left" vertical="top" wrapText="1"/>
    </xf>
    <xf numFmtId="17" fontId="3" fillId="5" borderId="39" xfId="0" applyNumberFormat="1" applyFont="1" applyFill="1" applyBorder="1" applyAlignment="1">
      <alignment horizontal="center" vertical="center"/>
    </xf>
    <xf numFmtId="17" fontId="3" fillId="5" borderId="38" xfId="0" applyNumberFormat="1" applyFont="1" applyFill="1" applyBorder="1" applyAlignment="1">
      <alignment horizontal="center" vertical="center"/>
    </xf>
    <xf numFmtId="0" fontId="25" fillId="5" borderId="38" xfId="0" applyFont="1" applyFill="1" applyBorder="1" applyAlignment="1">
      <alignment horizontal="center" vertical="center"/>
    </xf>
    <xf numFmtId="0" fontId="15" fillId="7" borderId="0" xfId="0" applyFont="1" applyFill="1" applyAlignment="1">
      <alignment horizontal="center" vertical="center"/>
    </xf>
    <xf numFmtId="3" fontId="4" fillId="5" borderId="27" xfId="0" applyNumberFormat="1" applyFont="1" applyFill="1" applyBorder="1" applyAlignment="1">
      <alignment vertical="center"/>
    </xf>
    <xf numFmtId="9" fontId="4" fillId="5" borderId="28" xfId="3" applyFont="1" applyFill="1" applyBorder="1" applyAlignment="1">
      <alignment horizontal="right" vertical="center"/>
    </xf>
    <xf numFmtId="0" fontId="3" fillId="5" borderId="26" xfId="3" applyNumberFormat="1" applyFont="1" applyFill="1" applyBorder="1" applyAlignment="1">
      <alignment horizontal="right" vertical="center"/>
    </xf>
    <xf numFmtId="0" fontId="3" fillId="5" borderId="26" xfId="3" applyNumberFormat="1" applyFont="1" applyFill="1" applyBorder="1" applyAlignment="1">
      <alignment vertical="center"/>
    </xf>
    <xf numFmtId="3" fontId="25" fillId="5" borderId="23" xfId="0" applyNumberFormat="1" applyFont="1" applyFill="1" applyBorder="1" applyAlignment="1">
      <alignment vertical="center"/>
    </xf>
    <xf numFmtId="3" fontId="25" fillId="5" borderId="32" xfId="0" applyNumberFormat="1" applyFont="1" applyFill="1" applyBorder="1" applyAlignment="1">
      <alignment vertical="center"/>
    </xf>
    <xf numFmtId="0" fontId="0" fillId="0" borderId="0" xfId="0" pivotButton="1"/>
    <xf numFmtId="0" fontId="0" fillId="0" borderId="0" xfId="0" applyAlignment="1">
      <alignment horizontal="left"/>
    </xf>
    <xf numFmtId="166" fontId="0" fillId="0" borderId="0" xfId="0" applyNumberFormat="1"/>
    <xf numFmtId="3" fontId="25" fillId="5" borderId="4" xfId="0" applyNumberFormat="1" applyFont="1" applyFill="1" applyBorder="1" applyAlignment="1">
      <alignment vertical="center"/>
    </xf>
    <xf numFmtId="3" fontId="25" fillId="5" borderId="5" xfId="0" applyNumberFormat="1" applyFont="1" applyFill="1" applyBorder="1" applyAlignment="1">
      <alignment vertical="center"/>
    </xf>
    <xf numFmtId="3" fontId="4" fillId="0" borderId="0" xfId="0" applyNumberFormat="1" applyFont="1" applyAlignment="1">
      <alignment vertical="center"/>
    </xf>
    <xf numFmtId="0" fontId="7" fillId="5" borderId="0" xfId="0" applyFont="1" applyFill="1" applyAlignment="1">
      <alignment vertical="center"/>
    </xf>
    <xf numFmtId="3" fontId="3" fillId="0" borderId="29" xfId="0" applyNumberFormat="1" applyFont="1" applyBorder="1" applyAlignment="1">
      <alignment vertical="center"/>
    </xf>
    <xf numFmtId="3" fontId="3" fillId="0" borderId="26" xfId="0" applyNumberFormat="1" applyFont="1" applyBorder="1" applyAlignment="1">
      <alignment vertical="center"/>
    </xf>
    <xf numFmtId="3" fontId="3" fillId="0" borderId="30" xfId="0" applyNumberFormat="1" applyFont="1" applyBorder="1" applyAlignment="1">
      <alignment vertical="center"/>
    </xf>
    <xf numFmtId="3" fontId="4" fillId="6" borderId="2" xfId="0" applyNumberFormat="1" applyFont="1" applyFill="1" applyBorder="1" applyAlignment="1">
      <alignment vertical="center"/>
    </xf>
    <xf numFmtId="0" fontId="3" fillId="5" borderId="41" xfId="0" applyFont="1" applyFill="1" applyBorder="1" applyAlignment="1">
      <alignment horizontal="center" vertical="center"/>
    </xf>
    <xf numFmtId="0" fontId="4" fillId="5" borderId="42" xfId="0" applyFont="1" applyFill="1" applyBorder="1" applyAlignment="1">
      <alignment horizontal="center" vertical="center"/>
    </xf>
    <xf numFmtId="0" fontId="4" fillId="5" borderId="6" xfId="0" applyFont="1" applyFill="1" applyBorder="1" applyAlignment="1">
      <alignment horizontal="center" vertical="center"/>
    </xf>
    <xf numFmtId="0" fontId="4" fillId="5" borderId="2" xfId="0" applyFont="1" applyFill="1" applyBorder="1" applyAlignment="1">
      <alignment horizontal="center" vertical="center"/>
    </xf>
    <xf numFmtId="3" fontId="3" fillId="0" borderId="33" xfId="0" applyNumberFormat="1" applyFont="1" applyBorder="1" applyAlignment="1">
      <alignment vertical="center"/>
    </xf>
    <xf numFmtId="3" fontId="3" fillId="0" borderId="25" xfId="0" applyNumberFormat="1" applyFont="1" applyBorder="1" applyAlignment="1">
      <alignment vertical="center"/>
    </xf>
    <xf numFmtId="3" fontId="3" fillId="0" borderId="34" xfId="0" applyNumberFormat="1" applyFont="1" applyBorder="1" applyAlignment="1">
      <alignment vertical="center"/>
    </xf>
    <xf numFmtId="3" fontId="3" fillId="0" borderId="27" xfId="0" applyNumberFormat="1" applyFont="1" applyBorder="1" applyAlignment="1">
      <alignment vertical="center"/>
    </xf>
    <xf numFmtId="3" fontId="3" fillId="0" borderId="28" xfId="0" applyNumberFormat="1" applyFont="1" applyBorder="1" applyAlignment="1">
      <alignment vertical="center"/>
    </xf>
    <xf numFmtId="9" fontId="3" fillId="0" borderId="18" xfId="3" applyFont="1" applyBorder="1" applyAlignment="1">
      <alignment vertical="center"/>
    </xf>
    <xf numFmtId="0" fontId="4" fillId="5" borderId="42" xfId="0" applyFont="1" applyFill="1" applyBorder="1" applyAlignment="1">
      <alignment horizontal="center" vertical="center" wrapText="1"/>
    </xf>
    <xf numFmtId="9" fontId="3" fillId="0" borderId="15" xfId="3" applyFont="1" applyBorder="1" applyAlignment="1">
      <alignment vertical="center"/>
    </xf>
    <xf numFmtId="9" fontId="3" fillId="0" borderId="18" xfId="0" applyNumberFormat="1" applyFont="1" applyBorder="1" applyAlignment="1">
      <alignment vertical="center"/>
    </xf>
    <xf numFmtId="9" fontId="3" fillId="0" borderId="21" xfId="3" applyFont="1" applyBorder="1" applyAlignment="1">
      <alignment vertical="center"/>
    </xf>
    <xf numFmtId="9" fontId="3" fillId="0" borderId="15" xfId="0" applyNumberFormat="1" applyFont="1" applyBorder="1" applyAlignment="1">
      <alignment vertical="center"/>
    </xf>
    <xf numFmtId="9" fontId="3" fillId="0" borderId="31" xfId="3" applyFont="1" applyBorder="1" applyAlignment="1">
      <alignment vertical="center"/>
    </xf>
    <xf numFmtId="9" fontId="3" fillId="0" borderId="31" xfId="0" applyNumberFormat="1" applyFont="1" applyBorder="1" applyAlignment="1">
      <alignment vertical="center"/>
    </xf>
    <xf numFmtId="0" fontId="4" fillId="5" borderId="0" xfId="0" applyFont="1" applyFill="1" applyAlignment="1">
      <alignment horizontal="center" vertical="center" wrapText="1"/>
    </xf>
    <xf numFmtId="9" fontId="4" fillId="5" borderId="0" xfId="3" applyFont="1" applyFill="1" applyBorder="1" applyAlignment="1">
      <alignment horizontal="center" vertical="center"/>
    </xf>
    <xf numFmtId="0" fontId="27" fillId="0" borderId="4" xfId="0" applyFont="1" applyBorder="1"/>
    <xf numFmtId="0" fontId="26" fillId="0" borderId="6" xfId="0" applyFont="1" applyBorder="1"/>
    <xf numFmtId="0" fontId="7" fillId="9" borderId="0" xfId="0" applyFont="1" applyFill="1"/>
    <xf numFmtId="0" fontId="7" fillId="9" borderId="43" xfId="0" applyFont="1" applyFill="1" applyBorder="1"/>
    <xf numFmtId="0" fontId="0" fillId="0" borderId="10" xfId="0" applyBorder="1"/>
    <xf numFmtId="0" fontId="3" fillId="0" borderId="15" xfId="3" applyNumberFormat="1" applyFont="1" applyBorder="1" applyAlignment="1">
      <alignment vertical="center"/>
    </xf>
    <xf numFmtId="169" fontId="7" fillId="9" borderId="43" xfId="0" applyNumberFormat="1" applyFont="1" applyFill="1" applyBorder="1"/>
    <xf numFmtId="0" fontId="0" fillId="0" borderId="0" xfId="0" applyAlignment="1">
      <alignment horizontal="left" indent="1"/>
    </xf>
    <xf numFmtId="0" fontId="0" fillId="0" borderId="0" xfId="0" applyAlignment="1">
      <alignment horizontal="left" indent="2"/>
    </xf>
    <xf numFmtId="0" fontId="0" fillId="0" borderId="0" xfId="0" applyAlignment="1">
      <alignment horizontal="right"/>
    </xf>
    <xf numFmtId="0" fontId="7" fillId="0" borderId="0" xfId="0" applyFont="1" applyAlignment="1">
      <alignment horizontal="right"/>
    </xf>
    <xf numFmtId="166" fontId="0" fillId="0" borderId="0" xfId="1" applyNumberFormat="1" applyFont="1" applyAlignment="1">
      <alignment horizontal="right"/>
    </xf>
    <xf numFmtId="166" fontId="7" fillId="0" borderId="0" xfId="1" applyNumberFormat="1" applyFont="1" applyAlignment="1">
      <alignment horizontal="right"/>
    </xf>
    <xf numFmtId="0" fontId="0" fillId="5" borderId="10" xfId="0" applyFill="1" applyBorder="1" applyAlignment="1">
      <alignment wrapText="1"/>
    </xf>
    <xf numFmtId="0" fontId="2" fillId="6" borderId="6" xfId="0" applyFont="1" applyFill="1" applyBorder="1" applyAlignment="1">
      <alignment vertical="center"/>
    </xf>
    <xf numFmtId="0" fontId="2" fillId="6" borderId="44" xfId="0" applyFont="1" applyFill="1" applyBorder="1" applyAlignment="1">
      <alignment vertical="center"/>
    </xf>
    <xf numFmtId="166" fontId="7" fillId="0" borderId="0" xfId="0" applyNumberFormat="1" applyFont="1"/>
    <xf numFmtId="0" fontId="26" fillId="5" borderId="6" xfId="0" applyFont="1" applyFill="1" applyBorder="1" applyAlignment="1">
      <alignment vertical="center"/>
    </xf>
    <xf numFmtId="3" fontId="30" fillId="0" borderId="0" xfId="0" applyNumberFormat="1" applyFont="1"/>
    <xf numFmtId="0" fontId="30" fillId="0" borderId="0" xfId="0" applyFont="1"/>
    <xf numFmtId="0" fontId="31" fillId="0" borderId="45" xfId="0" applyFont="1" applyBorder="1" applyAlignment="1">
      <alignment horizontal="center" vertical="center" wrapText="1" readingOrder="1"/>
    </xf>
    <xf numFmtId="0" fontId="31" fillId="0" borderId="45" xfId="0" applyFont="1" applyBorder="1" applyAlignment="1">
      <alignment horizontal="left" vertical="center" wrapText="1" readingOrder="1"/>
    </xf>
    <xf numFmtId="3" fontId="31" fillId="0" borderId="45" xfId="0" applyNumberFormat="1" applyFont="1" applyBorder="1" applyAlignment="1">
      <alignment horizontal="right" vertical="center" wrapText="1" readingOrder="1"/>
    </xf>
    <xf numFmtId="0" fontId="31" fillId="0" borderId="45" xfId="0" applyFont="1" applyBorder="1" applyAlignment="1">
      <alignment horizontal="right" vertical="center" wrapText="1" readingOrder="1"/>
    </xf>
    <xf numFmtId="0" fontId="32" fillId="0" borderId="45" xfId="0" applyFont="1" applyBorder="1" applyAlignment="1">
      <alignment horizontal="left" vertical="center" wrapText="1" readingOrder="1"/>
    </xf>
    <xf numFmtId="3" fontId="32" fillId="0" borderId="45" xfId="0" applyNumberFormat="1" applyFont="1" applyBorder="1" applyAlignment="1">
      <alignment horizontal="right" vertical="center" wrapText="1" readingOrder="1"/>
    </xf>
    <xf numFmtId="0" fontId="32" fillId="0" borderId="45" xfId="0" applyFont="1" applyBorder="1" applyAlignment="1">
      <alignment horizontal="right" vertical="center" wrapText="1" readingOrder="1"/>
    </xf>
    <xf numFmtId="0" fontId="30" fillId="0" borderId="0" xfId="0" applyFont="1" applyAlignment="1">
      <alignment horizontal="center"/>
    </xf>
    <xf numFmtId="3" fontId="30" fillId="0" borderId="0" xfId="0" applyNumberFormat="1" applyFont="1" applyAlignment="1">
      <alignment horizontal="center"/>
    </xf>
    <xf numFmtId="0" fontId="32" fillId="0" borderId="46" xfId="0" applyFont="1" applyBorder="1" applyAlignment="1">
      <alignment horizontal="center" vertical="center" wrapText="1" readingOrder="1"/>
    </xf>
    <xf numFmtId="0" fontId="32" fillId="0" borderId="47" xfId="0" applyFont="1" applyBorder="1" applyAlignment="1">
      <alignment horizontal="center" vertical="center" wrapText="1" readingOrder="1"/>
    </xf>
    <xf numFmtId="0" fontId="32" fillId="0" borderId="48" xfId="0" applyFont="1" applyBorder="1" applyAlignment="1">
      <alignment horizontal="center" vertical="center" wrapText="1" readingOrder="1"/>
    </xf>
    <xf numFmtId="0" fontId="4" fillId="2" borderId="0" xfId="0" applyFont="1" applyFill="1" applyAlignment="1">
      <alignment horizontal="center" vertical="center" wrapText="1"/>
    </xf>
    <xf numFmtId="0" fontId="4" fillId="2" borderId="37" xfId="0" applyFont="1" applyFill="1" applyBorder="1" applyAlignment="1">
      <alignment horizontal="center" vertical="center" wrapText="1"/>
    </xf>
    <xf numFmtId="0" fontId="15" fillId="7" borderId="4" xfId="0" applyFont="1" applyFill="1" applyBorder="1" applyAlignment="1">
      <alignment horizontal="center" vertical="center"/>
    </xf>
    <xf numFmtId="0" fontId="15" fillId="7" borderId="5" xfId="0" applyFont="1" applyFill="1" applyBorder="1" applyAlignment="1">
      <alignment horizontal="center" vertical="center"/>
    </xf>
    <xf numFmtId="0" fontId="15" fillId="7" borderId="1" xfId="0" applyFont="1" applyFill="1" applyBorder="1" applyAlignment="1">
      <alignment horizontal="center" vertical="center"/>
    </xf>
    <xf numFmtId="0" fontId="15" fillId="2" borderId="0" xfId="0" applyFont="1" applyFill="1" applyAlignment="1">
      <alignment horizontal="center" vertical="center"/>
    </xf>
    <xf numFmtId="0" fontId="15" fillId="7" borderId="0" xfId="0" applyFont="1" applyFill="1" applyAlignment="1">
      <alignment horizontal="center" vertical="center"/>
    </xf>
    <xf numFmtId="0" fontId="2" fillId="0" borderId="0" xfId="0" applyFont="1" applyAlignment="1">
      <alignment horizontal="center"/>
    </xf>
    <xf numFmtId="0" fontId="3" fillId="5" borderId="10" xfId="0" quotePrefix="1" applyFont="1" applyFill="1" applyBorder="1" applyAlignment="1">
      <alignment horizontal="left" vertical="top" wrapText="1"/>
    </xf>
    <xf numFmtId="0" fontId="3" fillId="5" borderId="10" xfId="0" applyFont="1" applyFill="1" applyBorder="1" applyAlignment="1">
      <alignment horizontal="left" vertical="top" wrapText="1"/>
    </xf>
    <xf numFmtId="0" fontId="3" fillId="5" borderId="11" xfId="0" applyFont="1" applyFill="1" applyBorder="1" applyAlignment="1">
      <alignment horizontal="left" vertical="top" wrapText="1"/>
    </xf>
    <xf numFmtId="0" fontId="5" fillId="5" borderId="10" xfId="0" quotePrefix="1" applyFont="1" applyFill="1" applyBorder="1" applyAlignment="1">
      <alignment horizontal="left" vertical="top" wrapText="1"/>
    </xf>
    <xf numFmtId="0" fontId="5" fillId="5" borderId="10" xfId="0" applyFont="1" applyFill="1" applyBorder="1" applyAlignment="1">
      <alignment horizontal="left" vertical="top" wrapText="1"/>
    </xf>
    <xf numFmtId="0" fontId="4" fillId="2" borderId="0" xfId="0" applyFont="1" applyFill="1" applyAlignment="1">
      <alignment horizontal="center" vertical="center"/>
    </xf>
    <xf numFmtId="0" fontId="2" fillId="0" borderId="14" xfId="0" applyFont="1" applyBorder="1" applyAlignment="1">
      <alignment horizontal="left" vertical="center"/>
    </xf>
    <xf numFmtId="0" fontId="2" fillId="0" borderId="17" xfId="0" applyFont="1" applyBorder="1" applyAlignment="1">
      <alignment horizontal="left" vertical="center"/>
    </xf>
    <xf numFmtId="0" fontId="5" fillId="0" borderId="15" xfId="0" applyFont="1" applyBorder="1" applyAlignment="1">
      <alignment horizontal="left" vertical="center" wrapText="1"/>
    </xf>
    <xf numFmtId="0" fontId="5" fillId="0" borderId="18" xfId="0" applyFont="1" applyBorder="1" applyAlignment="1">
      <alignment horizontal="center" vertical="center"/>
    </xf>
    <xf numFmtId="0" fontId="4" fillId="6" borderId="0" xfId="0" applyFont="1" applyFill="1" applyAlignment="1">
      <alignment horizontal="center" vertical="center"/>
    </xf>
    <xf numFmtId="0" fontId="5" fillId="0" borderId="20" xfId="0" applyFont="1" applyBorder="1" applyAlignment="1">
      <alignment horizontal="center" vertical="center"/>
    </xf>
    <xf numFmtId="0" fontId="5" fillId="0" borderId="21" xfId="0" applyFont="1" applyBorder="1" applyAlignment="1">
      <alignment horizontal="center" vertical="center"/>
    </xf>
    <xf numFmtId="0" fontId="3" fillId="0" borderId="0" xfId="0" quotePrefix="1" applyFont="1" applyAlignment="1">
      <alignment horizontal="left" vertical="top" wrapText="1"/>
    </xf>
    <xf numFmtId="0" fontId="3" fillId="0" borderId="0" xfId="0" applyFont="1" applyAlignment="1">
      <alignment horizontal="left" vertical="top" wrapText="1"/>
    </xf>
    <xf numFmtId="0" fontId="5" fillId="0" borderId="0" xfId="0" applyFont="1" applyAlignment="1">
      <alignment horizontal="left" vertical="top" wrapText="1"/>
    </xf>
  </cellXfs>
  <cellStyles count="4">
    <cellStyle name="Обычный" xfId="0" builtinId="0"/>
    <cellStyle name="Процентный" xfId="3" builtinId="5"/>
    <cellStyle name="Финансовый" xfId="1" builtinId="3"/>
    <cellStyle name="Hyperlink" xfId="2" xr:uid="{00000000-000B-0000-0000-000008000000}"/>
  </cellStyles>
  <dxfs count="4">
    <dxf>
      <numFmt numFmtId="166" formatCode="_-* #,##0_-;\-* #,##0_-;_-* &quot;-&quot;??_-;_-@_-"/>
    </dxf>
    <dxf>
      <numFmt numFmtId="166" formatCode="_-* #,##0_-;\-* #,##0_-;_-* &quot;-&quot;??_-;_-@_-"/>
    </dxf>
    <dxf>
      <numFmt numFmtId="166" formatCode="_-* #,##0_-;\-* #,##0_-;_-* &quot;-&quot;??_-;_-@_-"/>
    </dxf>
    <dxf>
      <numFmt numFmtId="166" formatCode="_-* #,##0_-;\-* #,##0_-;_-* &quot;-&quot;??_-;_-@_-"/>
    </dxf>
  </dxfs>
  <tableStyles count="0" defaultTableStyle="TableStyleMedium2" defaultPivotStyle="PivotStyleLight16"/>
  <colors>
    <mruColors>
      <color rgb="FFFF7E29"/>
      <color rgb="FFDDEBF7"/>
      <color rgb="FF99C2E5"/>
      <color rgb="FFE3C3AA"/>
      <color rgb="FFFCE4D6"/>
      <color rgb="FFFF9ADD"/>
      <color rgb="FFF995F2"/>
      <color rgb="FFE3D2FE"/>
      <color rgb="FF800080"/>
      <color rgb="FF4040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barChart>
        <c:barDir val="col"/>
        <c:grouping val="clustered"/>
        <c:varyColors val="0"/>
        <c:ser>
          <c:idx val="0"/>
          <c:order val="0"/>
          <c:tx>
            <c:strRef>
              <c:f>'Для презентации'!$A$4</c:f>
              <c:strCache>
                <c:ptCount val="1"/>
                <c:pt idx="0">
                  <c:v>Расходы на персонал</c:v>
                </c:pt>
              </c:strCache>
            </c:strRef>
          </c:tx>
          <c:spPr>
            <a:solidFill>
              <a:schemeClr val="accent1"/>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1-903D-2A4C-ADA6-F80727C4C68A}"/>
              </c:ext>
            </c:extLst>
          </c:dPt>
          <c:dPt>
            <c:idx val="1"/>
            <c:invertIfNegative val="0"/>
            <c:bubble3D val="0"/>
            <c:spPr>
              <a:solidFill>
                <a:srgbClr val="FFFF00"/>
              </a:solidFill>
              <a:ln>
                <a:noFill/>
              </a:ln>
              <a:effectLst/>
            </c:spPr>
            <c:extLst>
              <c:ext xmlns:c16="http://schemas.microsoft.com/office/drawing/2014/chart" uri="{C3380CC4-5D6E-409C-BE32-E72D297353CC}">
                <c16:uniqueId val="{00000002-903D-2A4C-ADA6-F80727C4C68A}"/>
              </c:ext>
            </c:extLst>
          </c:dPt>
          <c:dPt>
            <c:idx val="2"/>
            <c:invertIfNegative val="0"/>
            <c:bubble3D val="0"/>
            <c:spPr>
              <a:solidFill>
                <a:schemeClr val="accent6"/>
              </a:solidFill>
              <a:ln>
                <a:noFill/>
              </a:ln>
              <a:effectLst/>
            </c:spPr>
            <c:extLst>
              <c:ext xmlns:c16="http://schemas.microsoft.com/office/drawing/2014/chart" uri="{C3380CC4-5D6E-409C-BE32-E72D297353CC}">
                <c16:uniqueId val="{00000003-903D-2A4C-ADA6-F80727C4C68A}"/>
              </c:ext>
            </c:extLst>
          </c:dPt>
          <c:dPt>
            <c:idx val="3"/>
            <c:invertIfNegative val="0"/>
            <c:bubble3D val="0"/>
            <c:spPr>
              <a:solidFill>
                <a:srgbClr val="FFFF00"/>
              </a:solidFill>
              <a:ln>
                <a:noFill/>
              </a:ln>
              <a:effectLst/>
            </c:spPr>
            <c:extLst>
              <c:ext xmlns:c16="http://schemas.microsoft.com/office/drawing/2014/chart" uri="{C3380CC4-5D6E-409C-BE32-E72D297353CC}">
                <c16:uniqueId val="{00000004-903D-2A4C-ADA6-F80727C4C68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'Для презентации'!$B$2:$E$3</c:f>
              <c:multiLvlStrCache>
                <c:ptCount val="4"/>
                <c:lvl>
                  <c:pt idx="0">
                    <c:v>План</c:v>
                  </c:pt>
                  <c:pt idx="1">
                    <c:v>Факт</c:v>
                  </c:pt>
                  <c:pt idx="2">
                    <c:v>План</c:v>
                  </c:pt>
                  <c:pt idx="3">
                    <c:v>Факт</c:v>
                  </c:pt>
                </c:lvl>
                <c:lvl>
                  <c:pt idx="0">
                    <c:v>Community</c:v>
                  </c:pt>
                  <c:pt idx="2">
                    <c:v>Education</c:v>
                  </c:pt>
                </c:lvl>
              </c:multiLvlStrCache>
            </c:multiLvlStrRef>
          </c:cat>
          <c:val>
            <c:numRef>
              <c:f>'Для презентации'!$B$4:$E$4</c:f>
              <c:numCache>
                <c:formatCode>#,##0</c:formatCode>
                <c:ptCount val="4"/>
                <c:pt idx="0">
                  <c:v>6048</c:v>
                </c:pt>
                <c:pt idx="1">
                  <c:v>6296</c:v>
                </c:pt>
                <c:pt idx="2">
                  <c:v>11892</c:v>
                </c:pt>
                <c:pt idx="3">
                  <c:v>13385.2</c:v>
                </c:pt>
              </c:numCache>
            </c:numRef>
          </c:val>
          <c:extLst>
            <c:ext xmlns:c16="http://schemas.microsoft.com/office/drawing/2014/chart" uri="{C3380CC4-5D6E-409C-BE32-E72D297353CC}">
              <c16:uniqueId val="{00000000-903D-2A4C-ADA6-F80727C4C68A}"/>
            </c:ext>
          </c:extLst>
        </c:ser>
        <c:dLbls>
          <c:dLblPos val="outEnd"/>
          <c:showLegendKey val="0"/>
          <c:showVal val="1"/>
          <c:showCatName val="0"/>
          <c:showSerName val="0"/>
          <c:showPercent val="0"/>
          <c:showBubbleSize val="0"/>
        </c:dLbls>
        <c:gapWidth val="219"/>
        <c:overlap val="-27"/>
        <c:axId val="168916912"/>
        <c:axId val="169038448"/>
      </c:barChart>
      <c:catAx>
        <c:axId val="16891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69038448"/>
        <c:crosses val="autoZero"/>
        <c:auto val="1"/>
        <c:lblAlgn val="ctr"/>
        <c:lblOffset val="100"/>
        <c:noMultiLvlLbl val="0"/>
      </c:catAx>
      <c:valAx>
        <c:axId val="1690384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689169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barChart>
        <c:barDir val="col"/>
        <c:grouping val="clustered"/>
        <c:varyColors val="0"/>
        <c:ser>
          <c:idx val="0"/>
          <c:order val="0"/>
          <c:tx>
            <c:strRef>
              <c:f>'Для презентации'!$A$9</c:f>
              <c:strCache>
                <c:ptCount val="1"/>
                <c:pt idx="0">
                  <c:v>Расходы на лицензии</c:v>
                </c:pt>
              </c:strCache>
            </c:strRef>
          </c:tx>
          <c:spPr>
            <a:solidFill>
              <a:schemeClr val="accent6"/>
            </a:solidFill>
            <a:ln>
              <a:noFill/>
            </a:ln>
            <a:effectLst/>
          </c:spPr>
          <c:invertIfNegative val="0"/>
          <c:dPt>
            <c:idx val="1"/>
            <c:invertIfNegative val="0"/>
            <c:bubble3D val="0"/>
            <c:spPr>
              <a:solidFill>
                <a:srgbClr val="FFFF00"/>
              </a:solidFill>
              <a:ln>
                <a:noFill/>
              </a:ln>
              <a:effectLst/>
            </c:spPr>
            <c:extLst>
              <c:ext xmlns:c16="http://schemas.microsoft.com/office/drawing/2014/chart" uri="{C3380CC4-5D6E-409C-BE32-E72D297353CC}">
                <c16:uniqueId val="{00000002-B0F5-174C-801E-65F9437D171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'Для презентации'!$B$7:$C$8</c:f>
              <c:multiLvlStrCache>
                <c:ptCount val="2"/>
                <c:lvl>
                  <c:pt idx="0">
                    <c:v>План</c:v>
                  </c:pt>
                  <c:pt idx="1">
                    <c:v>Факт</c:v>
                  </c:pt>
                </c:lvl>
                <c:lvl>
                  <c:pt idx="0">
                    <c:v>Education</c:v>
                  </c:pt>
                </c:lvl>
              </c:multiLvlStrCache>
            </c:multiLvlStrRef>
          </c:cat>
          <c:val>
            <c:numRef>
              <c:f>'Для презентации'!$B$9:$C$9</c:f>
              <c:numCache>
                <c:formatCode>#,##0</c:formatCode>
                <c:ptCount val="2"/>
                <c:pt idx="0">
                  <c:v>960</c:v>
                </c:pt>
                <c:pt idx="1">
                  <c:v>1704.2815999999993</c:v>
                </c:pt>
              </c:numCache>
            </c:numRef>
          </c:val>
          <c:extLst>
            <c:ext xmlns:c16="http://schemas.microsoft.com/office/drawing/2014/chart" uri="{C3380CC4-5D6E-409C-BE32-E72D297353CC}">
              <c16:uniqueId val="{00000000-B0F5-174C-801E-65F9437D171E}"/>
            </c:ext>
          </c:extLst>
        </c:ser>
        <c:dLbls>
          <c:showLegendKey val="0"/>
          <c:showVal val="0"/>
          <c:showCatName val="0"/>
          <c:showSerName val="0"/>
          <c:showPercent val="0"/>
          <c:showBubbleSize val="0"/>
        </c:dLbls>
        <c:gapWidth val="219"/>
        <c:overlap val="-27"/>
        <c:axId val="218280848"/>
        <c:axId val="169323248"/>
      </c:barChart>
      <c:catAx>
        <c:axId val="218280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69323248"/>
        <c:crosses val="autoZero"/>
        <c:auto val="1"/>
        <c:lblAlgn val="ctr"/>
        <c:lblOffset val="100"/>
        <c:noMultiLvlLbl val="0"/>
      </c:catAx>
      <c:valAx>
        <c:axId val="1693232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2182808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514350</xdr:colOff>
      <xdr:row>20</xdr:row>
      <xdr:rowOff>171450</xdr:rowOff>
    </xdr:from>
    <xdr:to>
      <xdr:col>5</xdr:col>
      <xdr:colOff>196850</xdr:colOff>
      <xdr:row>35</xdr:row>
      <xdr:rowOff>95250</xdr:rowOff>
    </xdr:to>
    <xdr:graphicFrame macro="">
      <xdr:nvGraphicFramePr>
        <xdr:cNvPr id="3" name="Диаграмма 2">
          <a:extLst>
            <a:ext uri="{FF2B5EF4-FFF2-40B4-BE49-F238E27FC236}">
              <a16:creationId xmlns:a16="http://schemas.microsoft.com/office/drawing/2014/main" id="{9AF845B8-128F-EB61-8CF2-0E1C43738A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292100</xdr:colOff>
      <xdr:row>15</xdr:row>
      <xdr:rowOff>107950</xdr:rowOff>
    </xdr:from>
    <xdr:to>
      <xdr:col>15</xdr:col>
      <xdr:colOff>546100</xdr:colOff>
      <xdr:row>28</xdr:row>
      <xdr:rowOff>25400</xdr:rowOff>
    </xdr:to>
    <xdr:graphicFrame macro="">
      <xdr:nvGraphicFramePr>
        <xdr:cNvPr id="6" name="Диаграмма 5">
          <a:extLst>
            <a:ext uri="{FF2B5EF4-FFF2-40B4-BE49-F238E27FC236}">
              <a16:creationId xmlns:a16="http://schemas.microsoft.com/office/drawing/2014/main" id="{6FDF78CE-EEAE-12AF-D669-0044872489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Киселев Андрей" refreshedDate="46129.900135185184" createdVersion="8" refreshedVersion="8" minRefreshableVersion="3" recordCount="74" xr:uid="{BDC253E9-9827-8C4A-B43E-2B278186139C}">
  <cacheSource type="worksheet">
    <worksheetSource ref="A1:H75" sheet="Выгрузка лицензии"/>
  </cacheSource>
  <cacheFields count="10">
    <cacheField name="Дата" numFmtId="169">
      <sharedItems containsSemiMixedTypes="0" containsNonDate="0" containsDate="1" containsString="0" minDate="2026-01-01T00:00:00" maxDate="2026-12-02T00:00:00" count="10">
        <d v="2026-01-01T00:00:00"/>
        <d v="2026-02-01T00:00:00"/>
        <d v="2026-03-01T00:00:00"/>
        <d v="2026-04-01T00:00:00"/>
        <d v="2026-06-01T00:00:00"/>
        <d v="2026-07-01T00:00:00"/>
        <d v="2026-08-01T00:00:00"/>
        <d v="2026-09-01T00:00:00"/>
        <d v="2026-10-01T00:00:00"/>
        <d v="2026-12-01T00:00:00"/>
      </sharedItems>
      <fieldGroup par="9"/>
    </cacheField>
    <cacheField name="Лицензия" numFmtId="0">
      <sharedItems count="6">
        <s v="1С"/>
        <s v="MS Office"/>
        <s v="Miro"/>
        <s v="Jira"/>
        <s v="Доп.софт для разработки комьюнити-платформы"/>
        <s v="Доп.софт для разработки обучающей платформы"/>
      </sharedItems>
    </cacheField>
    <cacheField name="ID сотрудника" numFmtId="0">
      <sharedItems containsSemiMixedTypes="0" containsString="0" containsNumber="1" containsInteger="1" minValue="100005000" maxValue="100005018"/>
    </cacheField>
    <cacheField name="Должность" numFmtId="0">
      <sharedItems/>
    </cacheField>
    <cacheField name="Направление" numFmtId="0">
      <sharedItems count="3">
        <s v="Бухгалтерия"/>
        <s v="Community"/>
        <s v="Education"/>
      </sharedItems>
    </cacheField>
    <cacheField name="Стоимость за годовой доступ, $" numFmtId="0">
      <sharedItems containsSemiMixedTypes="0" containsString="0" containsNumber="1" minValue="110.99" maxValue="732.5"/>
    </cacheField>
    <cacheField name="Курс доллара" numFmtId="0">
      <sharedItems containsSemiMixedTypes="0" containsString="0" containsNumber="1" containsInteger="1" minValue="91" maxValue="109"/>
    </cacheField>
    <cacheField name="Сумма, руб." numFmtId="0">
      <sharedItems containsSemiMixedTypes="0" containsString="0" containsNumber="1" minValue="10100.09" maxValue="79842.5"/>
    </cacheField>
    <cacheField name="Дни (Дата)" numFmtId="0" databaseField="0">
      <fieldGroup base="0">
        <rangePr groupBy="days" startDate="2026-01-01T00:00:00" endDate="2026-12-02T00:00:00"/>
        <groupItems count="368">
          <s v="&lt;01.01.2026"/>
          <s v="01.янв"/>
          <s v="02.янв"/>
          <s v="03.янв"/>
          <s v="04.янв"/>
          <s v="05.янв"/>
          <s v="06.янв"/>
          <s v="07.янв"/>
          <s v="08.янв"/>
          <s v="09.янв"/>
          <s v="10.янв"/>
          <s v="11.янв"/>
          <s v="12.янв"/>
          <s v="13.янв"/>
          <s v="14.янв"/>
          <s v="15.янв"/>
          <s v="16.янв"/>
          <s v="17.янв"/>
          <s v="18.янв"/>
          <s v="19.янв"/>
          <s v="20.янв"/>
          <s v="21.янв"/>
          <s v="22.янв"/>
          <s v="23.янв"/>
          <s v="24.янв"/>
          <s v="25.янв"/>
          <s v="26.янв"/>
          <s v="27.янв"/>
          <s v="28.янв"/>
          <s v="29.янв"/>
          <s v="30.янв"/>
          <s v="31.янв"/>
          <s v="01.февр"/>
          <s v="02.февр"/>
          <s v="03.февр"/>
          <s v="04.февр"/>
          <s v="05.февр"/>
          <s v="06.февр"/>
          <s v="07.февр"/>
          <s v="08.февр"/>
          <s v="09.февр"/>
          <s v="10.февр"/>
          <s v="11.февр"/>
          <s v="12.февр"/>
          <s v="13.февр"/>
          <s v="14.февр"/>
          <s v="15.февр"/>
          <s v="16.февр"/>
          <s v="17.февр"/>
          <s v="18.февр"/>
          <s v="19.февр"/>
          <s v="20.февр"/>
          <s v="21.февр"/>
          <s v="22.февр"/>
          <s v="23.февр"/>
          <s v="24.февр"/>
          <s v="25.февр"/>
          <s v="26.февр"/>
          <s v="27.февр"/>
          <s v="28.февр"/>
          <s v="29.февр"/>
          <s v="01.март"/>
          <s v="02.март"/>
          <s v="03.март"/>
          <s v="04.март"/>
          <s v="05.март"/>
          <s v="06.март"/>
          <s v="07.март"/>
          <s v="08.март"/>
          <s v="09.март"/>
          <s v="10.март"/>
          <s v="11.март"/>
          <s v="12.март"/>
          <s v="13.март"/>
          <s v="14.март"/>
          <s v="15.март"/>
          <s v="16.март"/>
          <s v="17.март"/>
          <s v="18.март"/>
          <s v="19.март"/>
          <s v="20.март"/>
          <s v="21.март"/>
          <s v="22.март"/>
          <s v="23.март"/>
          <s v="24.март"/>
          <s v="25.март"/>
          <s v="26.март"/>
          <s v="27.март"/>
          <s v="28.март"/>
          <s v="29.март"/>
          <s v="30.март"/>
          <s v="31.март"/>
          <s v="01.апр"/>
          <s v="02.апр"/>
          <s v="03.апр"/>
          <s v="04.апр"/>
          <s v="05.апр"/>
          <s v="06.апр"/>
          <s v="07.апр"/>
          <s v="08.апр"/>
          <s v="09.апр"/>
          <s v="10.апр"/>
          <s v="11.апр"/>
          <s v="12.апр"/>
          <s v="13.апр"/>
          <s v="14.апр"/>
          <s v="15.апр"/>
          <s v="16.апр"/>
          <s v="17.апр"/>
          <s v="18.апр"/>
          <s v="19.апр"/>
          <s v="20.апр"/>
          <s v="21.апр"/>
          <s v="22.апр"/>
          <s v="23.апр"/>
          <s v="24.апр"/>
          <s v="25.апр"/>
          <s v="26.апр"/>
          <s v="27.апр"/>
          <s v="28.апр"/>
          <s v="29.апр"/>
          <s v="30.апр"/>
          <s v="01.май"/>
          <s v="02.май"/>
          <s v="03.май"/>
          <s v="04.май"/>
          <s v="05.май"/>
          <s v="06.май"/>
          <s v="07.май"/>
          <s v="08.май"/>
          <s v="09.май"/>
          <s v="10.май"/>
          <s v="11.май"/>
          <s v="12.май"/>
          <s v="13.май"/>
          <s v="14.май"/>
          <s v="15.май"/>
          <s v="16.май"/>
          <s v="17.май"/>
          <s v="18.май"/>
          <s v="19.май"/>
          <s v="20.май"/>
          <s v="21.май"/>
          <s v="22.май"/>
          <s v="23.май"/>
          <s v="24.май"/>
          <s v="25.май"/>
          <s v="26.май"/>
          <s v="27.май"/>
          <s v="28.май"/>
          <s v="29.май"/>
          <s v="30.май"/>
          <s v="31.май"/>
          <s v="01.июнь"/>
          <s v="02.июнь"/>
          <s v="03.июнь"/>
          <s v="04.июнь"/>
          <s v="05.июнь"/>
          <s v="06.июнь"/>
          <s v="07.июнь"/>
          <s v="08.июнь"/>
          <s v="09.июнь"/>
          <s v="10.июнь"/>
          <s v="11.июнь"/>
          <s v="12.июнь"/>
          <s v="13.июнь"/>
          <s v="14.июнь"/>
          <s v="15.июнь"/>
          <s v="16.июнь"/>
          <s v="17.июнь"/>
          <s v="18.июнь"/>
          <s v="19.июнь"/>
          <s v="20.июнь"/>
          <s v="21.июнь"/>
          <s v="22.июнь"/>
          <s v="23.июнь"/>
          <s v="24.июнь"/>
          <s v="25.июнь"/>
          <s v="26.июнь"/>
          <s v="27.июнь"/>
          <s v="28.июнь"/>
          <s v="29.июнь"/>
          <s v="30.июнь"/>
          <s v="01.июль"/>
          <s v="02.июль"/>
          <s v="03.июль"/>
          <s v="04.июль"/>
          <s v="05.июль"/>
          <s v="06.июль"/>
          <s v="07.июль"/>
          <s v="08.июль"/>
          <s v="09.июль"/>
          <s v="10.июль"/>
          <s v="11.июль"/>
          <s v="12.июль"/>
          <s v="13.июль"/>
          <s v="14.июль"/>
          <s v="15.июль"/>
          <s v="16.июль"/>
          <s v="17.июль"/>
          <s v="18.июль"/>
          <s v="19.июль"/>
          <s v="20.июль"/>
          <s v="21.июль"/>
          <s v="22.июль"/>
          <s v="23.июль"/>
          <s v="24.июль"/>
          <s v="25.июль"/>
          <s v="26.июль"/>
          <s v="27.июль"/>
          <s v="28.июль"/>
          <s v="29.июль"/>
          <s v="30.июль"/>
          <s v="31.июль"/>
          <s v="01.авг"/>
          <s v="02.авг"/>
          <s v="03.авг"/>
          <s v="04.авг"/>
          <s v="05.авг"/>
          <s v="06.авг"/>
          <s v="07.авг"/>
          <s v="08.авг"/>
          <s v="09.авг"/>
          <s v="10.авг"/>
          <s v="11.авг"/>
          <s v="12.авг"/>
          <s v="13.авг"/>
          <s v="14.авг"/>
          <s v="15.авг"/>
          <s v="16.авг"/>
          <s v="17.авг"/>
          <s v="18.авг"/>
          <s v="19.авг"/>
          <s v="20.авг"/>
          <s v="21.авг"/>
          <s v="22.авг"/>
          <s v="23.авг"/>
          <s v="24.авг"/>
          <s v="25.авг"/>
          <s v="26.авг"/>
          <s v="27.авг"/>
          <s v="28.авг"/>
          <s v="29.авг"/>
          <s v="30.авг"/>
          <s v="31.авг"/>
          <s v="01.сент"/>
          <s v="02.сент"/>
          <s v="03.сент"/>
          <s v="04.сент"/>
          <s v="05.сент"/>
          <s v="06.сент"/>
          <s v="07.сент"/>
          <s v="08.сент"/>
          <s v="09.сент"/>
          <s v="10.сент"/>
          <s v="11.сент"/>
          <s v="12.сент"/>
          <s v="13.сент"/>
          <s v="14.сент"/>
          <s v="15.сент"/>
          <s v="16.сент"/>
          <s v="17.сент"/>
          <s v="18.сент"/>
          <s v="19.сент"/>
          <s v="20.сент"/>
          <s v="21.сент"/>
          <s v="22.сент"/>
          <s v="23.сент"/>
          <s v="24.сент"/>
          <s v="25.сент"/>
          <s v="26.сент"/>
          <s v="27.сент"/>
          <s v="28.сент"/>
          <s v="29.сент"/>
          <s v="30.сент"/>
          <s v="01.окт"/>
          <s v="02.окт"/>
          <s v="03.окт"/>
          <s v="04.окт"/>
          <s v="05.окт"/>
          <s v="06.окт"/>
          <s v="07.окт"/>
          <s v="08.окт"/>
          <s v="09.окт"/>
          <s v="10.окт"/>
          <s v="11.окт"/>
          <s v="12.окт"/>
          <s v="13.окт"/>
          <s v="14.окт"/>
          <s v="15.окт"/>
          <s v="16.окт"/>
          <s v="17.окт"/>
          <s v="18.окт"/>
          <s v="19.окт"/>
          <s v="20.окт"/>
          <s v="21.окт"/>
          <s v="22.окт"/>
          <s v="23.окт"/>
          <s v="24.окт"/>
          <s v="25.окт"/>
          <s v="26.окт"/>
          <s v="27.окт"/>
          <s v="28.окт"/>
          <s v="29.окт"/>
          <s v="30.окт"/>
          <s v="31.окт"/>
          <s v="01.нояб"/>
          <s v="02.нояб"/>
          <s v="03.нояб"/>
          <s v="04.нояб"/>
          <s v="05.нояб"/>
          <s v="06.нояб"/>
          <s v="07.нояб"/>
          <s v="08.нояб"/>
          <s v="09.нояб"/>
          <s v="10.нояб"/>
          <s v="11.нояб"/>
          <s v="12.нояб"/>
          <s v="13.нояб"/>
          <s v="14.нояб"/>
          <s v="15.нояб"/>
          <s v="16.нояб"/>
          <s v="17.нояб"/>
          <s v="18.нояб"/>
          <s v="19.нояб"/>
          <s v="20.нояб"/>
          <s v="21.нояб"/>
          <s v="22.нояб"/>
          <s v="23.нояб"/>
          <s v="24.нояб"/>
          <s v="25.нояб"/>
          <s v="26.нояб"/>
          <s v="27.нояб"/>
          <s v="28.нояб"/>
          <s v="29.нояб"/>
          <s v="30.нояб"/>
          <s v="01.дек"/>
          <s v="02.дек"/>
          <s v="03.дек"/>
          <s v="04.дек"/>
          <s v="05.дек"/>
          <s v="06.дек"/>
          <s v="07.дек"/>
          <s v="08.дек"/>
          <s v="09.дек"/>
          <s v="10.дек"/>
          <s v="11.дек"/>
          <s v="12.дек"/>
          <s v="13.дек"/>
          <s v="14.дек"/>
          <s v="15.дек"/>
          <s v="16.дек"/>
          <s v="17.дек"/>
          <s v="18.дек"/>
          <s v="19.дек"/>
          <s v="20.дек"/>
          <s v="21.дек"/>
          <s v="22.дек"/>
          <s v="23.дек"/>
          <s v="24.дек"/>
          <s v="25.дек"/>
          <s v="26.дек"/>
          <s v="27.дек"/>
          <s v="28.дек"/>
          <s v="29.дек"/>
          <s v="30.дек"/>
          <s v="31.дек"/>
          <s v="&gt;02.12.2026"/>
        </groupItems>
      </fieldGroup>
    </cacheField>
    <cacheField name="Месяцы (Дата)" numFmtId="0" databaseField="0">
      <fieldGroup base="0">
        <rangePr groupBy="months" startDate="2026-01-01T00:00:00" endDate="2026-12-02T00:00:00"/>
        <groupItems count="14">
          <s v="&lt;01.01.2026"/>
          <s v="янв"/>
          <s v="февр"/>
          <s v="март"/>
          <s v="апр"/>
          <s v="май"/>
          <s v="июнь"/>
          <s v="июль"/>
          <s v="авг"/>
          <s v="сент"/>
          <s v="окт"/>
          <s v="нояб"/>
          <s v="дек"/>
          <s v="&gt;02.12.2026"/>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Киселев Андрей" refreshedDate="46130.756701273145" createdVersion="8" refreshedVersion="8" minRefreshableVersion="3" recordCount="19" xr:uid="{9ECE5B66-2D2E-C74B-B14C-8489DC475A56}">
  <cacheSource type="worksheet">
    <worksheetSource ref="A1:G20" sheet="Выгрузка оборудование"/>
  </cacheSource>
  <cacheFields count="10">
    <cacheField name="Дата" numFmtId="169">
      <sharedItems containsSemiMixedTypes="0" containsNonDate="0" containsDate="1" containsString="0" minDate="2026-01-01T00:00:00" maxDate="2026-12-02T00:00:00" count="10">
        <d v="2026-01-01T00:00:00"/>
        <d v="2026-02-01T00:00:00"/>
        <d v="2026-03-01T00:00:00"/>
        <d v="2026-04-01T00:00:00"/>
        <d v="2026-06-01T00:00:00"/>
        <d v="2026-07-01T00:00:00"/>
        <d v="2026-08-01T00:00:00"/>
        <d v="2026-09-01T00:00:00"/>
        <d v="2026-10-01T00:00:00"/>
        <d v="2026-12-01T00:00:00"/>
      </sharedItems>
      <fieldGroup par="8"/>
    </cacheField>
    <cacheField name="Тип" numFmtId="0">
      <sharedItems/>
    </cacheField>
    <cacheField name="Срок полезного использования" numFmtId="0">
      <sharedItems/>
    </cacheField>
    <cacheField name="ID сотрудника" numFmtId="0">
      <sharedItems containsSemiMixedTypes="0" containsString="0" containsNumber="1" containsInteger="1" minValue="100005000" maxValue="100005018"/>
    </cacheField>
    <cacheField name="Должность" numFmtId="0">
      <sharedItems/>
    </cacheField>
    <cacheField name="Направление" numFmtId="0">
      <sharedItems count="3">
        <s v="Бухгалтерия"/>
        <s v="Community"/>
        <s v="Education"/>
      </sharedItems>
    </cacheField>
    <cacheField name="Сумма, руб." numFmtId="0">
      <sharedItems containsSemiMixedTypes="0" containsString="0" containsNumber="1" containsInteger="1" minValue="100000" maxValue="100000"/>
    </cacheField>
    <cacheField name="Дни (Дата)" numFmtId="0" databaseField="0">
      <fieldGroup base="0">
        <rangePr groupBy="days" startDate="2026-01-01T00:00:00" endDate="2026-12-02T00:00:00"/>
        <groupItems count="368">
          <s v="&lt;01.01.2026"/>
          <s v="01.янв"/>
          <s v="02.янв"/>
          <s v="03.янв"/>
          <s v="04.янв"/>
          <s v="05.янв"/>
          <s v="06.янв"/>
          <s v="07.янв"/>
          <s v="08.янв"/>
          <s v="09.янв"/>
          <s v="10.янв"/>
          <s v="11.янв"/>
          <s v="12.янв"/>
          <s v="13.янв"/>
          <s v="14.янв"/>
          <s v="15.янв"/>
          <s v="16.янв"/>
          <s v="17.янв"/>
          <s v="18.янв"/>
          <s v="19.янв"/>
          <s v="20.янв"/>
          <s v="21.янв"/>
          <s v="22.янв"/>
          <s v="23.янв"/>
          <s v="24.янв"/>
          <s v="25.янв"/>
          <s v="26.янв"/>
          <s v="27.янв"/>
          <s v="28.янв"/>
          <s v="29.янв"/>
          <s v="30.янв"/>
          <s v="31.янв"/>
          <s v="01.февр"/>
          <s v="02.февр"/>
          <s v="03.февр"/>
          <s v="04.февр"/>
          <s v="05.февр"/>
          <s v="06.февр"/>
          <s v="07.февр"/>
          <s v="08.февр"/>
          <s v="09.февр"/>
          <s v="10.февр"/>
          <s v="11.февр"/>
          <s v="12.февр"/>
          <s v="13.февр"/>
          <s v="14.февр"/>
          <s v="15.февр"/>
          <s v="16.февр"/>
          <s v="17.февр"/>
          <s v="18.февр"/>
          <s v="19.февр"/>
          <s v="20.февр"/>
          <s v="21.февр"/>
          <s v="22.февр"/>
          <s v="23.февр"/>
          <s v="24.февр"/>
          <s v="25.февр"/>
          <s v="26.февр"/>
          <s v="27.февр"/>
          <s v="28.февр"/>
          <s v="29.февр"/>
          <s v="01.март"/>
          <s v="02.март"/>
          <s v="03.март"/>
          <s v="04.март"/>
          <s v="05.март"/>
          <s v="06.март"/>
          <s v="07.март"/>
          <s v="08.март"/>
          <s v="09.март"/>
          <s v="10.март"/>
          <s v="11.март"/>
          <s v="12.март"/>
          <s v="13.март"/>
          <s v="14.март"/>
          <s v="15.март"/>
          <s v="16.март"/>
          <s v="17.март"/>
          <s v="18.март"/>
          <s v="19.март"/>
          <s v="20.март"/>
          <s v="21.март"/>
          <s v="22.март"/>
          <s v="23.март"/>
          <s v="24.март"/>
          <s v="25.март"/>
          <s v="26.март"/>
          <s v="27.март"/>
          <s v="28.март"/>
          <s v="29.март"/>
          <s v="30.март"/>
          <s v="31.март"/>
          <s v="01.апр"/>
          <s v="02.апр"/>
          <s v="03.апр"/>
          <s v="04.апр"/>
          <s v="05.апр"/>
          <s v="06.апр"/>
          <s v="07.апр"/>
          <s v="08.апр"/>
          <s v="09.апр"/>
          <s v="10.апр"/>
          <s v="11.апр"/>
          <s v="12.апр"/>
          <s v="13.апр"/>
          <s v="14.апр"/>
          <s v="15.апр"/>
          <s v="16.апр"/>
          <s v="17.апр"/>
          <s v="18.апр"/>
          <s v="19.апр"/>
          <s v="20.апр"/>
          <s v="21.апр"/>
          <s v="22.апр"/>
          <s v="23.апр"/>
          <s v="24.апр"/>
          <s v="25.апр"/>
          <s v="26.апр"/>
          <s v="27.апр"/>
          <s v="28.апр"/>
          <s v="29.апр"/>
          <s v="30.апр"/>
          <s v="01.май"/>
          <s v="02.май"/>
          <s v="03.май"/>
          <s v="04.май"/>
          <s v="05.май"/>
          <s v="06.май"/>
          <s v="07.май"/>
          <s v="08.май"/>
          <s v="09.май"/>
          <s v="10.май"/>
          <s v="11.май"/>
          <s v="12.май"/>
          <s v="13.май"/>
          <s v="14.май"/>
          <s v="15.май"/>
          <s v="16.май"/>
          <s v="17.май"/>
          <s v="18.май"/>
          <s v="19.май"/>
          <s v="20.май"/>
          <s v="21.май"/>
          <s v="22.май"/>
          <s v="23.май"/>
          <s v="24.май"/>
          <s v="25.май"/>
          <s v="26.май"/>
          <s v="27.май"/>
          <s v="28.май"/>
          <s v="29.май"/>
          <s v="30.май"/>
          <s v="31.май"/>
          <s v="01.июнь"/>
          <s v="02.июнь"/>
          <s v="03.июнь"/>
          <s v="04.июнь"/>
          <s v="05.июнь"/>
          <s v="06.июнь"/>
          <s v="07.июнь"/>
          <s v="08.июнь"/>
          <s v="09.июнь"/>
          <s v="10.июнь"/>
          <s v="11.июнь"/>
          <s v="12.июнь"/>
          <s v="13.июнь"/>
          <s v="14.июнь"/>
          <s v="15.июнь"/>
          <s v="16.июнь"/>
          <s v="17.июнь"/>
          <s v="18.июнь"/>
          <s v="19.июнь"/>
          <s v="20.июнь"/>
          <s v="21.июнь"/>
          <s v="22.июнь"/>
          <s v="23.июнь"/>
          <s v="24.июнь"/>
          <s v="25.июнь"/>
          <s v="26.июнь"/>
          <s v="27.июнь"/>
          <s v="28.июнь"/>
          <s v="29.июнь"/>
          <s v="30.июнь"/>
          <s v="01.июль"/>
          <s v="02.июль"/>
          <s v="03.июль"/>
          <s v="04.июль"/>
          <s v="05.июль"/>
          <s v="06.июль"/>
          <s v="07.июль"/>
          <s v="08.июль"/>
          <s v="09.июль"/>
          <s v="10.июль"/>
          <s v="11.июль"/>
          <s v="12.июль"/>
          <s v="13.июль"/>
          <s v="14.июль"/>
          <s v="15.июль"/>
          <s v="16.июль"/>
          <s v="17.июль"/>
          <s v="18.июль"/>
          <s v="19.июль"/>
          <s v="20.июль"/>
          <s v="21.июль"/>
          <s v="22.июль"/>
          <s v="23.июль"/>
          <s v="24.июль"/>
          <s v="25.июль"/>
          <s v="26.июль"/>
          <s v="27.июль"/>
          <s v="28.июль"/>
          <s v="29.июль"/>
          <s v="30.июль"/>
          <s v="31.июль"/>
          <s v="01.авг"/>
          <s v="02.авг"/>
          <s v="03.авг"/>
          <s v="04.авг"/>
          <s v="05.авг"/>
          <s v="06.авг"/>
          <s v="07.авг"/>
          <s v="08.авг"/>
          <s v="09.авг"/>
          <s v="10.авг"/>
          <s v="11.авг"/>
          <s v="12.авг"/>
          <s v="13.авг"/>
          <s v="14.авг"/>
          <s v="15.авг"/>
          <s v="16.авг"/>
          <s v="17.авг"/>
          <s v="18.авг"/>
          <s v="19.авг"/>
          <s v="20.авг"/>
          <s v="21.авг"/>
          <s v="22.авг"/>
          <s v="23.авг"/>
          <s v="24.авг"/>
          <s v="25.авг"/>
          <s v="26.авг"/>
          <s v="27.авг"/>
          <s v="28.авг"/>
          <s v="29.авг"/>
          <s v="30.авг"/>
          <s v="31.авг"/>
          <s v="01.сент"/>
          <s v="02.сент"/>
          <s v="03.сент"/>
          <s v="04.сент"/>
          <s v="05.сент"/>
          <s v="06.сент"/>
          <s v="07.сент"/>
          <s v="08.сент"/>
          <s v="09.сент"/>
          <s v="10.сент"/>
          <s v="11.сент"/>
          <s v="12.сент"/>
          <s v="13.сент"/>
          <s v="14.сент"/>
          <s v="15.сент"/>
          <s v="16.сент"/>
          <s v="17.сент"/>
          <s v="18.сент"/>
          <s v="19.сент"/>
          <s v="20.сент"/>
          <s v="21.сент"/>
          <s v="22.сент"/>
          <s v="23.сент"/>
          <s v="24.сент"/>
          <s v="25.сент"/>
          <s v="26.сент"/>
          <s v="27.сент"/>
          <s v="28.сент"/>
          <s v="29.сент"/>
          <s v="30.сент"/>
          <s v="01.окт"/>
          <s v="02.окт"/>
          <s v="03.окт"/>
          <s v="04.окт"/>
          <s v="05.окт"/>
          <s v="06.окт"/>
          <s v="07.окт"/>
          <s v="08.окт"/>
          <s v="09.окт"/>
          <s v="10.окт"/>
          <s v="11.окт"/>
          <s v="12.окт"/>
          <s v="13.окт"/>
          <s v="14.окт"/>
          <s v="15.окт"/>
          <s v="16.окт"/>
          <s v="17.окт"/>
          <s v="18.окт"/>
          <s v="19.окт"/>
          <s v="20.окт"/>
          <s v="21.окт"/>
          <s v="22.окт"/>
          <s v="23.окт"/>
          <s v="24.окт"/>
          <s v="25.окт"/>
          <s v="26.окт"/>
          <s v="27.окт"/>
          <s v="28.окт"/>
          <s v="29.окт"/>
          <s v="30.окт"/>
          <s v="31.окт"/>
          <s v="01.нояб"/>
          <s v="02.нояб"/>
          <s v="03.нояб"/>
          <s v="04.нояб"/>
          <s v="05.нояб"/>
          <s v="06.нояб"/>
          <s v="07.нояб"/>
          <s v="08.нояб"/>
          <s v="09.нояб"/>
          <s v="10.нояб"/>
          <s v="11.нояб"/>
          <s v="12.нояб"/>
          <s v="13.нояб"/>
          <s v="14.нояб"/>
          <s v="15.нояб"/>
          <s v="16.нояб"/>
          <s v="17.нояб"/>
          <s v="18.нояб"/>
          <s v="19.нояб"/>
          <s v="20.нояб"/>
          <s v="21.нояб"/>
          <s v="22.нояб"/>
          <s v="23.нояб"/>
          <s v="24.нояб"/>
          <s v="25.нояб"/>
          <s v="26.нояб"/>
          <s v="27.нояб"/>
          <s v="28.нояб"/>
          <s v="29.нояб"/>
          <s v="30.нояб"/>
          <s v="01.дек"/>
          <s v="02.дек"/>
          <s v="03.дек"/>
          <s v="04.дек"/>
          <s v="05.дек"/>
          <s v="06.дек"/>
          <s v="07.дек"/>
          <s v="08.дек"/>
          <s v="09.дек"/>
          <s v="10.дек"/>
          <s v="11.дек"/>
          <s v="12.дек"/>
          <s v="13.дек"/>
          <s v="14.дек"/>
          <s v="15.дек"/>
          <s v="16.дек"/>
          <s v="17.дек"/>
          <s v="18.дек"/>
          <s v="19.дек"/>
          <s v="20.дек"/>
          <s v="21.дек"/>
          <s v="22.дек"/>
          <s v="23.дек"/>
          <s v="24.дек"/>
          <s v="25.дек"/>
          <s v="26.дек"/>
          <s v="27.дек"/>
          <s v="28.дек"/>
          <s v="29.дек"/>
          <s v="30.дек"/>
          <s v="31.дек"/>
          <s v="&gt;02.12.2026"/>
        </groupItems>
      </fieldGroup>
    </cacheField>
    <cacheField name="Месяцы (Дата)" numFmtId="0" databaseField="0">
      <fieldGroup base="0">
        <rangePr groupBy="months" startDate="2026-01-01T00:00:00" endDate="2026-12-02T00:00:00"/>
        <groupItems count="14">
          <s v="&lt;01.01.2026"/>
          <s v="янв"/>
          <s v="февр"/>
          <s v="март"/>
          <s v="апр"/>
          <s v="май"/>
          <s v="июнь"/>
          <s v="июль"/>
          <s v="авг"/>
          <s v="сент"/>
          <s v="окт"/>
          <s v="нояб"/>
          <s v="дек"/>
          <s v="&gt;02.12.2026"/>
        </groupItems>
      </fieldGroup>
    </cacheField>
    <cacheField name="Сумма мес" numFmtId="0" formula="'Сумма, руб.'/24" databaseField="0"/>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Киселев Андрей" refreshedDate="46131.60293645833" createdVersion="8" refreshedVersion="8" minRefreshableVersion="3" recordCount="899" xr:uid="{15EE59FF-E4F0-4D4C-BDC1-47D088CFF501}">
  <cacheSource type="worksheet">
    <worksheetSource ref="A1:F900" sheet="Выгрузка персонал"/>
  </cacheSource>
  <cacheFields count="8">
    <cacheField name="Дата" numFmtId="169">
      <sharedItems containsSemiMixedTypes="0" containsNonDate="0" containsDate="1" containsString="0" minDate="2026-01-01T00:00:00" maxDate="2026-12-21T00:00:00" count="34">
        <d v="2026-01-05T00:00:00"/>
        <d v="2026-01-20T00:00:00"/>
        <d v="2026-02-05T00:00:00"/>
        <d v="2026-02-20T00:00:00"/>
        <d v="2026-03-05T00:00:00"/>
        <d v="2026-03-20T00:00:00"/>
        <d v="2026-04-05T00:00:00"/>
        <d v="2026-04-20T00:00:00"/>
        <d v="2026-05-05T00:00:00"/>
        <d v="2026-05-20T00:00:00"/>
        <d v="2026-06-05T00:00:00"/>
        <d v="2026-06-20T00:00:00"/>
        <d v="2026-07-05T00:00:00"/>
        <d v="2026-07-20T00:00:00"/>
        <d v="2026-08-05T00:00:00"/>
        <d v="2026-08-20T00:00:00"/>
        <d v="2026-09-05T00:00:00"/>
        <d v="2026-09-20T00:00:00"/>
        <d v="2026-10-05T00:00:00"/>
        <d v="2026-10-20T00:00:00"/>
        <d v="2026-11-05T00:00:00"/>
        <d v="2026-11-20T00:00:00"/>
        <d v="2026-12-05T00:00:00"/>
        <d v="2026-12-20T00:00:00"/>
        <d v="2026-01-01T00:00:00"/>
        <d v="2026-02-01T00:00:00"/>
        <d v="2026-03-01T00:00:00"/>
        <d v="2026-04-01T00:00:00"/>
        <d v="2026-06-01T00:00:00"/>
        <d v="2026-07-01T00:00:00"/>
        <d v="2026-08-01T00:00:00"/>
        <d v="2026-09-01T00:00:00"/>
        <d v="2026-10-01T00:00:00"/>
        <d v="2026-12-01T00:00:00"/>
      </sharedItems>
      <fieldGroup par="7"/>
    </cacheField>
    <cacheField name="Назначение" numFmtId="0">
      <sharedItems count="5">
        <s v="аванс"/>
        <s v="заработная плата"/>
        <s v="ДМС на год"/>
        <s v="страховые и прочие взносы"/>
        <s v="компенсация питания"/>
      </sharedItems>
    </cacheField>
    <cacheField name="ID сотрудника" numFmtId="0">
      <sharedItems containsSemiMixedTypes="0" containsString="0" containsNumber="1" containsInteger="1" minValue="100005000" maxValue="100005018"/>
    </cacheField>
    <cacheField name="Должность" numFmtId="0">
      <sharedItems count="7">
        <s v="Producr Owner"/>
        <s v="Модератор"/>
        <s v="Инженер тех. поддержки"/>
        <s v="Контент-мейкер"/>
        <s v="SMM"/>
        <s v="Куратор"/>
        <s v="Бухгалтер"/>
      </sharedItems>
    </cacheField>
    <cacheField name="Направление" numFmtId="0">
      <sharedItems count="3">
        <s v="Community"/>
        <s v="Education"/>
        <s v="Бухгалтерия"/>
      </sharedItems>
    </cacheField>
    <cacheField name="Сумма, руб." numFmtId="1">
      <sharedItems containsSemiMixedTypes="0" containsString="0" containsNumber="1" minValue="3400" maxValue="68000"/>
    </cacheField>
    <cacheField name="Дни (Дата)" numFmtId="0" databaseField="0">
      <fieldGroup base="0">
        <rangePr groupBy="days" startDate="2026-01-01T00:00:00" endDate="2026-12-21T00:00:00"/>
        <groupItems count="368">
          <s v="&lt;01.01.2026"/>
          <s v="01.янв"/>
          <s v="02.янв"/>
          <s v="03.янв"/>
          <s v="04.янв"/>
          <s v="05.янв"/>
          <s v="06.янв"/>
          <s v="07.янв"/>
          <s v="08.янв"/>
          <s v="09.янв"/>
          <s v="10.янв"/>
          <s v="11.янв"/>
          <s v="12.янв"/>
          <s v="13.янв"/>
          <s v="14.янв"/>
          <s v="15.янв"/>
          <s v="16.янв"/>
          <s v="17.янв"/>
          <s v="18.янв"/>
          <s v="19.янв"/>
          <s v="20.янв"/>
          <s v="21.янв"/>
          <s v="22.янв"/>
          <s v="23.янв"/>
          <s v="24.янв"/>
          <s v="25.янв"/>
          <s v="26.янв"/>
          <s v="27.янв"/>
          <s v="28.янв"/>
          <s v="29.янв"/>
          <s v="30.янв"/>
          <s v="31.янв"/>
          <s v="01.февр"/>
          <s v="02.февр"/>
          <s v="03.февр"/>
          <s v="04.февр"/>
          <s v="05.февр"/>
          <s v="06.февр"/>
          <s v="07.февр"/>
          <s v="08.февр"/>
          <s v="09.февр"/>
          <s v="10.февр"/>
          <s v="11.февр"/>
          <s v="12.февр"/>
          <s v="13.февр"/>
          <s v="14.февр"/>
          <s v="15.февр"/>
          <s v="16.февр"/>
          <s v="17.февр"/>
          <s v="18.февр"/>
          <s v="19.февр"/>
          <s v="20.февр"/>
          <s v="21.февр"/>
          <s v="22.февр"/>
          <s v="23.февр"/>
          <s v="24.февр"/>
          <s v="25.февр"/>
          <s v="26.февр"/>
          <s v="27.февр"/>
          <s v="28.февр"/>
          <s v="29.февр"/>
          <s v="01.март"/>
          <s v="02.март"/>
          <s v="03.март"/>
          <s v="04.март"/>
          <s v="05.март"/>
          <s v="06.март"/>
          <s v="07.март"/>
          <s v="08.март"/>
          <s v="09.март"/>
          <s v="10.март"/>
          <s v="11.март"/>
          <s v="12.март"/>
          <s v="13.март"/>
          <s v="14.март"/>
          <s v="15.март"/>
          <s v="16.март"/>
          <s v="17.март"/>
          <s v="18.март"/>
          <s v="19.март"/>
          <s v="20.март"/>
          <s v="21.март"/>
          <s v="22.март"/>
          <s v="23.март"/>
          <s v="24.март"/>
          <s v="25.март"/>
          <s v="26.март"/>
          <s v="27.март"/>
          <s v="28.март"/>
          <s v="29.март"/>
          <s v="30.март"/>
          <s v="31.март"/>
          <s v="01.апр"/>
          <s v="02.апр"/>
          <s v="03.апр"/>
          <s v="04.апр"/>
          <s v="05.апр"/>
          <s v="06.апр"/>
          <s v="07.апр"/>
          <s v="08.апр"/>
          <s v="09.апр"/>
          <s v="10.апр"/>
          <s v="11.апр"/>
          <s v="12.апр"/>
          <s v="13.апр"/>
          <s v="14.апр"/>
          <s v="15.апр"/>
          <s v="16.апр"/>
          <s v="17.апр"/>
          <s v="18.апр"/>
          <s v="19.апр"/>
          <s v="20.апр"/>
          <s v="21.апр"/>
          <s v="22.апр"/>
          <s v="23.апр"/>
          <s v="24.апр"/>
          <s v="25.апр"/>
          <s v="26.апр"/>
          <s v="27.апр"/>
          <s v="28.апр"/>
          <s v="29.апр"/>
          <s v="30.апр"/>
          <s v="01.май"/>
          <s v="02.май"/>
          <s v="03.май"/>
          <s v="04.май"/>
          <s v="05.май"/>
          <s v="06.май"/>
          <s v="07.май"/>
          <s v="08.май"/>
          <s v="09.май"/>
          <s v="10.май"/>
          <s v="11.май"/>
          <s v="12.май"/>
          <s v="13.май"/>
          <s v="14.май"/>
          <s v="15.май"/>
          <s v="16.май"/>
          <s v="17.май"/>
          <s v="18.май"/>
          <s v="19.май"/>
          <s v="20.май"/>
          <s v="21.май"/>
          <s v="22.май"/>
          <s v="23.май"/>
          <s v="24.май"/>
          <s v="25.май"/>
          <s v="26.май"/>
          <s v="27.май"/>
          <s v="28.май"/>
          <s v="29.май"/>
          <s v="30.май"/>
          <s v="31.май"/>
          <s v="01.июнь"/>
          <s v="02.июнь"/>
          <s v="03.июнь"/>
          <s v="04.июнь"/>
          <s v="05.июнь"/>
          <s v="06.июнь"/>
          <s v="07.июнь"/>
          <s v="08.июнь"/>
          <s v="09.июнь"/>
          <s v="10.июнь"/>
          <s v="11.июнь"/>
          <s v="12.июнь"/>
          <s v="13.июнь"/>
          <s v="14.июнь"/>
          <s v="15.июнь"/>
          <s v="16.июнь"/>
          <s v="17.июнь"/>
          <s v="18.июнь"/>
          <s v="19.июнь"/>
          <s v="20.июнь"/>
          <s v="21.июнь"/>
          <s v="22.июнь"/>
          <s v="23.июнь"/>
          <s v="24.июнь"/>
          <s v="25.июнь"/>
          <s v="26.июнь"/>
          <s v="27.июнь"/>
          <s v="28.июнь"/>
          <s v="29.июнь"/>
          <s v="30.июнь"/>
          <s v="01.июль"/>
          <s v="02.июль"/>
          <s v="03.июль"/>
          <s v="04.июль"/>
          <s v="05.июль"/>
          <s v="06.июль"/>
          <s v="07.июль"/>
          <s v="08.июль"/>
          <s v="09.июль"/>
          <s v="10.июль"/>
          <s v="11.июль"/>
          <s v="12.июль"/>
          <s v="13.июль"/>
          <s v="14.июль"/>
          <s v="15.июль"/>
          <s v="16.июль"/>
          <s v="17.июль"/>
          <s v="18.июль"/>
          <s v="19.июль"/>
          <s v="20.июль"/>
          <s v="21.июль"/>
          <s v="22.июль"/>
          <s v="23.июль"/>
          <s v="24.июль"/>
          <s v="25.июль"/>
          <s v="26.июль"/>
          <s v="27.июль"/>
          <s v="28.июль"/>
          <s v="29.июль"/>
          <s v="30.июль"/>
          <s v="31.июль"/>
          <s v="01.авг"/>
          <s v="02.авг"/>
          <s v="03.авг"/>
          <s v="04.авг"/>
          <s v="05.авг"/>
          <s v="06.авг"/>
          <s v="07.авг"/>
          <s v="08.авг"/>
          <s v="09.авг"/>
          <s v="10.авг"/>
          <s v="11.авг"/>
          <s v="12.авг"/>
          <s v="13.авг"/>
          <s v="14.авг"/>
          <s v="15.авг"/>
          <s v="16.авг"/>
          <s v="17.авг"/>
          <s v="18.авг"/>
          <s v="19.авг"/>
          <s v="20.авг"/>
          <s v="21.авг"/>
          <s v="22.авг"/>
          <s v="23.авг"/>
          <s v="24.авг"/>
          <s v="25.авг"/>
          <s v="26.авг"/>
          <s v="27.авг"/>
          <s v="28.авг"/>
          <s v="29.авг"/>
          <s v="30.авг"/>
          <s v="31.авг"/>
          <s v="01.сент"/>
          <s v="02.сент"/>
          <s v="03.сент"/>
          <s v="04.сент"/>
          <s v="05.сент"/>
          <s v="06.сент"/>
          <s v="07.сент"/>
          <s v="08.сент"/>
          <s v="09.сент"/>
          <s v="10.сент"/>
          <s v="11.сент"/>
          <s v="12.сент"/>
          <s v="13.сент"/>
          <s v="14.сент"/>
          <s v="15.сент"/>
          <s v="16.сент"/>
          <s v="17.сент"/>
          <s v="18.сент"/>
          <s v="19.сент"/>
          <s v="20.сент"/>
          <s v="21.сент"/>
          <s v="22.сент"/>
          <s v="23.сент"/>
          <s v="24.сент"/>
          <s v="25.сент"/>
          <s v="26.сент"/>
          <s v="27.сент"/>
          <s v="28.сент"/>
          <s v="29.сент"/>
          <s v="30.сент"/>
          <s v="01.окт"/>
          <s v="02.окт"/>
          <s v="03.окт"/>
          <s v="04.окт"/>
          <s v="05.окт"/>
          <s v="06.окт"/>
          <s v="07.окт"/>
          <s v="08.окт"/>
          <s v="09.окт"/>
          <s v="10.окт"/>
          <s v="11.окт"/>
          <s v="12.окт"/>
          <s v="13.окт"/>
          <s v="14.окт"/>
          <s v="15.окт"/>
          <s v="16.окт"/>
          <s v="17.окт"/>
          <s v="18.окт"/>
          <s v="19.окт"/>
          <s v="20.окт"/>
          <s v="21.окт"/>
          <s v="22.окт"/>
          <s v="23.окт"/>
          <s v="24.окт"/>
          <s v="25.окт"/>
          <s v="26.окт"/>
          <s v="27.окт"/>
          <s v="28.окт"/>
          <s v="29.окт"/>
          <s v="30.окт"/>
          <s v="31.окт"/>
          <s v="01.нояб"/>
          <s v="02.нояб"/>
          <s v="03.нояб"/>
          <s v="04.нояб"/>
          <s v="05.нояб"/>
          <s v="06.нояб"/>
          <s v="07.нояб"/>
          <s v="08.нояб"/>
          <s v="09.нояб"/>
          <s v="10.нояб"/>
          <s v="11.нояб"/>
          <s v="12.нояб"/>
          <s v="13.нояб"/>
          <s v="14.нояб"/>
          <s v="15.нояб"/>
          <s v="16.нояб"/>
          <s v="17.нояб"/>
          <s v="18.нояб"/>
          <s v="19.нояб"/>
          <s v="20.нояб"/>
          <s v="21.нояб"/>
          <s v="22.нояб"/>
          <s v="23.нояб"/>
          <s v="24.нояб"/>
          <s v="25.нояб"/>
          <s v="26.нояб"/>
          <s v="27.нояб"/>
          <s v="28.нояб"/>
          <s v="29.нояб"/>
          <s v="30.нояб"/>
          <s v="01.дек"/>
          <s v="02.дек"/>
          <s v="03.дек"/>
          <s v="04.дек"/>
          <s v="05.дек"/>
          <s v="06.дек"/>
          <s v="07.дек"/>
          <s v="08.дек"/>
          <s v="09.дек"/>
          <s v="10.дек"/>
          <s v="11.дек"/>
          <s v="12.дек"/>
          <s v="13.дек"/>
          <s v="14.дек"/>
          <s v="15.дек"/>
          <s v="16.дек"/>
          <s v="17.дек"/>
          <s v="18.дек"/>
          <s v="19.дек"/>
          <s v="20.дек"/>
          <s v="21.дек"/>
          <s v="22.дек"/>
          <s v="23.дек"/>
          <s v="24.дек"/>
          <s v="25.дек"/>
          <s v="26.дек"/>
          <s v="27.дек"/>
          <s v="28.дек"/>
          <s v="29.дек"/>
          <s v="30.дек"/>
          <s v="31.дек"/>
          <s v="&gt;21.12.2026"/>
        </groupItems>
      </fieldGroup>
    </cacheField>
    <cacheField name="Месяцы (Дата)" numFmtId="0" databaseField="0">
      <fieldGroup base="0">
        <rangePr groupBy="months" startDate="2026-01-01T00:00:00" endDate="2026-12-21T00:00:00"/>
        <groupItems count="14">
          <s v="&lt;01.01.2026"/>
          <s v="янв"/>
          <s v="февр"/>
          <s v="март"/>
          <s v="апр"/>
          <s v="май"/>
          <s v="июнь"/>
          <s v="июль"/>
          <s v="авг"/>
          <s v="сент"/>
          <s v="окт"/>
          <s v="нояб"/>
          <s v="дек"/>
          <s v="&gt;21.12.202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
  <r>
    <x v="0"/>
    <x v="0"/>
    <n v="100005000"/>
    <s v="Бухгалтер"/>
    <x v="0"/>
    <n v="110.99"/>
    <n v="91"/>
    <n v="10100.09"/>
  </r>
  <r>
    <x v="0"/>
    <x v="1"/>
    <n v="100005000"/>
    <s v="Бухгалтер"/>
    <x v="0"/>
    <n v="332.99"/>
    <n v="91"/>
    <n v="30302.09"/>
  </r>
  <r>
    <x v="0"/>
    <x v="1"/>
    <n v="100005001"/>
    <s v="Producr Owner"/>
    <x v="1"/>
    <n v="332.99"/>
    <n v="91"/>
    <n v="30302.09"/>
  </r>
  <r>
    <x v="0"/>
    <x v="2"/>
    <n v="100005001"/>
    <s v="Producr Owner"/>
    <x v="1"/>
    <n v="154.99"/>
    <n v="91"/>
    <n v="14104.09"/>
  </r>
  <r>
    <x v="0"/>
    <x v="3"/>
    <n v="100005001"/>
    <s v="Producr Owner"/>
    <x v="1"/>
    <n v="110.99"/>
    <n v="91"/>
    <n v="10100.09"/>
  </r>
  <r>
    <x v="0"/>
    <x v="4"/>
    <n v="100005001"/>
    <s v="Producr Owner"/>
    <x v="1"/>
    <n v="732.5"/>
    <n v="91"/>
    <n v="66657.5"/>
  </r>
  <r>
    <x v="0"/>
    <x v="1"/>
    <n v="100005002"/>
    <s v="Модератор"/>
    <x v="1"/>
    <n v="332.99"/>
    <n v="91"/>
    <n v="30302.09"/>
  </r>
  <r>
    <x v="0"/>
    <x v="2"/>
    <n v="100005002"/>
    <s v="Модератор"/>
    <x v="1"/>
    <n v="154.99"/>
    <n v="91"/>
    <n v="14104.09"/>
  </r>
  <r>
    <x v="0"/>
    <x v="3"/>
    <n v="100005002"/>
    <s v="Модератор"/>
    <x v="1"/>
    <n v="110.99"/>
    <n v="91"/>
    <n v="10100.09"/>
  </r>
  <r>
    <x v="0"/>
    <x v="4"/>
    <n v="100005002"/>
    <s v="Модератор"/>
    <x v="1"/>
    <n v="732.5"/>
    <n v="91"/>
    <n v="66657.5"/>
  </r>
  <r>
    <x v="0"/>
    <x v="1"/>
    <n v="100005003"/>
    <s v="Инженер тех. поддержки"/>
    <x v="1"/>
    <n v="332.99"/>
    <n v="91"/>
    <n v="30302.09"/>
  </r>
  <r>
    <x v="0"/>
    <x v="2"/>
    <n v="100005003"/>
    <s v="Инженер тех. поддержки"/>
    <x v="1"/>
    <n v="154.99"/>
    <n v="91"/>
    <n v="14104.09"/>
  </r>
  <r>
    <x v="0"/>
    <x v="3"/>
    <n v="100005003"/>
    <s v="Инженер тех. поддержки"/>
    <x v="1"/>
    <n v="110.99"/>
    <n v="91"/>
    <n v="10100.09"/>
  </r>
  <r>
    <x v="0"/>
    <x v="4"/>
    <n v="100005003"/>
    <s v="Инженер тех. поддержки"/>
    <x v="1"/>
    <n v="732.5"/>
    <n v="91"/>
    <n v="66657.5"/>
  </r>
  <r>
    <x v="0"/>
    <x v="1"/>
    <n v="100005004"/>
    <s v="Контент-мейкер"/>
    <x v="1"/>
    <n v="332.99"/>
    <n v="91"/>
    <n v="30302.09"/>
  </r>
  <r>
    <x v="0"/>
    <x v="2"/>
    <n v="100005004"/>
    <s v="Контент-мейкер"/>
    <x v="1"/>
    <n v="154.99"/>
    <n v="91"/>
    <n v="14104.09"/>
  </r>
  <r>
    <x v="0"/>
    <x v="3"/>
    <n v="100005004"/>
    <s v="Контент-мейкер"/>
    <x v="1"/>
    <n v="110.99"/>
    <n v="91"/>
    <n v="10100.09"/>
  </r>
  <r>
    <x v="0"/>
    <x v="4"/>
    <n v="100005004"/>
    <s v="Контент-мейкер"/>
    <x v="1"/>
    <n v="732.5"/>
    <n v="91"/>
    <n v="66657.5"/>
  </r>
  <r>
    <x v="0"/>
    <x v="1"/>
    <n v="100005005"/>
    <s v="SMM"/>
    <x v="1"/>
    <n v="332.99"/>
    <n v="91"/>
    <n v="30302.09"/>
  </r>
  <r>
    <x v="0"/>
    <x v="2"/>
    <n v="100005005"/>
    <s v="SMM"/>
    <x v="1"/>
    <n v="154.99"/>
    <n v="91"/>
    <n v="14104.09"/>
  </r>
  <r>
    <x v="0"/>
    <x v="3"/>
    <n v="100005005"/>
    <s v="SMM"/>
    <x v="1"/>
    <n v="110.99"/>
    <n v="91"/>
    <n v="10100.09"/>
  </r>
  <r>
    <x v="0"/>
    <x v="4"/>
    <n v="100005005"/>
    <s v="SMM"/>
    <x v="1"/>
    <n v="732.5"/>
    <n v="91"/>
    <n v="66657.5"/>
  </r>
  <r>
    <x v="0"/>
    <x v="1"/>
    <n v="100005006"/>
    <s v="Producr Owner"/>
    <x v="2"/>
    <n v="332.99"/>
    <n v="91"/>
    <n v="30302.09"/>
  </r>
  <r>
    <x v="0"/>
    <x v="2"/>
    <n v="100005006"/>
    <s v="Producr Owner"/>
    <x v="2"/>
    <n v="154.99"/>
    <n v="91"/>
    <n v="14104.09"/>
  </r>
  <r>
    <x v="0"/>
    <x v="3"/>
    <n v="100005006"/>
    <s v="Producr Owner"/>
    <x v="2"/>
    <n v="110.99"/>
    <n v="91"/>
    <n v="10100.09"/>
  </r>
  <r>
    <x v="0"/>
    <x v="5"/>
    <n v="100005006"/>
    <s v="Producr Owner"/>
    <x v="2"/>
    <n v="732.5"/>
    <n v="91"/>
    <n v="66657.5"/>
  </r>
  <r>
    <x v="0"/>
    <x v="1"/>
    <n v="100005007"/>
    <s v="Инженер тех. поддержки"/>
    <x v="2"/>
    <n v="332.99"/>
    <n v="91"/>
    <n v="30302.09"/>
  </r>
  <r>
    <x v="0"/>
    <x v="2"/>
    <n v="100005007"/>
    <s v="Инженер тех. поддержки"/>
    <x v="2"/>
    <n v="154.99"/>
    <n v="91"/>
    <n v="14104.09"/>
  </r>
  <r>
    <x v="0"/>
    <x v="3"/>
    <n v="100005007"/>
    <s v="Инженер тех. поддержки"/>
    <x v="2"/>
    <n v="110.99"/>
    <n v="91"/>
    <n v="10100.09"/>
  </r>
  <r>
    <x v="0"/>
    <x v="5"/>
    <n v="100005007"/>
    <s v="Инженер тех. поддержки"/>
    <x v="2"/>
    <n v="732.5"/>
    <n v="91"/>
    <n v="66657.5"/>
  </r>
  <r>
    <x v="0"/>
    <x v="1"/>
    <n v="100005008"/>
    <s v="SMM"/>
    <x v="2"/>
    <n v="332.99"/>
    <n v="91"/>
    <n v="30302.09"/>
  </r>
  <r>
    <x v="0"/>
    <x v="2"/>
    <n v="100005008"/>
    <s v="SMM"/>
    <x v="2"/>
    <n v="154.99"/>
    <n v="91"/>
    <n v="14104.09"/>
  </r>
  <r>
    <x v="0"/>
    <x v="3"/>
    <n v="100005008"/>
    <s v="SMM"/>
    <x v="2"/>
    <n v="110.99"/>
    <n v="91"/>
    <n v="10100.09"/>
  </r>
  <r>
    <x v="0"/>
    <x v="5"/>
    <n v="100005008"/>
    <s v="SMM"/>
    <x v="2"/>
    <n v="732.5"/>
    <n v="91"/>
    <n v="66657.5"/>
  </r>
  <r>
    <x v="0"/>
    <x v="1"/>
    <n v="100005009"/>
    <s v="Куратор"/>
    <x v="2"/>
    <n v="332.99"/>
    <n v="91"/>
    <n v="30302.09"/>
  </r>
  <r>
    <x v="0"/>
    <x v="2"/>
    <n v="100005009"/>
    <s v="Куратор"/>
    <x v="2"/>
    <n v="154.99"/>
    <n v="91"/>
    <n v="14104.09"/>
  </r>
  <r>
    <x v="0"/>
    <x v="3"/>
    <n v="100005009"/>
    <s v="Куратор"/>
    <x v="2"/>
    <n v="110.99"/>
    <n v="91"/>
    <n v="10100.09"/>
  </r>
  <r>
    <x v="0"/>
    <x v="5"/>
    <n v="100005009"/>
    <s v="Куратор"/>
    <x v="2"/>
    <n v="732.5"/>
    <n v="91"/>
    <n v="66657.5"/>
  </r>
  <r>
    <x v="1"/>
    <x v="1"/>
    <n v="100005010"/>
    <s v="Куратор"/>
    <x v="2"/>
    <n v="332.99"/>
    <n v="91"/>
    <n v="30302.09"/>
  </r>
  <r>
    <x v="1"/>
    <x v="2"/>
    <n v="100005010"/>
    <s v="Куратор"/>
    <x v="2"/>
    <n v="154.99"/>
    <n v="91"/>
    <n v="14104.09"/>
  </r>
  <r>
    <x v="1"/>
    <x v="3"/>
    <n v="100005010"/>
    <s v="Куратор"/>
    <x v="2"/>
    <n v="110.99"/>
    <n v="91"/>
    <n v="10100.09"/>
  </r>
  <r>
    <x v="1"/>
    <x v="5"/>
    <n v="100005010"/>
    <s v="Куратор"/>
    <x v="2"/>
    <n v="732.5"/>
    <n v="91"/>
    <n v="66657.5"/>
  </r>
  <r>
    <x v="2"/>
    <x v="1"/>
    <n v="100005011"/>
    <s v="Куратор"/>
    <x v="2"/>
    <n v="332.99"/>
    <n v="94"/>
    <n v="31301.06"/>
  </r>
  <r>
    <x v="2"/>
    <x v="2"/>
    <n v="100005011"/>
    <s v="Куратор"/>
    <x v="2"/>
    <n v="154.99"/>
    <n v="94"/>
    <n v="14569.060000000001"/>
  </r>
  <r>
    <x v="2"/>
    <x v="3"/>
    <n v="100005011"/>
    <s v="Куратор"/>
    <x v="2"/>
    <n v="110.99"/>
    <n v="94"/>
    <n v="10433.06"/>
  </r>
  <r>
    <x v="2"/>
    <x v="5"/>
    <n v="100005011"/>
    <s v="Куратор"/>
    <x v="2"/>
    <n v="732.5"/>
    <n v="94"/>
    <n v="68855"/>
  </r>
  <r>
    <x v="3"/>
    <x v="1"/>
    <n v="100005012"/>
    <s v="Куратор"/>
    <x v="2"/>
    <n v="332.99"/>
    <n v="98"/>
    <n v="32633.02"/>
  </r>
  <r>
    <x v="3"/>
    <x v="2"/>
    <n v="100005012"/>
    <s v="Куратор"/>
    <x v="2"/>
    <n v="154.99"/>
    <n v="98"/>
    <n v="15189.02"/>
  </r>
  <r>
    <x v="3"/>
    <x v="3"/>
    <n v="100005012"/>
    <s v="Куратор"/>
    <x v="2"/>
    <n v="110.99"/>
    <n v="98"/>
    <n v="10877.019999999999"/>
  </r>
  <r>
    <x v="3"/>
    <x v="5"/>
    <n v="100005012"/>
    <s v="Куратор"/>
    <x v="2"/>
    <n v="732.5"/>
    <n v="98"/>
    <n v="71785"/>
  </r>
  <r>
    <x v="4"/>
    <x v="1"/>
    <n v="100005013"/>
    <s v="Куратор"/>
    <x v="2"/>
    <n v="332.99"/>
    <n v="100"/>
    <n v="33299"/>
  </r>
  <r>
    <x v="4"/>
    <x v="2"/>
    <n v="100005013"/>
    <s v="Куратор"/>
    <x v="2"/>
    <n v="154.99"/>
    <n v="100"/>
    <n v="15499"/>
  </r>
  <r>
    <x v="4"/>
    <x v="3"/>
    <n v="100005013"/>
    <s v="Куратор"/>
    <x v="2"/>
    <n v="110.99"/>
    <n v="100"/>
    <n v="11099"/>
  </r>
  <r>
    <x v="4"/>
    <x v="5"/>
    <n v="100005013"/>
    <s v="Куратор"/>
    <x v="2"/>
    <n v="732.5"/>
    <n v="100"/>
    <n v="73250"/>
  </r>
  <r>
    <x v="5"/>
    <x v="1"/>
    <n v="100005014"/>
    <s v="Куратор"/>
    <x v="2"/>
    <n v="332.99"/>
    <n v="104"/>
    <n v="34630.959999999999"/>
  </r>
  <r>
    <x v="5"/>
    <x v="2"/>
    <n v="100005014"/>
    <s v="Куратор"/>
    <x v="2"/>
    <n v="154.99"/>
    <n v="104"/>
    <n v="16118.960000000001"/>
  </r>
  <r>
    <x v="5"/>
    <x v="3"/>
    <n v="100005014"/>
    <s v="Куратор"/>
    <x v="2"/>
    <n v="110.99"/>
    <n v="104"/>
    <n v="11542.96"/>
  </r>
  <r>
    <x v="5"/>
    <x v="5"/>
    <n v="100005014"/>
    <s v="Куратор"/>
    <x v="2"/>
    <n v="732.5"/>
    <n v="104"/>
    <n v="76180"/>
  </r>
  <r>
    <x v="6"/>
    <x v="1"/>
    <n v="100005015"/>
    <s v="Куратор"/>
    <x v="2"/>
    <n v="332.99"/>
    <n v="108"/>
    <n v="35962.92"/>
  </r>
  <r>
    <x v="6"/>
    <x v="2"/>
    <n v="100005015"/>
    <s v="Куратор"/>
    <x v="2"/>
    <n v="154.99"/>
    <n v="108"/>
    <n v="16738.920000000002"/>
  </r>
  <r>
    <x v="6"/>
    <x v="3"/>
    <n v="100005015"/>
    <s v="Куратор"/>
    <x v="2"/>
    <n v="110.99"/>
    <n v="108"/>
    <n v="11986.92"/>
  </r>
  <r>
    <x v="6"/>
    <x v="5"/>
    <n v="100005015"/>
    <s v="Куратор"/>
    <x v="2"/>
    <n v="732.5"/>
    <n v="108"/>
    <n v="79110"/>
  </r>
  <r>
    <x v="7"/>
    <x v="1"/>
    <n v="100005016"/>
    <s v="Куратор"/>
    <x v="2"/>
    <n v="332.99"/>
    <n v="109"/>
    <n v="36295.910000000003"/>
  </r>
  <r>
    <x v="7"/>
    <x v="2"/>
    <n v="100005016"/>
    <s v="Куратор"/>
    <x v="2"/>
    <n v="154.99"/>
    <n v="109"/>
    <n v="16893.91"/>
  </r>
  <r>
    <x v="7"/>
    <x v="3"/>
    <n v="100005016"/>
    <s v="Куратор"/>
    <x v="2"/>
    <n v="110.99"/>
    <n v="109"/>
    <n v="12097.91"/>
  </r>
  <r>
    <x v="7"/>
    <x v="5"/>
    <n v="100005016"/>
    <s v="Куратор"/>
    <x v="2"/>
    <n v="732.5"/>
    <n v="109"/>
    <n v="79842.5"/>
  </r>
  <r>
    <x v="8"/>
    <x v="1"/>
    <n v="100005017"/>
    <s v="Куратор"/>
    <x v="2"/>
    <n v="332.99"/>
    <n v="109"/>
    <n v="36295.910000000003"/>
  </r>
  <r>
    <x v="8"/>
    <x v="2"/>
    <n v="100005017"/>
    <s v="Куратор"/>
    <x v="2"/>
    <n v="154.99"/>
    <n v="109"/>
    <n v="16893.91"/>
  </r>
  <r>
    <x v="8"/>
    <x v="3"/>
    <n v="100005017"/>
    <s v="Куратор"/>
    <x v="2"/>
    <n v="110.99"/>
    <n v="109"/>
    <n v="12097.91"/>
  </r>
  <r>
    <x v="8"/>
    <x v="5"/>
    <n v="100005017"/>
    <s v="Куратор"/>
    <x v="2"/>
    <n v="732.5"/>
    <n v="109"/>
    <n v="79842.5"/>
  </r>
  <r>
    <x v="9"/>
    <x v="1"/>
    <n v="100005018"/>
    <s v="Куратор"/>
    <x v="2"/>
    <n v="332.99"/>
    <n v="103"/>
    <n v="34297.97"/>
  </r>
  <r>
    <x v="9"/>
    <x v="2"/>
    <n v="100005018"/>
    <s v="Куратор"/>
    <x v="2"/>
    <n v="154.99"/>
    <n v="103"/>
    <n v="15963.970000000001"/>
  </r>
  <r>
    <x v="9"/>
    <x v="3"/>
    <n v="100005018"/>
    <s v="Куратор"/>
    <x v="2"/>
    <n v="110.99"/>
    <n v="103"/>
    <n v="11431.97"/>
  </r>
  <r>
    <x v="9"/>
    <x v="5"/>
    <n v="100005018"/>
    <s v="Куратор"/>
    <x v="2"/>
    <n v="732.5"/>
    <n v="103"/>
    <n v="75447.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
  <r>
    <x v="0"/>
    <s v="Комплект оборудования &quot;Стандартный&quot;"/>
    <s v="2 года"/>
    <n v="100005000"/>
    <s v="Бухгалтер"/>
    <x v="0"/>
    <n v="100000"/>
  </r>
  <r>
    <x v="0"/>
    <s v="Комплект оборудования &quot;Стандартный&quot;"/>
    <s v="2 года"/>
    <n v="100005001"/>
    <s v="Producr Owner"/>
    <x v="1"/>
    <n v="100000"/>
  </r>
  <r>
    <x v="0"/>
    <s v="Комплект оборудования &quot;Стандартный&quot;"/>
    <s v="2 года"/>
    <n v="100005002"/>
    <s v="Модератор"/>
    <x v="1"/>
    <n v="100000"/>
  </r>
  <r>
    <x v="0"/>
    <s v="Комплект оборудования &quot;Стандартный&quot;"/>
    <s v="2 года"/>
    <n v="100005003"/>
    <s v="Инженер тех. поддержки"/>
    <x v="1"/>
    <n v="100000"/>
  </r>
  <r>
    <x v="0"/>
    <s v="Комплект оборудования &quot;Стандартный&quot;"/>
    <s v="2 года"/>
    <n v="100005004"/>
    <s v="Контент-мейкер"/>
    <x v="1"/>
    <n v="100000"/>
  </r>
  <r>
    <x v="0"/>
    <s v="Комплект оборудования &quot;Стандартный&quot;"/>
    <s v="2 года"/>
    <n v="100005005"/>
    <s v="SMM"/>
    <x v="1"/>
    <n v="100000"/>
  </r>
  <r>
    <x v="0"/>
    <s v="Комплект оборудования &quot;Стандартный&quot;"/>
    <s v="2 года"/>
    <n v="100005006"/>
    <s v="Producr Owner"/>
    <x v="2"/>
    <n v="100000"/>
  </r>
  <r>
    <x v="0"/>
    <s v="Комплект оборудования &quot;Стандартный&quot;"/>
    <s v="2 года"/>
    <n v="100005007"/>
    <s v="Инженер тех. поддержки"/>
    <x v="2"/>
    <n v="100000"/>
  </r>
  <r>
    <x v="0"/>
    <s v="Комплект оборудования &quot;Стандартный&quot;"/>
    <s v="2 года"/>
    <n v="100005008"/>
    <s v="SMM"/>
    <x v="2"/>
    <n v="100000"/>
  </r>
  <r>
    <x v="0"/>
    <s v="Комплект оборудования &quot;Стандартный&quot;"/>
    <s v="2 года"/>
    <n v="100005009"/>
    <s v="Куратор"/>
    <x v="2"/>
    <n v="100000"/>
  </r>
  <r>
    <x v="1"/>
    <s v="Комплект оборудования &quot;Стандартный&quot;"/>
    <s v="2 года"/>
    <n v="100005010"/>
    <s v="Куратор"/>
    <x v="2"/>
    <n v="100000"/>
  </r>
  <r>
    <x v="2"/>
    <s v="Комплект оборудования &quot;Стандартный&quot;"/>
    <s v="2 года"/>
    <n v="100005011"/>
    <s v="Куратор"/>
    <x v="2"/>
    <n v="100000"/>
  </r>
  <r>
    <x v="3"/>
    <s v="Комплект оборудования &quot;Стандартный&quot;"/>
    <s v="2 года"/>
    <n v="100005012"/>
    <s v="Куратор"/>
    <x v="2"/>
    <n v="100000"/>
  </r>
  <r>
    <x v="4"/>
    <s v="Комплект оборудования &quot;Стандартный&quot;"/>
    <s v="2 года"/>
    <n v="100005013"/>
    <s v="Куратор"/>
    <x v="2"/>
    <n v="100000"/>
  </r>
  <r>
    <x v="5"/>
    <s v="Комплект оборудования &quot;Стандартный&quot;"/>
    <s v="2 года"/>
    <n v="100005014"/>
    <s v="Куратор"/>
    <x v="2"/>
    <n v="100000"/>
  </r>
  <r>
    <x v="6"/>
    <s v="Комплект оборудования &quot;Стандартный&quot;"/>
    <s v="2 года"/>
    <n v="100005015"/>
    <s v="Куратор"/>
    <x v="2"/>
    <n v="100000"/>
  </r>
  <r>
    <x v="7"/>
    <s v="Комплект оборудования &quot;Стандартный&quot;"/>
    <s v="2 года"/>
    <n v="100005016"/>
    <s v="Куратор"/>
    <x v="2"/>
    <n v="100000"/>
  </r>
  <r>
    <x v="8"/>
    <s v="Комплект оборудования &quot;Стандартный&quot;"/>
    <s v="2 года"/>
    <n v="100005017"/>
    <s v="Куратор"/>
    <x v="2"/>
    <n v="100000"/>
  </r>
  <r>
    <x v="9"/>
    <s v="Комплект оборудования &quot;Стандартный&quot;"/>
    <s v="2 года"/>
    <n v="100005018"/>
    <s v="Куратор"/>
    <x v="2"/>
    <n v="10000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9">
  <r>
    <x v="0"/>
    <x v="0"/>
    <n v="100005001"/>
    <x v="0"/>
    <x v="0"/>
    <n v="40000"/>
  </r>
  <r>
    <x v="0"/>
    <x v="0"/>
    <n v="100005002"/>
    <x v="1"/>
    <x v="0"/>
    <n v="24000"/>
  </r>
  <r>
    <x v="0"/>
    <x v="0"/>
    <n v="100005003"/>
    <x v="2"/>
    <x v="0"/>
    <n v="24000"/>
  </r>
  <r>
    <x v="0"/>
    <x v="0"/>
    <n v="100005004"/>
    <x v="3"/>
    <x v="0"/>
    <n v="32000"/>
  </r>
  <r>
    <x v="0"/>
    <x v="0"/>
    <n v="100005005"/>
    <x v="4"/>
    <x v="0"/>
    <n v="32000"/>
  </r>
  <r>
    <x v="0"/>
    <x v="0"/>
    <n v="100005006"/>
    <x v="0"/>
    <x v="1"/>
    <n v="40000"/>
  </r>
  <r>
    <x v="0"/>
    <x v="0"/>
    <n v="100005009"/>
    <x v="5"/>
    <x v="1"/>
    <n v="40000"/>
  </r>
  <r>
    <x v="0"/>
    <x v="0"/>
    <n v="100005007"/>
    <x v="2"/>
    <x v="1"/>
    <n v="28000"/>
  </r>
  <r>
    <x v="0"/>
    <x v="0"/>
    <n v="100005008"/>
    <x v="4"/>
    <x v="1"/>
    <n v="32000"/>
  </r>
  <r>
    <x v="0"/>
    <x v="0"/>
    <n v="100005000"/>
    <x v="6"/>
    <x v="2"/>
    <n v="16000"/>
  </r>
  <r>
    <x v="1"/>
    <x v="1"/>
    <n v="100005001"/>
    <x v="0"/>
    <x v="0"/>
    <n v="60000"/>
  </r>
  <r>
    <x v="1"/>
    <x v="1"/>
    <n v="100005002"/>
    <x v="1"/>
    <x v="0"/>
    <n v="36000"/>
  </r>
  <r>
    <x v="1"/>
    <x v="1"/>
    <n v="100005003"/>
    <x v="2"/>
    <x v="0"/>
    <n v="36000"/>
  </r>
  <r>
    <x v="1"/>
    <x v="1"/>
    <n v="100005004"/>
    <x v="3"/>
    <x v="0"/>
    <n v="48000"/>
  </r>
  <r>
    <x v="1"/>
    <x v="1"/>
    <n v="100005005"/>
    <x v="4"/>
    <x v="0"/>
    <n v="48000"/>
  </r>
  <r>
    <x v="1"/>
    <x v="1"/>
    <n v="100005006"/>
    <x v="0"/>
    <x v="1"/>
    <n v="60000"/>
  </r>
  <r>
    <x v="1"/>
    <x v="1"/>
    <n v="100005009"/>
    <x v="5"/>
    <x v="1"/>
    <n v="60000"/>
  </r>
  <r>
    <x v="1"/>
    <x v="1"/>
    <n v="100005007"/>
    <x v="2"/>
    <x v="1"/>
    <n v="42000"/>
  </r>
  <r>
    <x v="1"/>
    <x v="1"/>
    <n v="100005008"/>
    <x v="4"/>
    <x v="1"/>
    <n v="48000"/>
  </r>
  <r>
    <x v="1"/>
    <x v="1"/>
    <n v="100005000"/>
    <x v="6"/>
    <x v="2"/>
    <n v="24000"/>
  </r>
  <r>
    <x v="2"/>
    <x v="0"/>
    <n v="100005001"/>
    <x v="0"/>
    <x v="0"/>
    <n v="40000"/>
  </r>
  <r>
    <x v="2"/>
    <x v="0"/>
    <n v="100005002"/>
    <x v="1"/>
    <x v="0"/>
    <n v="24000"/>
  </r>
  <r>
    <x v="2"/>
    <x v="0"/>
    <n v="100005003"/>
    <x v="2"/>
    <x v="0"/>
    <n v="24000"/>
  </r>
  <r>
    <x v="2"/>
    <x v="0"/>
    <n v="100005004"/>
    <x v="3"/>
    <x v="0"/>
    <n v="32000"/>
  </r>
  <r>
    <x v="2"/>
    <x v="0"/>
    <n v="100005005"/>
    <x v="4"/>
    <x v="0"/>
    <n v="32000"/>
  </r>
  <r>
    <x v="2"/>
    <x v="0"/>
    <n v="100005006"/>
    <x v="0"/>
    <x v="1"/>
    <n v="40000"/>
  </r>
  <r>
    <x v="2"/>
    <x v="0"/>
    <n v="100005009"/>
    <x v="5"/>
    <x v="1"/>
    <n v="40000"/>
  </r>
  <r>
    <x v="2"/>
    <x v="0"/>
    <n v="100005010"/>
    <x v="5"/>
    <x v="1"/>
    <n v="40000"/>
  </r>
  <r>
    <x v="2"/>
    <x v="0"/>
    <n v="100005007"/>
    <x v="2"/>
    <x v="1"/>
    <n v="28000"/>
  </r>
  <r>
    <x v="2"/>
    <x v="0"/>
    <n v="100005008"/>
    <x v="4"/>
    <x v="1"/>
    <n v="32000"/>
  </r>
  <r>
    <x v="2"/>
    <x v="0"/>
    <n v="100005000"/>
    <x v="6"/>
    <x v="2"/>
    <n v="16000"/>
  </r>
  <r>
    <x v="3"/>
    <x v="1"/>
    <n v="100005001"/>
    <x v="0"/>
    <x v="0"/>
    <n v="60000"/>
  </r>
  <r>
    <x v="3"/>
    <x v="1"/>
    <n v="100005002"/>
    <x v="1"/>
    <x v="0"/>
    <n v="36000"/>
  </r>
  <r>
    <x v="3"/>
    <x v="1"/>
    <n v="100005003"/>
    <x v="2"/>
    <x v="0"/>
    <n v="36000"/>
  </r>
  <r>
    <x v="3"/>
    <x v="1"/>
    <n v="100005004"/>
    <x v="3"/>
    <x v="0"/>
    <n v="48000"/>
  </r>
  <r>
    <x v="3"/>
    <x v="1"/>
    <n v="100005005"/>
    <x v="4"/>
    <x v="0"/>
    <n v="48000"/>
  </r>
  <r>
    <x v="3"/>
    <x v="1"/>
    <n v="100005006"/>
    <x v="0"/>
    <x v="1"/>
    <n v="60000"/>
  </r>
  <r>
    <x v="3"/>
    <x v="1"/>
    <n v="100005009"/>
    <x v="5"/>
    <x v="1"/>
    <n v="60000"/>
  </r>
  <r>
    <x v="3"/>
    <x v="1"/>
    <n v="100005010"/>
    <x v="5"/>
    <x v="1"/>
    <n v="60000"/>
  </r>
  <r>
    <x v="3"/>
    <x v="1"/>
    <n v="100005007"/>
    <x v="2"/>
    <x v="1"/>
    <n v="42000"/>
  </r>
  <r>
    <x v="3"/>
    <x v="1"/>
    <n v="100005008"/>
    <x v="4"/>
    <x v="1"/>
    <n v="48000"/>
  </r>
  <r>
    <x v="3"/>
    <x v="1"/>
    <n v="100005000"/>
    <x v="6"/>
    <x v="2"/>
    <n v="24000"/>
  </r>
  <r>
    <x v="4"/>
    <x v="0"/>
    <n v="100005001"/>
    <x v="0"/>
    <x v="0"/>
    <n v="40000"/>
  </r>
  <r>
    <x v="4"/>
    <x v="0"/>
    <n v="100005002"/>
    <x v="1"/>
    <x v="0"/>
    <n v="24000"/>
  </r>
  <r>
    <x v="4"/>
    <x v="0"/>
    <n v="100005003"/>
    <x v="2"/>
    <x v="0"/>
    <n v="24000"/>
  </r>
  <r>
    <x v="4"/>
    <x v="0"/>
    <n v="100005004"/>
    <x v="3"/>
    <x v="0"/>
    <n v="53677.419354838712"/>
  </r>
  <r>
    <x v="4"/>
    <x v="0"/>
    <n v="100005005"/>
    <x v="4"/>
    <x v="0"/>
    <n v="32000"/>
  </r>
  <r>
    <x v="4"/>
    <x v="0"/>
    <n v="100005006"/>
    <x v="0"/>
    <x v="1"/>
    <n v="40000"/>
  </r>
  <r>
    <x v="4"/>
    <x v="0"/>
    <n v="100005009"/>
    <x v="5"/>
    <x v="1"/>
    <n v="40000"/>
  </r>
  <r>
    <x v="4"/>
    <x v="0"/>
    <n v="100005010"/>
    <x v="5"/>
    <x v="1"/>
    <n v="40000"/>
  </r>
  <r>
    <x v="4"/>
    <x v="0"/>
    <n v="100005011"/>
    <x v="5"/>
    <x v="1"/>
    <n v="40000"/>
  </r>
  <r>
    <x v="4"/>
    <x v="0"/>
    <n v="100005007"/>
    <x v="2"/>
    <x v="1"/>
    <n v="28000"/>
  </r>
  <r>
    <x v="4"/>
    <x v="0"/>
    <n v="100005008"/>
    <x v="4"/>
    <x v="1"/>
    <n v="53677.419354838712"/>
  </r>
  <r>
    <x v="4"/>
    <x v="0"/>
    <n v="100005000"/>
    <x v="6"/>
    <x v="2"/>
    <n v="26838.709677419356"/>
  </r>
  <r>
    <x v="5"/>
    <x v="1"/>
    <n v="100005001"/>
    <x v="0"/>
    <x v="0"/>
    <n v="60000"/>
  </r>
  <r>
    <x v="5"/>
    <x v="1"/>
    <n v="100005002"/>
    <x v="1"/>
    <x v="0"/>
    <n v="36000"/>
  </r>
  <r>
    <x v="5"/>
    <x v="1"/>
    <n v="100005003"/>
    <x v="2"/>
    <x v="0"/>
    <n v="36000"/>
  </r>
  <r>
    <x v="5"/>
    <x v="1"/>
    <n v="100005004"/>
    <x v="3"/>
    <x v="0"/>
    <n v="26322.580645161292"/>
  </r>
  <r>
    <x v="5"/>
    <x v="1"/>
    <n v="100005005"/>
    <x v="4"/>
    <x v="0"/>
    <n v="48000"/>
  </r>
  <r>
    <x v="5"/>
    <x v="1"/>
    <n v="100005006"/>
    <x v="0"/>
    <x v="1"/>
    <n v="60000"/>
  </r>
  <r>
    <x v="5"/>
    <x v="1"/>
    <n v="100005009"/>
    <x v="5"/>
    <x v="1"/>
    <n v="60000"/>
  </r>
  <r>
    <x v="5"/>
    <x v="1"/>
    <n v="100005010"/>
    <x v="5"/>
    <x v="1"/>
    <n v="60000"/>
  </r>
  <r>
    <x v="5"/>
    <x v="1"/>
    <n v="100005011"/>
    <x v="5"/>
    <x v="1"/>
    <n v="60000"/>
  </r>
  <r>
    <x v="5"/>
    <x v="1"/>
    <n v="100005007"/>
    <x v="2"/>
    <x v="1"/>
    <n v="42000"/>
  </r>
  <r>
    <x v="5"/>
    <x v="1"/>
    <n v="100005008"/>
    <x v="4"/>
    <x v="1"/>
    <n v="26322.580645161292"/>
  </r>
  <r>
    <x v="5"/>
    <x v="1"/>
    <n v="100005000"/>
    <x v="6"/>
    <x v="2"/>
    <n v="13161.290322580646"/>
  </r>
  <r>
    <x v="6"/>
    <x v="0"/>
    <n v="100005001"/>
    <x v="0"/>
    <x v="0"/>
    <n v="40000"/>
  </r>
  <r>
    <x v="6"/>
    <x v="0"/>
    <n v="100005002"/>
    <x v="1"/>
    <x v="0"/>
    <n v="24000"/>
  </r>
  <r>
    <x v="6"/>
    <x v="0"/>
    <n v="100005003"/>
    <x v="2"/>
    <x v="0"/>
    <n v="24000"/>
  </r>
  <r>
    <x v="6"/>
    <x v="0"/>
    <n v="100005004"/>
    <x v="3"/>
    <x v="0"/>
    <n v="32000"/>
  </r>
  <r>
    <x v="6"/>
    <x v="0"/>
    <n v="100005005"/>
    <x v="4"/>
    <x v="0"/>
    <n v="32000"/>
  </r>
  <r>
    <x v="6"/>
    <x v="0"/>
    <n v="100005006"/>
    <x v="0"/>
    <x v="1"/>
    <n v="40000"/>
  </r>
  <r>
    <x v="6"/>
    <x v="0"/>
    <n v="100005009"/>
    <x v="5"/>
    <x v="1"/>
    <n v="68000"/>
  </r>
  <r>
    <x v="6"/>
    <x v="0"/>
    <n v="100005010"/>
    <x v="5"/>
    <x v="1"/>
    <n v="40000"/>
  </r>
  <r>
    <x v="6"/>
    <x v="0"/>
    <n v="100005011"/>
    <x v="5"/>
    <x v="1"/>
    <n v="40000"/>
  </r>
  <r>
    <x v="6"/>
    <x v="0"/>
    <n v="100005012"/>
    <x v="5"/>
    <x v="1"/>
    <n v="40000"/>
  </r>
  <r>
    <x v="6"/>
    <x v="0"/>
    <n v="100005007"/>
    <x v="2"/>
    <x v="1"/>
    <n v="47600"/>
  </r>
  <r>
    <x v="6"/>
    <x v="0"/>
    <n v="100005008"/>
    <x v="4"/>
    <x v="1"/>
    <n v="32000"/>
  </r>
  <r>
    <x v="6"/>
    <x v="0"/>
    <n v="100005000"/>
    <x v="6"/>
    <x v="2"/>
    <n v="16000"/>
  </r>
  <r>
    <x v="7"/>
    <x v="1"/>
    <n v="100005001"/>
    <x v="0"/>
    <x v="0"/>
    <n v="60000"/>
  </r>
  <r>
    <x v="7"/>
    <x v="1"/>
    <n v="100005002"/>
    <x v="1"/>
    <x v="0"/>
    <n v="36000"/>
  </r>
  <r>
    <x v="7"/>
    <x v="1"/>
    <n v="100005003"/>
    <x v="2"/>
    <x v="0"/>
    <n v="36000"/>
  </r>
  <r>
    <x v="7"/>
    <x v="1"/>
    <n v="100005004"/>
    <x v="3"/>
    <x v="0"/>
    <n v="48000"/>
  </r>
  <r>
    <x v="7"/>
    <x v="1"/>
    <n v="100005005"/>
    <x v="4"/>
    <x v="0"/>
    <n v="48000"/>
  </r>
  <r>
    <x v="7"/>
    <x v="1"/>
    <n v="100005006"/>
    <x v="0"/>
    <x v="1"/>
    <n v="60000"/>
  </r>
  <r>
    <x v="7"/>
    <x v="1"/>
    <n v="100005009"/>
    <x v="5"/>
    <x v="1"/>
    <n v="32000"/>
  </r>
  <r>
    <x v="7"/>
    <x v="1"/>
    <n v="100005010"/>
    <x v="5"/>
    <x v="1"/>
    <n v="60000"/>
  </r>
  <r>
    <x v="7"/>
    <x v="1"/>
    <n v="100005011"/>
    <x v="5"/>
    <x v="1"/>
    <n v="60000"/>
  </r>
  <r>
    <x v="7"/>
    <x v="1"/>
    <n v="100005012"/>
    <x v="5"/>
    <x v="1"/>
    <n v="60000"/>
  </r>
  <r>
    <x v="7"/>
    <x v="1"/>
    <n v="100005007"/>
    <x v="2"/>
    <x v="1"/>
    <n v="22399.999999999996"/>
  </r>
  <r>
    <x v="7"/>
    <x v="1"/>
    <n v="100005008"/>
    <x v="4"/>
    <x v="1"/>
    <n v="48000"/>
  </r>
  <r>
    <x v="7"/>
    <x v="1"/>
    <n v="100005000"/>
    <x v="6"/>
    <x v="2"/>
    <n v="24000"/>
  </r>
  <r>
    <x v="8"/>
    <x v="0"/>
    <n v="100005001"/>
    <x v="0"/>
    <x v="0"/>
    <n v="40000"/>
  </r>
  <r>
    <x v="8"/>
    <x v="0"/>
    <n v="100005002"/>
    <x v="1"/>
    <x v="0"/>
    <n v="40258.06451612903"/>
  </r>
  <r>
    <x v="8"/>
    <x v="0"/>
    <n v="100005003"/>
    <x v="2"/>
    <x v="0"/>
    <n v="40258.06451612903"/>
  </r>
  <r>
    <x v="8"/>
    <x v="0"/>
    <n v="100005004"/>
    <x v="3"/>
    <x v="0"/>
    <n v="32000"/>
  </r>
  <r>
    <x v="8"/>
    <x v="0"/>
    <n v="100005005"/>
    <x v="4"/>
    <x v="0"/>
    <n v="32000"/>
  </r>
  <r>
    <x v="8"/>
    <x v="0"/>
    <n v="100005006"/>
    <x v="0"/>
    <x v="1"/>
    <n v="40000"/>
  </r>
  <r>
    <x v="8"/>
    <x v="0"/>
    <n v="100005009"/>
    <x v="5"/>
    <x v="1"/>
    <n v="40000"/>
  </r>
  <r>
    <x v="8"/>
    <x v="0"/>
    <n v="100005010"/>
    <x v="5"/>
    <x v="1"/>
    <n v="67096.774193548394"/>
  </r>
  <r>
    <x v="8"/>
    <x v="0"/>
    <n v="100005011"/>
    <x v="5"/>
    <x v="1"/>
    <n v="40000"/>
  </r>
  <r>
    <x v="8"/>
    <x v="0"/>
    <n v="100005012"/>
    <x v="5"/>
    <x v="1"/>
    <n v="40000"/>
  </r>
  <r>
    <x v="8"/>
    <x v="0"/>
    <n v="100005007"/>
    <x v="2"/>
    <x v="1"/>
    <n v="28000"/>
  </r>
  <r>
    <x v="8"/>
    <x v="0"/>
    <n v="100005008"/>
    <x v="4"/>
    <x v="1"/>
    <n v="32000"/>
  </r>
  <r>
    <x v="8"/>
    <x v="0"/>
    <n v="100005000"/>
    <x v="6"/>
    <x v="2"/>
    <n v="16000"/>
  </r>
  <r>
    <x v="9"/>
    <x v="1"/>
    <n v="100005001"/>
    <x v="0"/>
    <x v="0"/>
    <n v="60000"/>
  </r>
  <r>
    <x v="9"/>
    <x v="1"/>
    <n v="100005002"/>
    <x v="1"/>
    <x v="0"/>
    <n v="19741.935483870966"/>
  </r>
  <r>
    <x v="9"/>
    <x v="1"/>
    <n v="100005003"/>
    <x v="2"/>
    <x v="0"/>
    <n v="19741.935483870966"/>
  </r>
  <r>
    <x v="9"/>
    <x v="1"/>
    <n v="100005004"/>
    <x v="3"/>
    <x v="0"/>
    <n v="48000"/>
  </r>
  <r>
    <x v="9"/>
    <x v="1"/>
    <n v="100005005"/>
    <x v="4"/>
    <x v="0"/>
    <n v="48000"/>
  </r>
  <r>
    <x v="9"/>
    <x v="1"/>
    <n v="100005006"/>
    <x v="0"/>
    <x v="1"/>
    <n v="60000"/>
  </r>
  <r>
    <x v="9"/>
    <x v="1"/>
    <n v="100005009"/>
    <x v="5"/>
    <x v="1"/>
    <n v="60000"/>
  </r>
  <r>
    <x v="9"/>
    <x v="1"/>
    <n v="100005010"/>
    <x v="5"/>
    <x v="1"/>
    <n v="32903.225806451614"/>
  </r>
  <r>
    <x v="9"/>
    <x v="1"/>
    <n v="100005011"/>
    <x v="5"/>
    <x v="1"/>
    <n v="60000"/>
  </r>
  <r>
    <x v="9"/>
    <x v="1"/>
    <n v="100005012"/>
    <x v="5"/>
    <x v="1"/>
    <n v="60000"/>
  </r>
  <r>
    <x v="9"/>
    <x v="1"/>
    <n v="100005007"/>
    <x v="2"/>
    <x v="1"/>
    <n v="42000"/>
  </r>
  <r>
    <x v="9"/>
    <x v="1"/>
    <n v="100005008"/>
    <x v="4"/>
    <x v="1"/>
    <n v="48000"/>
  </r>
  <r>
    <x v="9"/>
    <x v="1"/>
    <n v="100005000"/>
    <x v="6"/>
    <x v="2"/>
    <n v="24000"/>
  </r>
  <r>
    <x v="10"/>
    <x v="0"/>
    <n v="100005001"/>
    <x v="0"/>
    <x v="0"/>
    <n v="68000"/>
  </r>
  <r>
    <x v="10"/>
    <x v="0"/>
    <n v="100005002"/>
    <x v="1"/>
    <x v="0"/>
    <n v="24000"/>
  </r>
  <r>
    <x v="10"/>
    <x v="0"/>
    <n v="100005003"/>
    <x v="2"/>
    <x v="0"/>
    <n v="24000"/>
  </r>
  <r>
    <x v="10"/>
    <x v="0"/>
    <n v="100005004"/>
    <x v="3"/>
    <x v="0"/>
    <n v="54400"/>
  </r>
  <r>
    <x v="10"/>
    <x v="0"/>
    <n v="100005005"/>
    <x v="4"/>
    <x v="0"/>
    <n v="32000"/>
  </r>
  <r>
    <x v="10"/>
    <x v="0"/>
    <n v="100005006"/>
    <x v="0"/>
    <x v="1"/>
    <n v="40000"/>
  </r>
  <r>
    <x v="10"/>
    <x v="0"/>
    <n v="100005009"/>
    <x v="5"/>
    <x v="1"/>
    <n v="40000"/>
  </r>
  <r>
    <x v="10"/>
    <x v="0"/>
    <n v="100005010"/>
    <x v="5"/>
    <x v="1"/>
    <n v="40000"/>
  </r>
  <r>
    <x v="10"/>
    <x v="0"/>
    <n v="100005011"/>
    <x v="5"/>
    <x v="1"/>
    <n v="68000"/>
  </r>
  <r>
    <x v="10"/>
    <x v="0"/>
    <n v="100005012"/>
    <x v="5"/>
    <x v="1"/>
    <n v="40000"/>
  </r>
  <r>
    <x v="10"/>
    <x v="0"/>
    <n v="100005013"/>
    <x v="5"/>
    <x v="1"/>
    <n v="40000"/>
  </r>
  <r>
    <x v="10"/>
    <x v="0"/>
    <n v="100005007"/>
    <x v="2"/>
    <x v="1"/>
    <n v="28000"/>
  </r>
  <r>
    <x v="10"/>
    <x v="0"/>
    <n v="100005008"/>
    <x v="4"/>
    <x v="1"/>
    <n v="32000"/>
  </r>
  <r>
    <x v="10"/>
    <x v="0"/>
    <n v="100005000"/>
    <x v="6"/>
    <x v="2"/>
    <n v="16000"/>
  </r>
  <r>
    <x v="11"/>
    <x v="1"/>
    <n v="100005001"/>
    <x v="0"/>
    <x v="0"/>
    <n v="32000"/>
  </r>
  <r>
    <x v="11"/>
    <x v="1"/>
    <n v="100005002"/>
    <x v="1"/>
    <x v="0"/>
    <n v="36000"/>
  </r>
  <r>
    <x v="11"/>
    <x v="1"/>
    <n v="100005003"/>
    <x v="2"/>
    <x v="0"/>
    <n v="36000"/>
  </r>
  <r>
    <x v="11"/>
    <x v="1"/>
    <n v="100005004"/>
    <x v="3"/>
    <x v="0"/>
    <n v="25599.999999999996"/>
  </r>
  <r>
    <x v="11"/>
    <x v="1"/>
    <n v="100005005"/>
    <x v="4"/>
    <x v="0"/>
    <n v="48000"/>
  </r>
  <r>
    <x v="11"/>
    <x v="1"/>
    <n v="100005006"/>
    <x v="0"/>
    <x v="1"/>
    <n v="60000"/>
  </r>
  <r>
    <x v="11"/>
    <x v="1"/>
    <n v="100005009"/>
    <x v="5"/>
    <x v="1"/>
    <n v="60000"/>
  </r>
  <r>
    <x v="11"/>
    <x v="1"/>
    <n v="100005010"/>
    <x v="5"/>
    <x v="1"/>
    <n v="60000"/>
  </r>
  <r>
    <x v="11"/>
    <x v="1"/>
    <n v="100005011"/>
    <x v="5"/>
    <x v="1"/>
    <n v="32000"/>
  </r>
  <r>
    <x v="11"/>
    <x v="1"/>
    <n v="100005012"/>
    <x v="5"/>
    <x v="1"/>
    <n v="60000"/>
  </r>
  <r>
    <x v="11"/>
    <x v="1"/>
    <n v="100005013"/>
    <x v="5"/>
    <x v="1"/>
    <n v="60000"/>
  </r>
  <r>
    <x v="11"/>
    <x v="1"/>
    <n v="100005007"/>
    <x v="2"/>
    <x v="1"/>
    <n v="42000"/>
  </r>
  <r>
    <x v="11"/>
    <x v="1"/>
    <n v="100005008"/>
    <x v="4"/>
    <x v="1"/>
    <n v="48000"/>
  </r>
  <r>
    <x v="11"/>
    <x v="1"/>
    <n v="100005000"/>
    <x v="6"/>
    <x v="2"/>
    <n v="24000"/>
  </r>
  <r>
    <x v="12"/>
    <x v="0"/>
    <n v="100005001"/>
    <x v="0"/>
    <x v="0"/>
    <n v="40000"/>
  </r>
  <r>
    <x v="12"/>
    <x v="0"/>
    <n v="100005002"/>
    <x v="1"/>
    <x v="0"/>
    <n v="24000"/>
  </r>
  <r>
    <x v="12"/>
    <x v="0"/>
    <n v="100005003"/>
    <x v="2"/>
    <x v="0"/>
    <n v="24000"/>
  </r>
  <r>
    <x v="12"/>
    <x v="0"/>
    <n v="100005004"/>
    <x v="3"/>
    <x v="0"/>
    <n v="32000"/>
  </r>
  <r>
    <x v="12"/>
    <x v="0"/>
    <n v="100005005"/>
    <x v="4"/>
    <x v="0"/>
    <n v="53677.419354838712"/>
  </r>
  <r>
    <x v="12"/>
    <x v="0"/>
    <n v="100005006"/>
    <x v="0"/>
    <x v="1"/>
    <n v="40000"/>
  </r>
  <r>
    <x v="12"/>
    <x v="0"/>
    <n v="100005009"/>
    <x v="5"/>
    <x v="1"/>
    <n v="40000"/>
  </r>
  <r>
    <x v="12"/>
    <x v="0"/>
    <n v="100005010"/>
    <x v="5"/>
    <x v="1"/>
    <n v="40000"/>
  </r>
  <r>
    <x v="12"/>
    <x v="0"/>
    <n v="100005011"/>
    <x v="5"/>
    <x v="1"/>
    <n v="40000"/>
  </r>
  <r>
    <x v="12"/>
    <x v="0"/>
    <n v="100005012"/>
    <x v="5"/>
    <x v="1"/>
    <n v="40000"/>
  </r>
  <r>
    <x v="12"/>
    <x v="0"/>
    <n v="100005013"/>
    <x v="5"/>
    <x v="1"/>
    <n v="67096.774193548394"/>
  </r>
  <r>
    <x v="12"/>
    <x v="0"/>
    <n v="100005014"/>
    <x v="5"/>
    <x v="1"/>
    <n v="40000"/>
  </r>
  <r>
    <x v="12"/>
    <x v="0"/>
    <n v="100005007"/>
    <x v="2"/>
    <x v="1"/>
    <n v="46967.741935483871"/>
  </r>
  <r>
    <x v="12"/>
    <x v="0"/>
    <n v="100005008"/>
    <x v="4"/>
    <x v="1"/>
    <n v="32000"/>
  </r>
  <r>
    <x v="12"/>
    <x v="0"/>
    <n v="100005000"/>
    <x v="6"/>
    <x v="2"/>
    <n v="16000"/>
  </r>
  <r>
    <x v="13"/>
    <x v="1"/>
    <n v="100005001"/>
    <x v="0"/>
    <x v="0"/>
    <n v="60000"/>
  </r>
  <r>
    <x v="13"/>
    <x v="1"/>
    <n v="100005002"/>
    <x v="1"/>
    <x v="0"/>
    <n v="36000"/>
  </r>
  <r>
    <x v="13"/>
    <x v="1"/>
    <n v="100005003"/>
    <x v="2"/>
    <x v="0"/>
    <n v="36000"/>
  </r>
  <r>
    <x v="13"/>
    <x v="1"/>
    <n v="100005004"/>
    <x v="3"/>
    <x v="0"/>
    <n v="48000"/>
  </r>
  <r>
    <x v="13"/>
    <x v="1"/>
    <n v="100005005"/>
    <x v="4"/>
    <x v="0"/>
    <n v="26322.580645161292"/>
  </r>
  <r>
    <x v="13"/>
    <x v="1"/>
    <n v="100005006"/>
    <x v="0"/>
    <x v="1"/>
    <n v="60000"/>
  </r>
  <r>
    <x v="13"/>
    <x v="1"/>
    <n v="100005009"/>
    <x v="5"/>
    <x v="1"/>
    <n v="60000"/>
  </r>
  <r>
    <x v="13"/>
    <x v="1"/>
    <n v="100005010"/>
    <x v="5"/>
    <x v="1"/>
    <n v="60000"/>
  </r>
  <r>
    <x v="13"/>
    <x v="1"/>
    <n v="100005011"/>
    <x v="5"/>
    <x v="1"/>
    <n v="60000"/>
  </r>
  <r>
    <x v="13"/>
    <x v="1"/>
    <n v="100005012"/>
    <x v="5"/>
    <x v="1"/>
    <n v="60000"/>
  </r>
  <r>
    <x v="13"/>
    <x v="1"/>
    <n v="100005013"/>
    <x v="5"/>
    <x v="1"/>
    <n v="32903.225806451614"/>
  </r>
  <r>
    <x v="13"/>
    <x v="1"/>
    <n v="100005014"/>
    <x v="5"/>
    <x v="1"/>
    <n v="60000"/>
  </r>
  <r>
    <x v="13"/>
    <x v="1"/>
    <n v="100005007"/>
    <x v="2"/>
    <x v="1"/>
    <n v="23032.258064516125"/>
  </r>
  <r>
    <x v="13"/>
    <x v="1"/>
    <n v="100005008"/>
    <x v="4"/>
    <x v="1"/>
    <n v="48000"/>
  </r>
  <r>
    <x v="13"/>
    <x v="1"/>
    <n v="100005000"/>
    <x v="6"/>
    <x v="2"/>
    <n v="24000"/>
  </r>
  <r>
    <x v="14"/>
    <x v="0"/>
    <n v="100005001"/>
    <x v="0"/>
    <x v="0"/>
    <n v="40000"/>
  </r>
  <r>
    <x v="14"/>
    <x v="0"/>
    <n v="100005002"/>
    <x v="1"/>
    <x v="0"/>
    <n v="24000"/>
  </r>
  <r>
    <x v="14"/>
    <x v="0"/>
    <n v="100005003"/>
    <x v="2"/>
    <x v="0"/>
    <n v="40258.06451612903"/>
  </r>
  <r>
    <x v="14"/>
    <x v="0"/>
    <n v="100005004"/>
    <x v="3"/>
    <x v="0"/>
    <n v="32000"/>
  </r>
  <r>
    <x v="14"/>
    <x v="0"/>
    <n v="100005005"/>
    <x v="4"/>
    <x v="0"/>
    <n v="32000"/>
  </r>
  <r>
    <x v="14"/>
    <x v="0"/>
    <n v="100005006"/>
    <x v="0"/>
    <x v="1"/>
    <n v="67096.774193548394"/>
  </r>
  <r>
    <x v="14"/>
    <x v="0"/>
    <n v="100005009"/>
    <x v="5"/>
    <x v="1"/>
    <n v="67096.774193548394"/>
  </r>
  <r>
    <x v="14"/>
    <x v="0"/>
    <n v="100005010"/>
    <x v="5"/>
    <x v="1"/>
    <n v="40000"/>
  </r>
  <r>
    <x v="14"/>
    <x v="0"/>
    <n v="100005011"/>
    <x v="5"/>
    <x v="1"/>
    <n v="40000"/>
  </r>
  <r>
    <x v="14"/>
    <x v="0"/>
    <n v="100005012"/>
    <x v="5"/>
    <x v="1"/>
    <n v="67096.774193548394"/>
  </r>
  <r>
    <x v="14"/>
    <x v="0"/>
    <n v="100005013"/>
    <x v="5"/>
    <x v="1"/>
    <n v="40000"/>
  </r>
  <r>
    <x v="14"/>
    <x v="0"/>
    <n v="100005014"/>
    <x v="5"/>
    <x v="1"/>
    <n v="40000"/>
  </r>
  <r>
    <x v="14"/>
    <x v="0"/>
    <n v="100005015"/>
    <x v="5"/>
    <x v="1"/>
    <n v="40000"/>
  </r>
  <r>
    <x v="14"/>
    <x v="0"/>
    <n v="100005007"/>
    <x v="2"/>
    <x v="1"/>
    <n v="28000"/>
  </r>
  <r>
    <x v="14"/>
    <x v="0"/>
    <n v="100005008"/>
    <x v="4"/>
    <x v="1"/>
    <n v="53677.419354838712"/>
  </r>
  <r>
    <x v="14"/>
    <x v="0"/>
    <n v="100005000"/>
    <x v="6"/>
    <x v="2"/>
    <n v="26838.709677419356"/>
  </r>
  <r>
    <x v="15"/>
    <x v="1"/>
    <n v="100005001"/>
    <x v="0"/>
    <x v="0"/>
    <n v="60000"/>
  </r>
  <r>
    <x v="15"/>
    <x v="1"/>
    <n v="100005002"/>
    <x v="1"/>
    <x v="0"/>
    <n v="36000"/>
  </r>
  <r>
    <x v="15"/>
    <x v="1"/>
    <n v="100005003"/>
    <x v="2"/>
    <x v="0"/>
    <n v="19741.935483870966"/>
  </r>
  <r>
    <x v="15"/>
    <x v="1"/>
    <n v="100005004"/>
    <x v="3"/>
    <x v="0"/>
    <n v="48000"/>
  </r>
  <r>
    <x v="15"/>
    <x v="1"/>
    <n v="100005005"/>
    <x v="4"/>
    <x v="0"/>
    <n v="48000"/>
  </r>
  <r>
    <x v="15"/>
    <x v="1"/>
    <n v="100005006"/>
    <x v="0"/>
    <x v="1"/>
    <n v="32903.225806451614"/>
  </r>
  <r>
    <x v="15"/>
    <x v="1"/>
    <n v="100005009"/>
    <x v="5"/>
    <x v="1"/>
    <n v="32903.225806451614"/>
  </r>
  <r>
    <x v="15"/>
    <x v="1"/>
    <n v="100005010"/>
    <x v="5"/>
    <x v="1"/>
    <n v="60000"/>
  </r>
  <r>
    <x v="15"/>
    <x v="1"/>
    <n v="100005011"/>
    <x v="5"/>
    <x v="1"/>
    <n v="60000"/>
  </r>
  <r>
    <x v="15"/>
    <x v="1"/>
    <n v="100005012"/>
    <x v="5"/>
    <x v="1"/>
    <n v="32903.225806451614"/>
  </r>
  <r>
    <x v="15"/>
    <x v="1"/>
    <n v="100005013"/>
    <x v="5"/>
    <x v="1"/>
    <n v="60000"/>
  </r>
  <r>
    <x v="15"/>
    <x v="1"/>
    <n v="100005014"/>
    <x v="5"/>
    <x v="1"/>
    <n v="60000"/>
  </r>
  <r>
    <x v="15"/>
    <x v="1"/>
    <n v="100005015"/>
    <x v="5"/>
    <x v="1"/>
    <n v="60000"/>
  </r>
  <r>
    <x v="15"/>
    <x v="1"/>
    <n v="100005007"/>
    <x v="2"/>
    <x v="1"/>
    <n v="42000"/>
  </r>
  <r>
    <x v="15"/>
    <x v="1"/>
    <n v="100005008"/>
    <x v="4"/>
    <x v="1"/>
    <n v="26322.580645161292"/>
  </r>
  <r>
    <x v="15"/>
    <x v="1"/>
    <n v="100005000"/>
    <x v="6"/>
    <x v="2"/>
    <n v="13161.290322580646"/>
  </r>
  <r>
    <x v="16"/>
    <x v="0"/>
    <n v="100005001"/>
    <x v="0"/>
    <x v="0"/>
    <n v="68000"/>
  </r>
  <r>
    <x v="16"/>
    <x v="0"/>
    <n v="100005002"/>
    <x v="1"/>
    <x v="0"/>
    <n v="24000"/>
  </r>
  <r>
    <x v="16"/>
    <x v="0"/>
    <n v="100005003"/>
    <x v="2"/>
    <x v="0"/>
    <n v="24000"/>
  </r>
  <r>
    <x v="16"/>
    <x v="0"/>
    <n v="100005004"/>
    <x v="3"/>
    <x v="0"/>
    <n v="32000"/>
  </r>
  <r>
    <x v="16"/>
    <x v="0"/>
    <n v="100005005"/>
    <x v="4"/>
    <x v="0"/>
    <n v="54400"/>
  </r>
  <r>
    <x v="16"/>
    <x v="0"/>
    <n v="100005006"/>
    <x v="0"/>
    <x v="1"/>
    <n v="40000"/>
  </r>
  <r>
    <x v="16"/>
    <x v="0"/>
    <n v="100005009"/>
    <x v="5"/>
    <x v="1"/>
    <n v="40000"/>
  </r>
  <r>
    <x v="16"/>
    <x v="0"/>
    <n v="100005010"/>
    <x v="5"/>
    <x v="1"/>
    <n v="40000"/>
  </r>
  <r>
    <x v="16"/>
    <x v="0"/>
    <n v="100005011"/>
    <x v="5"/>
    <x v="1"/>
    <n v="40000"/>
  </r>
  <r>
    <x v="16"/>
    <x v="0"/>
    <n v="100005012"/>
    <x v="5"/>
    <x v="1"/>
    <n v="40000"/>
  </r>
  <r>
    <x v="16"/>
    <x v="0"/>
    <n v="100005013"/>
    <x v="5"/>
    <x v="1"/>
    <n v="40000"/>
  </r>
  <r>
    <x v="16"/>
    <x v="0"/>
    <n v="100005014"/>
    <x v="5"/>
    <x v="1"/>
    <n v="40000"/>
  </r>
  <r>
    <x v="16"/>
    <x v="0"/>
    <n v="100005015"/>
    <x v="5"/>
    <x v="1"/>
    <n v="68000"/>
  </r>
  <r>
    <x v="16"/>
    <x v="0"/>
    <n v="100005016"/>
    <x v="5"/>
    <x v="1"/>
    <n v="40000"/>
  </r>
  <r>
    <x v="16"/>
    <x v="0"/>
    <n v="100005007"/>
    <x v="2"/>
    <x v="1"/>
    <n v="28000"/>
  </r>
  <r>
    <x v="16"/>
    <x v="0"/>
    <n v="100005008"/>
    <x v="4"/>
    <x v="1"/>
    <n v="32000"/>
  </r>
  <r>
    <x v="16"/>
    <x v="0"/>
    <n v="100005000"/>
    <x v="6"/>
    <x v="2"/>
    <n v="16000"/>
  </r>
  <r>
    <x v="17"/>
    <x v="1"/>
    <n v="100005001"/>
    <x v="0"/>
    <x v="0"/>
    <n v="32000"/>
  </r>
  <r>
    <x v="17"/>
    <x v="1"/>
    <n v="100005002"/>
    <x v="1"/>
    <x v="0"/>
    <n v="36000"/>
  </r>
  <r>
    <x v="17"/>
    <x v="1"/>
    <n v="100005003"/>
    <x v="2"/>
    <x v="0"/>
    <n v="36000"/>
  </r>
  <r>
    <x v="17"/>
    <x v="1"/>
    <n v="100005004"/>
    <x v="3"/>
    <x v="0"/>
    <n v="48000"/>
  </r>
  <r>
    <x v="17"/>
    <x v="1"/>
    <n v="100005005"/>
    <x v="4"/>
    <x v="0"/>
    <n v="25599.999999999996"/>
  </r>
  <r>
    <x v="17"/>
    <x v="1"/>
    <n v="100005006"/>
    <x v="0"/>
    <x v="1"/>
    <n v="60000"/>
  </r>
  <r>
    <x v="17"/>
    <x v="1"/>
    <n v="100005009"/>
    <x v="5"/>
    <x v="1"/>
    <n v="60000"/>
  </r>
  <r>
    <x v="17"/>
    <x v="1"/>
    <n v="100005010"/>
    <x v="5"/>
    <x v="1"/>
    <n v="60000"/>
  </r>
  <r>
    <x v="17"/>
    <x v="1"/>
    <n v="100005011"/>
    <x v="5"/>
    <x v="1"/>
    <n v="60000"/>
  </r>
  <r>
    <x v="17"/>
    <x v="1"/>
    <n v="100005012"/>
    <x v="5"/>
    <x v="1"/>
    <n v="60000"/>
  </r>
  <r>
    <x v="17"/>
    <x v="1"/>
    <n v="100005013"/>
    <x v="5"/>
    <x v="1"/>
    <n v="60000"/>
  </r>
  <r>
    <x v="17"/>
    <x v="1"/>
    <n v="100005014"/>
    <x v="5"/>
    <x v="1"/>
    <n v="60000"/>
  </r>
  <r>
    <x v="17"/>
    <x v="1"/>
    <n v="100005015"/>
    <x v="5"/>
    <x v="1"/>
    <n v="32000"/>
  </r>
  <r>
    <x v="17"/>
    <x v="1"/>
    <n v="100005016"/>
    <x v="5"/>
    <x v="1"/>
    <n v="60000"/>
  </r>
  <r>
    <x v="17"/>
    <x v="1"/>
    <n v="100005007"/>
    <x v="2"/>
    <x v="1"/>
    <n v="42000"/>
  </r>
  <r>
    <x v="17"/>
    <x v="1"/>
    <n v="100005008"/>
    <x v="4"/>
    <x v="1"/>
    <n v="48000"/>
  </r>
  <r>
    <x v="17"/>
    <x v="1"/>
    <n v="100005000"/>
    <x v="6"/>
    <x v="2"/>
    <n v="24000"/>
  </r>
  <r>
    <x v="18"/>
    <x v="0"/>
    <n v="100005001"/>
    <x v="0"/>
    <x v="0"/>
    <n v="40000"/>
  </r>
  <r>
    <x v="18"/>
    <x v="0"/>
    <n v="100005002"/>
    <x v="1"/>
    <x v="0"/>
    <n v="24000"/>
  </r>
  <r>
    <x v="18"/>
    <x v="0"/>
    <n v="100005003"/>
    <x v="2"/>
    <x v="0"/>
    <n v="24000"/>
  </r>
  <r>
    <x v="18"/>
    <x v="0"/>
    <n v="100005004"/>
    <x v="3"/>
    <x v="0"/>
    <n v="32000"/>
  </r>
  <r>
    <x v="18"/>
    <x v="0"/>
    <n v="100005005"/>
    <x v="4"/>
    <x v="0"/>
    <n v="32000"/>
  </r>
  <r>
    <x v="18"/>
    <x v="0"/>
    <n v="100005006"/>
    <x v="0"/>
    <x v="1"/>
    <n v="67096.774193548394"/>
  </r>
  <r>
    <x v="18"/>
    <x v="0"/>
    <n v="100005009"/>
    <x v="5"/>
    <x v="1"/>
    <n v="40000"/>
  </r>
  <r>
    <x v="18"/>
    <x v="0"/>
    <n v="100005010"/>
    <x v="5"/>
    <x v="1"/>
    <n v="67096.774193548394"/>
  </r>
  <r>
    <x v="18"/>
    <x v="0"/>
    <n v="100005011"/>
    <x v="5"/>
    <x v="1"/>
    <n v="40000"/>
  </r>
  <r>
    <x v="18"/>
    <x v="0"/>
    <n v="100005012"/>
    <x v="5"/>
    <x v="1"/>
    <n v="40000"/>
  </r>
  <r>
    <x v="18"/>
    <x v="0"/>
    <n v="100005013"/>
    <x v="5"/>
    <x v="1"/>
    <n v="67096.774193548394"/>
  </r>
  <r>
    <x v="18"/>
    <x v="0"/>
    <n v="100005014"/>
    <x v="5"/>
    <x v="1"/>
    <n v="67096.774193548394"/>
  </r>
  <r>
    <x v="18"/>
    <x v="0"/>
    <n v="100005015"/>
    <x v="5"/>
    <x v="1"/>
    <n v="40000"/>
  </r>
  <r>
    <x v="18"/>
    <x v="0"/>
    <n v="100005016"/>
    <x v="5"/>
    <x v="1"/>
    <n v="40000"/>
  </r>
  <r>
    <x v="18"/>
    <x v="0"/>
    <n v="100005017"/>
    <x v="5"/>
    <x v="1"/>
    <n v="40000"/>
  </r>
  <r>
    <x v="18"/>
    <x v="0"/>
    <n v="100005007"/>
    <x v="2"/>
    <x v="1"/>
    <n v="28000"/>
  </r>
  <r>
    <x v="18"/>
    <x v="0"/>
    <n v="100005008"/>
    <x v="4"/>
    <x v="1"/>
    <n v="32000"/>
  </r>
  <r>
    <x v="18"/>
    <x v="0"/>
    <n v="100005000"/>
    <x v="6"/>
    <x v="2"/>
    <n v="16000"/>
  </r>
  <r>
    <x v="19"/>
    <x v="1"/>
    <n v="100005001"/>
    <x v="0"/>
    <x v="0"/>
    <n v="60000"/>
  </r>
  <r>
    <x v="19"/>
    <x v="1"/>
    <n v="100005002"/>
    <x v="1"/>
    <x v="0"/>
    <n v="36000"/>
  </r>
  <r>
    <x v="19"/>
    <x v="1"/>
    <n v="100005003"/>
    <x v="2"/>
    <x v="0"/>
    <n v="36000"/>
  </r>
  <r>
    <x v="19"/>
    <x v="1"/>
    <n v="100005004"/>
    <x v="3"/>
    <x v="0"/>
    <n v="48000"/>
  </r>
  <r>
    <x v="19"/>
    <x v="1"/>
    <n v="100005005"/>
    <x v="4"/>
    <x v="0"/>
    <n v="48000"/>
  </r>
  <r>
    <x v="19"/>
    <x v="1"/>
    <n v="100005006"/>
    <x v="0"/>
    <x v="1"/>
    <n v="32903.225806451614"/>
  </r>
  <r>
    <x v="19"/>
    <x v="1"/>
    <n v="100005009"/>
    <x v="5"/>
    <x v="1"/>
    <n v="60000"/>
  </r>
  <r>
    <x v="19"/>
    <x v="1"/>
    <n v="100005010"/>
    <x v="5"/>
    <x v="1"/>
    <n v="32903.225806451614"/>
  </r>
  <r>
    <x v="19"/>
    <x v="1"/>
    <n v="100005011"/>
    <x v="5"/>
    <x v="1"/>
    <n v="60000"/>
  </r>
  <r>
    <x v="19"/>
    <x v="1"/>
    <n v="100005012"/>
    <x v="5"/>
    <x v="1"/>
    <n v="60000"/>
  </r>
  <r>
    <x v="19"/>
    <x v="1"/>
    <n v="100005013"/>
    <x v="5"/>
    <x v="1"/>
    <n v="32903.225806451614"/>
  </r>
  <r>
    <x v="19"/>
    <x v="1"/>
    <n v="100005014"/>
    <x v="5"/>
    <x v="1"/>
    <n v="32903.225806451614"/>
  </r>
  <r>
    <x v="19"/>
    <x v="1"/>
    <n v="100005015"/>
    <x v="5"/>
    <x v="1"/>
    <n v="60000"/>
  </r>
  <r>
    <x v="19"/>
    <x v="1"/>
    <n v="100005016"/>
    <x v="5"/>
    <x v="1"/>
    <n v="60000"/>
  </r>
  <r>
    <x v="19"/>
    <x v="1"/>
    <n v="100005017"/>
    <x v="5"/>
    <x v="1"/>
    <n v="60000"/>
  </r>
  <r>
    <x v="19"/>
    <x v="1"/>
    <n v="100005007"/>
    <x v="2"/>
    <x v="1"/>
    <n v="42000"/>
  </r>
  <r>
    <x v="19"/>
    <x v="1"/>
    <n v="100005008"/>
    <x v="4"/>
    <x v="1"/>
    <n v="48000"/>
  </r>
  <r>
    <x v="19"/>
    <x v="1"/>
    <n v="100005000"/>
    <x v="6"/>
    <x v="2"/>
    <n v="24000"/>
  </r>
  <r>
    <x v="20"/>
    <x v="0"/>
    <n v="100005001"/>
    <x v="0"/>
    <x v="0"/>
    <n v="40000"/>
  </r>
  <r>
    <x v="20"/>
    <x v="0"/>
    <n v="100005002"/>
    <x v="1"/>
    <x v="0"/>
    <n v="24000"/>
  </r>
  <r>
    <x v="20"/>
    <x v="0"/>
    <n v="100005003"/>
    <x v="2"/>
    <x v="0"/>
    <n v="24000"/>
  </r>
  <r>
    <x v="20"/>
    <x v="0"/>
    <n v="100005004"/>
    <x v="3"/>
    <x v="0"/>
    <n v="32000"/>
  </r>
  <r>
    <x v="20"/>
    <x v="0"/>
    <n v="100005005"/>
    <x v="4"/>
    <x v="0"/>
    <n v="32000"/>
  </r>
  <r>
    <x v="20"/>
    <x v="0"/>
    <n v="100005006"/>
    <x v="0"/>
    <x v="1"/>
    <n v="40000"/>
  </r>
  <r>
    <x v="20"/>
    <x v="0"/>
    <n v="100005009"/>
    <x v="5"/>
    <x v="1"/>
    <n v="40000"/>
  </r>
  <r>
    <x v="20"/>
    <x v="0"/>
    <n v="100005010"/>
    <x v="5"/>
    <x v="1"/>
    <n v="40000"/>
  </r>
  <r>
    <x v="20"/>
    <x v="0"/>
    <n v="100005011"/>
    <x v="5"/>
    <x v="1"/>
    <n v="40000"/>
  </r>
  <r>
    <x v="20"/>
    <x v="0"/>
    <n v="100005012"/>
    <x v="5"/>
    <x v="1"/>
    <n v="68000"/>
  </r>
  <r>
    <x v="20"/>
    <x v="0"/>
    <n v="100005013"/>
    <x v="5"/>
    <x v="1"/>
    <n v="40000"/>
  </r>
  <r>
    <x v="20"/>
    <x v="0"/>
    <n v="100005014"/>
    <x v="5"/>
    <x v="1"/>
    <n v="40000"/>
  </r>
  <r>
    <x v="20"/>
    <x v="0"/>
    <n v="100005015"/>
    <x v="5"/>
    <x v="1"/>
    <n v="68000"/>
  </r>
  <r>
    <x v="20"/>
    <x v="0"/>
    <n v="100005016"/>
    <x v="5"/>
    <x v="1"/>
    <n v="68000"/>
  </r>
  <r>
    <x v="20"/>
    <x v="0"/>
    <n v="100005017"/>
    <x v="5"/>
    <x v="1"/>
    <n v="40000"/>
  </r>
  <r>
    <x v="20"/>
    <x v="0"/>
    <n v="100005007"/>
    <x v="2"/>
    <x v="1"/>
    <n v="28000"/>
  </r>
  <r>
    <x v="20"/>
    <x v="0"/>
    <n v="100005008"/>
    <x v="4"/>
    <x v="1"/>
    <n v="32000"/>
  </r>
  <r>
    <x v="20"/>
    <x v="0"/>
    <n v="100005000"/>
    <x v="6"/>
    <x v="2"/>
    <n v="16000"/>
  </r>
  <r>
    <x v="21"/>
    <x v="1"/>
    <n v="100005001"/>
    <x v="0"/>
    <x v="0"/>
    <n v="60000"/>
  </r>
  <r>
    <x v="21"/>
    <x v="1"/>
    <n v="100005002"/>
    <x v="1"/>
    <x v="0"/>
    <n v="36000"/>
  </r>
  <r>
    <x v="21"/>
    <x v="1"/>
    <n v="100005003"/>
    <x v="2"/>
    <x v="0"/>
    <n v="36000"/>
  </r>
  <r>
    <x v="21"/>
    <x v="1"/>
    <n v="100005004"/>
    <x v="3"/>
    <x v="0"/>
    <n v="48000"/>
  </r>
  <r>
    <x v="21"/>
    <x v="1"/>
    <n v="100005005"/>
    <x v="4"/>
    <x v="0"/>
    <n v="48000"/>
  </r>
  <r>
    <x v="21"/>
    <x v="1"/>
    <n v="100005006"/>
    <x v="0"/>
    <x v="1"/>
    <n v="60000"/>
  </r>
  <r>
    <x v="21"/>
    <x v="1"/>
    <n v="100005009"/>
    <x v="5"/>
    <x v="1"/>
    <n v="60000"/>
  </r>
  <r>
    <x v="21"/>
    <x v="1"/>
    <n v="100005010"/>
    <x v="5"/>
    <x v="1"/>
    <n v="60000"/>
  </r>
  <r>
    <x v="21"/>
    <x v="1"/>
    <n v="100005011"/>
    <x v="5"/>
    <x v="1"/>
    <n v="60000"/>
  </r>
  <r>
    <x v="21"/>
    <x v="1"/>
    <n v="100005012"/>
    <x v="5"/>
    <x v="1"/>
    <n v="32000"/>
  </r>
  <r>
    <x v="21"/>
    <x v="1"/>
    <n v="100005013"/>
    <x v="5"/>
    <x v="1"/>
    <n v="60000"/>
  </r>
  <r>
    <x v="21"/>
    <x v="1"/>
    <n v="100005014"/>
    <x v="5"/>
    <x v="1"/>
    <n v="60000"/>
  </r>
  <r>
    <x v="21"/>
    <x v="1"/>
    <n v="100005015"/>
    <x v="5"/>
    <x v="1"/>
    <n v="32000"/>
  </r>
  <r>
    <x v="21"/>
    <x v="1"/>
    <n v="100005016"/>
    <x v="5"/>
    <x v="1"/>
    <n v="32000"/>
  </r>
  <r>
    <x v="21"/>
    <x v="1"/>
    <n v="100005017"/>
    <x v="5"/>
    <x v="1"/>
    <n v="60000"/>
  </r>
  <r>
    <x v="21"/>
    <x v="1"/>
    <n v="100005007"/>
    <x v="2"/>
    <x v="1"/>
    <n v="42000"/>
  </r>
  <r>
    <x v="21"/>
    <x v="1"/>
    <n v="100005008"/>
    <x v="4"/>
    <x v="1"/>
    <n v="48000"/>
  </r>
  <r>
    <x v="21"/>
    <x v="1"/>
    <n v="100005000"/>
    <x v="6"/>
    <x v="2"/>
    <n v="24000"/>
  </r>
  <r>
    <x v="22"/>
    <x v="0"/>
    <n v="100005001"/>
    <x v="0"/>
    <x v="0"/>
    <n v="40000"/>
  </r>
  <r>
    <x v="22"/>
    <x v="0"/>
    <n v="100005002"/>
    <x v="1"/>
    <x v="0"/>
    <n v="40258.06451612903"/>
  </r>
  <r>
    <x v="22"/>
    <x v="0"/>
    <n v="100005003"/>
    <x v="2"/>
    <x v="0"/>
    <n v="24000"/>
  </r>
  <r>
    <x v="22"/>
    <x v="0"/>
    <n v="100005004"/>
    <x v="3"/>
    <x v="0"/>
    <n v="32000"/>
  </r>
  <r>
    <x v="22"/>
    <x v="0"/>
    <n v="100005005"/>
    <x v="4"/>
    <x v="0"/>
    <n v="32000"/>
  </r>
  <r>
    <x v="22"/>
    <x v="0"/>
    <n v="100005006"/>
    <x v="0"/>
    <x v="1"/>
    <n v="40000"/>
  </r>
  <r>
    <x v="22"/>
    <x v="0"/>
    <n v="100005009"/>
    <x v="5"/>
    <x v="1"/>
    <n v="40000"/>
  </r>
  <r>
    <x v="22"/>
    <x v="0"/>
    <n v="100005010"/>
    <x v="5"/>
    <x v="1"/>
    <n v="40000"/>
  </r>
  <r>
    <x v="22"/>
    <x v="0"/>
    <n v="100005011"/>
    <x v="5"/>
    <x v="1"/>
    <n v="67096.774193548394"/>
  </r>
  <r>
    <x v="22"/>
    <x v="0"/>
    <n v="100005012"/>
    <x v="5"/>
    <x v="1"/>
    <n v="40000"/>
  </r>
  <r>
    <x v="22"/>
    <x v="0"/>
    <n v="100005013"/>
    <x v="5"/>
    <x v="1"/>
    <n v="40000"/>
  </r>
  <r>
    <x v="22"/>
    <x v="0"/>
    <n v="100005014"/>
    <x v="5"/>
    <x v="1"/>
    <n v="67096.774193548394"/>
  </r>
  <r>
    <x v="22"/>
    <x v="0"/>
    <n v="100005015"/>
    <x v="5"/>
    <x v="1"/>
    <n v="40000"/>
  </r>
  <r>
    <x v="22"/>
    <x v="0"/>
    <n v="100005016"/>
    <x v="5"/>
    <x v="1"/>
    <n v="40000"/>
  </r>
  <r>
    <x v="22"/>
    <x v="0"/>
    <n v="100005017"/>
    <x v="5"/>
    <x v="1"/>
    <n v="67096.774193548394"/>
  </r>
  <r>
    <x v="22"/>
    <x v="0"/>
    <n v="100005018"/>
    <x v="5"/>
    <x v="1"/>
    <n v="40000"/>
  </r>
  <r>
    <x v="22"/>
    <x v="0"/>
    <n v="100005007"/>
    <x v="2"/>
    <x v="1"/>
    <n v="28000"/>
  </r>
  <r>
    <x v="22"/>
    <x v="0"/>
    <n v="100005008"/>
    <x v="4"/>
    <x v="1"/>
    <n v="32000"/>
  </r>
  <r>
    <x v="22"/>
    <x v="0"/>
    <n v="100005000"/>
    <x v="6"/>
    <x v="2"/>
    <n v="16000"/>
  </r>
  <r>
    <x v="23"/>
    <x v="1"/>
    <n v="100005001"/>
    <x v="0"/>
    <x v="0"/>
    <n v="60000"/>
  </r>
  <r>
    <x v="23"/>
    <x v="1"/>
    <n v="100005002"/>
    <x v="1"/>
    <x v="0"/>
    <n v="19741.935483870966"/>
  </r>
  <r>
    <x v="23"/>
    <x v="1"/>
    <n v="100005003"/>
    <x v="2"/>
    <x v="0"/>
    <n v="36000"/>
  </r>
  <r>
    <x v="23"/>
    <x v="1"/>
    <n v="100005004"/>
    <x v="3"/>
    <x v="0"/>
    <n v="48000"/>
  </r>
  <r>
    <x v="23"/>
    <x v="1"/>
    <n v="100005005"/>
    <x v="4"/>
    <x v="0"/>
    <n v="48000"/>
  </r>
  <r>
    <x v="23"/>
    <x v="1"/>
    <n v="100005006"/>
    <x v="0"/>
    <x v="1"/>
    <n v="60000"/>
  </r>
  <r>
    <x v="23"/>
    <x v="1"/>
    <n v="100005009"/>
    <x v="5"/>
    <x v="1"/>
    <n v="60000"/>
  </r>
  <r>
    <x v="23"/>
    <x v="1"/>
    <n v="100005010"/>
    <x v="5"/>
    <x v="1"/>
    <n v="60000"/>
  </r>
  <r>
    <x v="23"/>
    <x v="1"/>
    <n v="100005011"/>
    <x v="5"/>
    <x v="1"/>
    <n v="32903.225806451614"/>
  </r>
  <r>
    <x v="23"/>
    <x v="1"/>
    <n v="100005012"/>
    <x v="5"/>
    <x v="1"/>
    <n v="60000"/>
  </r>
  <r>
    <x v="23"/>
    <x v="1"/>
    <n v="100005013"/>
    <x v="5"/>
    <x v="1"/>
    <n v="60000"/>
  </r>
  <r>
    <x v="23"/>
    <x v="1"/>
    <n v="100005014"/>
    <x v="5"/>
    <x v="1"/>
    <n v="32903.225806451614"/>
  </r>
  <r>
    <x v="23"/>
    <x v="1"/>
    <n v="100005015"/>
    <x v="5"/>
    <x v="1"/>
    <n v="60000"/>
  </r>
  <r>
    <x v="23"/>
    <x v="1"/>
    <n v="100005016"/>
    <x v="5"/>
    <x v="1"/>
    <n v="60000"/>
  </r>
  <r>
    <x v="23"/>
    <x v="1"/>
    <n v="100005017"/>
    <x v="5"/>
    <x v="1"/>
    <n v="32903.225806451614"/>
  </r>
  <r>
    <x v="23"/>
    <x v="1"/>
    <n v="100005018"/>
    <x v="5"/>
    <x v="1"/>
    <n v="60000"/>
  </r>
  <r>
    <x v="23"/>
    <x v="1"/>
    <n v="100005007"/>
    <x v="2"/>
    <x v="1"/>
    <n v="42000"/>
  </r>
  <r>
    <x v="23"/>
    <x v="1"/>
    <n v="100005008"/>
    <x v="4"/>
    <x v="1"/>
    <n v="48000"/>
  </r>
  <r>
    <x v="23"/>
    <x v="1"/>
    <n v="100005000"/>
    <x v="6"/>
    <x v="2"/>
    <n v="24000"/>
  </r>
  <r>
    <x v="24"/>
    <x v="2"/>
    <n v="100005000"/>
    <x v="6"/>
    <x v="2"/>
    <n v="24000"/>
  </r>
  <r>
    <x v="24"/>
    <x v="2"/>
    <n v="100005001"/>
    <x v="0"/>
    <x v="0"/>
    <n v="24000"/>
  </r>
  <r>
    <x v="24"/>
    <x v="2"/>
    <n v="100005002"/>
    <x v="1"/>
    <x v="0"/>
    <n v="24000"/>
  </r>
  <r>
    <x v="24"/>
    <x v="2"/>
    <n v="100005003"/>
    <x v="2"/>
    <x v="0"/>
    <n v="24000"/>
  </r>
  <r>
    <x v="24"/>
    <x v="2"/>
    <n v="100005004"/>
    <x v="3"/>
    <x v="0"/>
    <n v="24000"/>
  </r>
  <r>
    <x v="24"/>
    <x v="2"/>
    <n v="100005005"/>
    <x v="4"/>
    <x v="0"/>
    <n v="24000"/>
  </r>
  <r>
    <x v="24"/>
    <x v="2"/>
    <n v="100005006"/>
    <x v="0"/>
    <x v="1"/>
    <n v="24000"/>
  </r>
  <r>
    <x v="24"/>
    <x v="2"/>
    <n v="100005007"/>
    <x v="2"/>
    <x v="1"/>
    <n v="24000"/>
  </r>
  <r>
    <x v="24"/>
    <x v="2"/>
    <n v="100005008"/>
    <x v="4"/>
    <x v="1"/>
    <n v="24000"/>
  </r>
  <r>
    <x v="24"/>
    <x v="2"/>
    <n v="100005009"/>
    <x v="5"/>
    <x v="1"/>
    <n v="24000"/>
  </r>
  <r>
    <x v="25"/>
    <x v="2"/>
    <n v="100005010"/>
    <x v="5"/>
    <x v="1"/>
    <n v="24000"/>
  </r>
  <r>
    <x v="26"/>
    <x v="2"/>
    <n v="100005011"/>
    <x v="5"/>
    <x v="1"/>
    <n v="24000"/>
  </r>
  <r>
    <x v="27"/>
    <x v="2"/>
    <n v="100005012"/>
    <x v="5"/>
    <x v="1"/>
    <n v="24000"/>
  </r>
  <r>
    <x v="28"/>
    <x v="2"/>
    <n v="100005013"/>
    <x v="5"/>
    <x v="1"/>
    <n v="24000"/>
  </r>
  <r>
    <x v="29"/>
    <x v="2"/>
    <n v="100005014"/>
    <x v="5"/>
    <x v="1"/>
    <n v="24000"/>
  </r>
  <r>
    <x v="30"/>
    <x v="2"/>
    <n v="100005015"/>
    <x v="5"/>
    <x v="1"/>
    <n v="24000"/>
  </r>
  <r>
    <x v="31"/>
    <x v="2"/>
    <n v="100005016"/>
    <x v="5"/>
    <x v="1"/>
    <n v="24000"/>
  </r>
  <r>
    <x v="32"/>
    <x v="2"/>
    <n v="100005017"/>
    <x v="5"/>
    <x v="1"/>
    <n v="24000"/>
  </r>
  <r>
    <x v="33"/>
    <x v="2"/>
    <n v="100005018"/>
    <x v="5"/>
    <x v="1"/>
    <n v="24000"/>
  </r>
  <r>
    <x v="0"/>
    <x v="3"/>
    <n v="100005001"/>
    <x v="0"/>
    <x v="0"/>
    <n v="12000"/>
  </r>
  <r>
    <x v="0"/>
    <x v="3"/>
    <n v="100005002"/>
    <x v="1"/>
    <x v="0"/>
    <n v="7200"/>
  </r>
  <r>
    <x v="0"/>
    <x v="3"/>
    <n v="100005003"/>
    <x v="2"/>
    <x v="0"/>
    <n v="7200"/>
  </r>
  <r>
    <x v="0"/>
    <x v="3"/>
    <n v="100005004"/>
    <x v="3"/>
    <x v="0"/>
    <n v="9600"/>
  </r>
  <r>
    <x v="0"/>
    <x v="3"/>
    <n v="100005005"/>
    <x v="4"/>
    <x v="0"/>
    <n v="9600"/>
  </r>
  <r>
    <x v="0"/>
    <x v="3"/>
    <n v="100005006"/>
    <x v="0"/>
    <x v="1"/>
    <n v="12000"/>
  </r>
  <r>
    <x v="0"/>
    <x v="3"/>
    <n v="100005009"/>
    <x v="5"/>
    <x v="1"/>
    <n v="12000"/>
  </r>
  <r>
    <x v="0"/>
    <x v="3"/>
    <n v="100005007"/>
    <x v="2"/>
    <x v="1"/>
    <n v="8400"/>
  </r>
  <r>
    <x v="0"/>
    <x v="3"/>
    <n v="100005008"/>
    <x v="4"/>
    <x v="1"/>
    <n v="9600"/>
  </r>
  <r>
    <x v="0"/>
    <x v="3"/>
    <n v="100005000"/>
    <x v="6"/>
    <x v="2"/>
    <n v="4800"/>
  </r>
  <r>
    <x v="1"/>
    <x v="3"/>
    <n v="100005001"/>
    <x v="0"/>
    <x v="0"/>
    <n v="18000"/>
  </r>
  <r>
    <x v="1"/>
    <x v="3"/>
    <n v="100005002"/>
    <x v="1"/>
    <x v="0"/>
    <n v="10800"/>
  </r>
  <r>
    <x v="1"/>
    <x v="3"/>
    <n v="100005003"/>
    <x v="2"/>
    <x v="0"/>
    <n v="10800"/>
  </r>
  <r>
    <x v="1"/>
    <x v="3"/>
    <n v="100005004"/>
    <x v="3"/>
    <x v="0"/>
    <n v="14400"/>
  </r>
  <r>
    <x v="1"/>
    <x v="3"/>
    <n v="100005005"/>
    <x v="4"/>
    <x v="0"/>
    <n v="14400"/>
  </r>
  <r>
    <x v="1"/>
    <x v="3"/>
    <n v="100005006"/>
    <x v="0"/>
    <x v="1"/>
    <n v="18000"/>
  </r>
  <r>
    <x v="1"/>
    <x v="3"/>
    <n v="100005009"/>
    <x v="5"/>
    <x v="1"/>
    <n v="18000"/>
  </r>
  <r>
    <x v="1"/>
    <x v="3"/>
    <n v="100005007"/>
    <x v="2"/>
    <x v="1"/>
    <n v="12600"/>
  </r>
  <r>
    <x v="1"/>
    <x v="3"/>
    <n v="100005008"/>
    <x v="4"/>
    <x v="1"/>
    <n v="14400"/>
  </r>
  <r>
    <x v="1"/>
    <x v="3"/>
    <n v="100005000"/>
    <x v="6"/>
    <x v="2"/>
    <n v="7200"/>
  </r>
  <r>
    <x v="2"/>
    <x v="3"/>
    <n v="100005001"/>
    <x v="0"/>
    <x v="0"/>
    <n v="12000"/>
  </r>
  <r>
    <x v="2"/>
    <x v="3"/>
    <n v="100005002"/>
    <x v="1"/>
    <x v="0"/>
    <n v="7200"/>
  </r>
  <r>
    <x v="2"/>
    <x v="3"/>
    <n v="100005003"/>
    <x v="2"/>
    <x v="0"/>
    <n v="7200"/>
  </r>
  <r>
    <x v="2"/>
    <x v="3"/>
    <n v="100005004"/>
    <x v="3"/>
    <x v="0"/>
    <n v="9600"/>
  </r>
  <r>
    <x v="2"/>
    <x v="3"/>
    <n v="100005005"/>
    <x v="4"/>
    <x v="0"/>
    <n v="9600"/>
  </r>
  <r>
    <x v="2"/>
    <x v="3"/>
    <n v="100005006"/>
    <x v="0"/>
    <x v="1"/>
    <n v="12000"/>
  </r>
  <r>
    <x v="2"/>
    <x v="3"/>
    <n v="100005009"/>
    <x v="5"/>
    <x v="1"/>
    <n v="12000"/>
  </r>
  <r>
    <x v="2"/>
    <x v="3"/>
    <n v="100005010"/>
    <x v="5"/>
    <x v="1"/>
    <n v="12000"/>
  </r>
  <r>
    <x v="2"/>
    <x v="3"/>
    <n v="100005007"/>
    <x v="2"/>
    <x v="1"/>
    <n v="8400"/>
  </r>
  <r>
    <x v="2"/>
    <x v="3"/>
    <n v="100005008"/>
    <x v="4"/>
    <x v="1"/>
    <n v="9600"/>
  </r>
  <r>
    <x v="2"/>
    <x v="3"/>
    <n v="100005000"/>
    <x v="6"/>
    <x v="2"/>
    <n v="4800"/>
  </r>
  <r>
    <x v="3"/>
    <x v="3"/>
    <n v="100005001"/>
    <x v="0"/>
    <x v="0"/>
    <n v="18000"/>
  </r>
  <r>
    <x v="3"/>
    <x v="3"/>
    <n v="100005002"/>
    <x v="1"/>
    <x v="0"/>
    <n v="10800"/>
  </r>
  <r>
    <x v="3"/>
    <x v="3"/>
    <n v="100005003"/>
    <x v="2"/>
    <x v="0"/>
    <n v="10800"/>
  </r>
  <r>
    <x v="3"/>
    <x v="3"/>
    <n v="100005004"/>
    <x v="3"/>
    <x v="0"/>
    <n v="14400"/>
  </r>
  <r>
    <x v="3"/>
    <x v="3"/>
    <n v="100005005"/>
    <x v="4"/>
    <x v="0"/>
    <n v="14400"/>
  </r>
  <r>
    <x v="3"/>
    <x v="3"/>
    <n v="100005006"/>
    <x v="0"/>
    <x v="1"/>
    <n v="18000"/>
  </r>
  <r>
    <x v="3"/>
    <x v="3"/>
    <n v="100005009"/>
    <x v="5"/>
    <x v="1"/>
    <n v="18000"/>
  </r>
  <r>
    <x v="3"/>
    <x v="3"/>
    <n v="100005010"/>
    <x v="5"/>
    <x v="1"/>
    <n v="18000"/>
  </r>
  <r>
    <x v="3"/>
    <x v="3"/>
    <n v="100005007"/>
    <x v="2"/>
    <x v="1"/>
    <n v="12600"/>
  </r>
  <r>
    <x v="3"/>
    <x v="3"/>
    <n v="100005008"/>
    <x v="4"/>
    <x v="1"/>
    <n v="14400"/>
  </r>
  <r>
    <x v="3"/>
    <x v="3"/>
    <n v="100005000"/>
    <x v="6"/>
    <x v="2"/>
    <n v="7200"/>
  </r>
  <r>
    <x v="4"/>
    <x v="3"/>
    <n v="100005001"/>
    <x v="0"/>
    <x v="0"/>
    <n v="12000"/>
  </r>
  <r>
    <x v="4"/>
    <x v="3"/>
    <n v="100005002"/>
    <x v="1"/>
    <x v="0"/>
    <n v="7200"/>
  </r>
  <r>
    <x v="4"/>
    <x v="3"/>
    <n v="100005003"/>
    <x v="2"/>
    <x v="0"/>
    <n v="7200"/>
  </r>
  <r>
    <x v="4"/>
    <x v="3"/>
    <n v="100005004"/>
    <x v="3"/>
    <x v="0"/>
    <n v="16103.225806451614"/>
  </r>
  <r>
    <x v="4"/>
    <x v="3"/>
    <n v="100005005"/>
    <x v="4"/>
    <x v="0"/>
    <n v="9600"/>
  </r>
  <r>
    <x v="4"/>
    <x v="3"/>
    <n v="100005006"/>
    <x v="0"/>
    <x v="1"/>
    <n v="12000"/>
  </r>
  <r>
    <x v="4"/>
    <x v="3"/>
    <n v="100005009"/>
    <x v="5"/>
    <x v="1"/>
    <n v="12000"/>
  </r>
  <r>
    <x v="4"/>
    <x v="3"/>
    <n v="100005010"/>
    <x v="5"/>
    <x v="1"/>
    <n v="12000"/>
  </r>
  <r>
    <x v="4"/>
    <x v="3"/>
    <n v="100005011"/>
    <x v="5"/>
    <x v="1"/>
    <n v="12000"/>
  </r>
  <r>
    <x v="4"/>
    <x v="3"/>
    <n v="100005007"/>
    <x v="2"/>
    <x v="1"/>
    <n v="8400"/>
  </r>
  <r>
    <x v="4"/>
    <x v="3"/>
    <n v="100005008"/>
    <x v="4"/>
    <x v="1"/>
    <n v="16103.225806451614"/>
  </r>
  <r>
    <x v="4"/>
    <x v="3"/>
    <n v="100005000"/>
    <x v="6"/>
    <x v="2"/>
    <n v="8051.6129032258068"/>
  </r>
  <r>
    <x v="5"/>
    <x v="3"/>
    <n v="100005001"/>
    <x v="0"/>
    <x v="0"/>
    <n v="18000"/>
  </r>
  <r>
    <x v="5"/>
    <x v="3"/>
    <n v="100005002"/>
    <x v="1"/>
    <x v="0"/>
    <n v="10800"/>
  </r>
  <r>
    <x v="5"/>
    <x v="3"/>
    <n v="100005003"/>
    <x v="2"/>
    <x v="0"/>
    <n v="10800"/>
  </r>
  <r>
    <x v="5"/>
    <x v="3"/>
    <n v="100005004"/>
    <x v="3"/>
    <x v="0"/>
    <n v="7896.7741935483873"/>
  </r>
  <r>
    <x v="5"/>
    <x v="3"/>
    <n v="100005005"/>
    <x v="4"/>
    <x v="0"/>
    <n v="14400"/>
  </r>
  <r>
    <x v="5"/>
    <x v="3"/>
    <n v="100005006"/>
    <x v="0"/>
    <x v="1"/>
    <n v="18000"/>
  </r>
  <r>
    <x v="5"/>
    <x v="3"/>
    <n v="100005009"/>
    <x v="5"/>
    <x v="1"/>
    <n v="18000"/>
  </r>
  <r>
    <x v="5"/>
    <x v="3"/>
    <n v="100005010"/>
    <x v="5"/>
    <x v="1"/>
    <n v="18000"/>
  </r>
  <r>
    <x v="5"/>
    <x v="3"/>
    <n v="100005011"/>
    <x v="5"/>
    <x v="1"/>
    <n v="18000"/>
  </r>
  <r>
    <x v="5"/>
    <x v="3"/>
    <n v="100005007"/>
    <x v="2"/>
    <x v="1"/>
    <n v="12600"/>
  </r>
  <r>
    <x v="5"/>
    <x v="3"/>
    <n v="100005008"/>
    <x v="4"/>
    <x v="1"/>
    <n v="7896.7741935483873"/>
  </r>
  <r>
    <x v="5"/>
    <x v="3"/>
    <n v="100005000"/>
    <x v="6"/>
    <x v="2"/>
    <n v="3948.3870967741937"/>
  </r>
  <r>
    <x v="6"/>
    <x v="3"/>
    <n v="100005001"/>
    <x v="0"/>
    <x v="0"/>
    <n v="12000"/>
  </r>
  <r>
    <x v="6"/>
    <x v="3"/>
    <n v="100005002"/>
    <x v="1"/>
    <x v="0"/>
    <n v="7200"/>
  </r>
  <r>
    <x v="6"/>
    <x v="3"/>
    <n v="100005003"/>
    <x v="2"/>
    <x v="0"/>
    <n v="7200"/>
  </r>
  <r>
    <x v="6"/>
    <x v="3"/>
    <n v="100005004"/>
    <x v="3"/>
    <x v="0"/>
    <n v="9600"/>
  </r>
  <r>
    <x v="6"/>
    <x v="3"/>
    <n v="100005005"/>
    <x v="4"/>
    <x v="0"/>
    <n v="9600"/>
  </r>
  <r>
    <x v="6"/>
    <x v="3"/>
    <n v="100005006"/>
    <x v="0"/>
    <x v="1"/>
    <n v="12000"/>
  </r>
  <r>
    <x v="6"/>
    <x v="3"/>
    <n v="100005009"/>
    <x v="5"/>
    <x v="1"/>
    <n v="20400"/>
  </r>
  <r>
    <x v="6"/>
    <x v="3"/>
    <n v="100005010"/>
    <x v="5"/>
    <x v="1"/>
    <n v="12000"/>
  </r>
  <r>
    <x v="6"/>
    <x v="3"/>
    <n v="100005011"/>
    <x v="5"/>
    <x v="1"/>
    <n v="12000"/>
  </r>
  <r>
    <x v="6"/>
    <x v="3"/>
    <n v="100005012"/>
    <x v="5"/>
    <x v="1"/>
    <n v="12000"/>
  </r>
  <r>
    <x v="6"/>
    <x v="3"/>
    <n v="100005007"/>
    <x v="2"/>
    <x v="1"/>
    <n v="14280"/>
  </r>
  <r>
    <x v="6"/>
    <x v="3"/>
    <n v="100005008"/>
    <x v="4"/>
    <x v="1"/>
    <n v="9600"/>
  </r>
  <r>
    <x v="6"/>
    <x v="3"/>
    <n v="100005000"/>
    <x v="6"/>
    <x v="2"/>
    <n v="4800"/>
  </r>
  <r>
    <x v="7"/>
    <x v="3"/>
    <n v="100005001"/>
    <x v="0"/>
    <x v="0"/>
    <n v="18000"/>
  </r>
  <r>
    <x v="7"/>
    <x v="3"/>
    <n v="100005002"/>
    <x v="1"/>
    <x v="0"/>
    <n v="10800"/>
  </r>
  <r>
    <x v="7"/>
    <x v="3"/>
    <n v="100005003"/>
    <x v="2"/>
    <x v="0"/>
    <n v="10800"/>
  </r>
  <r>
    <x v="7"/>
    <x v="3"/>
    <n v="100005004"/>
    <x v="3"/>
    <x v="0"/>
    <n v="14400"/>
  </r>
  <r>
    <x v="7"/>
    <x v="3"/>
    <n v="100005005"/>
    <x v="4"/>
    <x v="0"/>
    <n v="14400"/>
  </r>
  <r>
    <x v="7"/>
    <x v="3"/>
    <n v="100005006"/>
    <x v="0"/>
    <x v="1"/>
    <n v="18000"/>
  </r>
  <r>
    <x v="7"/>
    <x v="3"/>
    <n v="100005009"/>
    <x v="5"/>
    <x v="1"/>
    <n v="9600"/>
  </r>
  <r>
    <x v="7"/>
    <x v="3"/>
    <n v="100005010"/>
    <x v="5"/>
    <x v="1"/>
    <n v="18000"/>
  </r>
  <r>
    <x v="7"/>
    <x v="3"/>
    <n v="100005011"/>
    <x v="5"/>
    <x v="1"/>
    <n v="18000"/>
  </r>
  <r>
    <x v="7"/>
    <x v="3"/>
    <n v="100005012"/>
    <x v="5"/>
    <x v="1"/>
    <n v="18000"/>
  </r>
  <r>
    <x v="7"/>
    <x v="3"/>
    <n v="100005007"/>
    <x v="2"/>
    <x v="1"/>
    <n v="6719.9999999999991"/>
  </r>
  <r>
    <x v="7"/>
    <x v="3"/>
    <n v="100005008"/>
    <x v="4"/>
    <x v="1"/>
    <n v="14400"/>
  </r>
  <r>
    <x v="7"/>
    <x v="3"/>
    <n v="100005000"/>
    <x v="6"/>
    <x v="2"/>
    <n v="7200"/>
  </r>
  <r>
    <x v="8"/>
    <x v="3"/>
    <n v="100005001"/>
    <x v="0"/>
    <x v="0"/>
    <n v="12000"/>
  </r>
  <r>
    <x v="8"/>
    <x v="3"/>
    <n v="100005002"/>
    <x v="1"/>
    <x v="0"/>
    <n v="12077.419354838708"/>
  </r>
  <r>
    <x v="8"/>
    <x v="3"/>
    <n v="100005003"/>
    <x v="2"/>
    <x v="0"/>
    <n v="12077.419354838708"/>
  </r>
  <r>
    <x v="8"/>
    <x v="3"/>
    <n v="100005004"/>
    <x v="3"/>
    <x v="0"/>
    <n v="9600"/>
  </r>
  <r>
    <x v="8"/>
    <x v="3"/>
    <n v="100005005"/>
    <x v="4"/>
    <x v="0"/>
    <n v="9600"/>
  </r>
  <r>
    <x v="8"/>
    <x v="3"/>
    <n v="100005006"/>
    <x v="0"/>
    <x v="1"/>
    <n v="12000"/>
  </r>
  <r>
    <x v="8"/>
    <x v="3"/>
    <n v="100005009"/>
    <x v="5"/>
    <x v="1"/>
    <n v="12000"/>
  </r>
  <r>
    <x v="8"/>
    <x v="3"/>
    <n v="100005010"/>
    <x v="5"/>
    <x v="1"/>
    <n v="20129.032258064519"/>
  </r>
  <r>
    <x v="8"/>
    <x v="3"/>
    <n v="100005011"/>
    <x v="5"/>
    <x v="1"/>
    <n v="12000"/>
  </r>
  <r>
    <x v="8"/>
    <x v="3"/>
    <n v="100005012"/>
    <x v="5"/>
    <x v="1"/>
    <n v="12000"/>
  </r>
  <r>
    <x v="8"/>
    <x v="3"/>
    <n v="100005007"/>
    <x v="2"/>
    <x v="1"/>
    <n v="8400"/>
  </r>
  <r>
    <x v="8"/>
    <x v="3"/>
    <n v="100005008"/>
    <x v="4"/>
    <x v="1"/>
    <n v="9600"/>
  </r>
  <r>
    <x v="8"/>
    <x v="3"/>
    <n v="100005000"/>
    <x v="6"/>
    <x v="2"/>
    <n v="4800"/>
  </r>
  <r>
    <x v="9"/>
    <x v="3"/>
    <n v="100005001"/>
    <x v="0"/>
    <x v="0"/>
    <n v="18000"/>
  </r>
  <r>
    <x v="9"/>
    <x v="3"/>
    <n v="100005002"/>
    <x v="1"/>
    <x v="0"/>
    <n v="5922.5806451612898"/>
  </r>
  <r>
    <x v="9"/>
    <x v="3"/>
    <n v="100005003"/>
    <x v="2"/>
    <x v="0"/>
    <n v="5922.5806451612898"/>
  </r>
  <r>
    <x v="9"/>
    <x v="3"/>
    <n v="100005004"/>
    <x v="3"/>
    <x v="0"/>
    <n v="14400"/>
  </r>
  <r>
    <x v="9"/>
    <x v="3"/>
    <n v="100005005"/>
    <x v="4"/>
    <x v="0"/>
    <n v="14400"/>
  </r>
  <r>
    <x v="9"/>
    <x v="3"/>
    <n v="100005006"/>
    <x v="0"/>
    <x v="1"/>
    <n v="18000"/>
  </r>
  <r>
    <x v="9"/>
    <x v="3"/>
    <n v="100005009"/>
    <x v="5"/>
    <x v="1"/>
    <n v="18000"/>
  </r>
  <r>
    <x v="9"/>
    <x v="3"/>
    <n v="100005010"/>
    <x v="5"/>
    <x v="1"/>
    <n v="9870.967741935483"/>
  </r>
  <r>
    <x v="9"/>
    <x v="3"/>
    <n v="100005011"/>
    <x v="5"/>
    <x v="1"/>
    <n v="18000"/>
  </r>
  <r>
    <x v="9"/>
    <x v="3"/>
    <n v="100005012"/>
    <x v="5"/>
    <x v="1"/>
    <n v="18000"/>
  </r>
  <r>
    <x v="9"/>
    <x v="3"/>
    <n v="100005007"/>
    <x v="2"/>
    <x v="1"/>
    <n v="12600"/>
  </r>
  <r>
    <x v="9"/>
    <x v="3"/>
    <n v="100005008"/>
    <x v="4"/>
    <x v="1"/>
    <n v="14400"/>
  </r>
  <r>
    <x v="9"/>
    <x v="3"/>
    <n v="100005000"/>
    <x v="6"/>
    <x v="2"/>
    <n v="7200"/>
  </r>
  <r>
    <x v="10"/>
    <x v="3"/>
    <n v="100005001"/>
    <x v="0"/>
    <x v="0"/>
    <n v="20400"/>
  </r>
  <r>
    <x v="10"/>
    <x v="3"/>
    <n v="100005002"/>
    <x v="1"/>
    <x v="0"/>
    <n v="7200"/>
  </r>
  <r>
    <x v="10"/>
    <x v="3"/>
    <n v="100005003"/>
    <x v="2"/>
    <x v="0"/>
    <n v="7200"/>
  </r>
  <r>
    <x v="10"/>
    <x v="3"/>
    <n v="100005004"/>
    <x v="3"/>
    <x v="0"/>
    <n v="16320"/>
  </r>
  <r>
    <x v="10"/>
    <x v="3"/>
    <n v="100005005"/>
    <x v="4"/>
    <x v="0"/>
    <n v="9600"/>
  </r>
  <r>
    <x v="10"/>
    <x v="3"/>
    <n v="100005006"/>
    <x v="0"/>
    <x v="1"/>
    <n v="12000"/>
  </r>
  <r>
    <x v="10"/>
    <x v="3"/>
    <n v="100005009"/>
    <x v="5"/>
    <x v="1"/>
    <n v="12000"/>
  </r>
  <r>
    <x v="10"/>
    <x v="3"/>
    <n v="100005010"/>
    <x v="5"/>
    <x v="1"/>
    <n v="12000"/>
  </r>
  <r>
    <x v="10"/>
    <x v="3"/>
    <n v="100005011"/>
    <x v="5"/>
    <x v="1"/>
    <n v="20400"/>
  </r>
  <r>
    <x v="10"/>
    <x v="3"/>
    <n v="100005012"/>
    <x v="5"/>
    <x v="1"/>
    <n v="12000"/>
  </r>
  <r>
    <x v="10"/>
    <x v="3"/>
    <n v="100005013"/>
    <x v="5"/>
    <x v="1"/>
    <n v="12000"/>
  </r>
  <r>
    <x v="10"/>
    <x v="3"/>
    <n v="100005007"/>
    <x v="2"/>
    <x v="1"/>
    <n v="8400"/>
  </r>
  <r>
    <x v="10"/>
    <x v="3"/>
    <n v="100005008"/>
    <x v="4"/>
    <x v="1"/>
    <n v="9600"/>
  </r>
  <r>
    <x v="10"/>
    <x v="3"/>
    <n v="100005000"/>
    <x v="6"/>
    <x v="2"/>
    <n v="4800"/>
  </r>
  <r>
    <x v="11"/>
    <x v="3"/>
    <n v="100005001"/>
    <x v="0"/>
    <x v="0"/>
    <n v="9600"/>
  </r>
  <r>
    <x v="11"/>
    <x v="3"/>
    <n v="100005002"/>
    <x v="1"/>
    <x v="0"/>
    <n v="10800"/>
  </r>
  <r>
    <x v="11"/>
    <x v="3"/>
    <n v="100005003"/>
    <x v="2"/>
    <x v="0"/>
    <n v="10800"/>
  </r>
  <r>
    <x v="11"/>
    <x v="3"/>
    <n v="100005004"/>
    <x v="3"/>
    <x v="0"/>
    <n v="7679.9999999999982"/>
  </r>
  <r>
    <x v="11"/>
    <x v="3"/>
    <n v="100005005"/>
    <x v="4"/>
    <x v="0"/>
    <n v="14400"/>
  </r>
  <r>
    <x v="11"/>
    <x v="3"/>
    <n v="100005006"/>
    <x v="0"/>
    <x v="1"/>
    <n v="18000"/>
  </r>
  <r>
    <x v="11"/>
    <x v="3"/>
    <n v="100005009"/>
    <x v="5"/>
    <x v="1"/>
    <n v="18000"/>
  </r>
  <r>
    <x v="11"/>
    <x v="3"/>
    <n v="100005010"/>
    <x v="5"/>
    <x v="1"/>
    <n v="18000"/>
  </r>
  <r>
    <x v="11"/>
    <x v="3"/>
    <n v="100005011"/>
    <x v="5"/>
    <x v="1"/>
    <n v="9600"/>
  </r>
  <r>
    <x v="11"/>
    <x v="3"/>
    <n v="100005012"/>
    <x v="5"/>
    <x v="1"/>
    <n v="18000"/>
  </r>
  <r>
    <x v="11"/>
    <x v="3"/>
    <n v="100005013"/>
    <x v="5"/>
    <x v="1"/>
    <n v="18000"/>
  </r>
  <r>
    <x v="11"/>
    <x v="3"/>
    <n v="100005007"/>
    <x v="2"/>
    <x v="1"/>
    <n v="12600"/>
  </r>
  <r>
    <x v="11"/>
    <x v="3"/>
    <n v="100005008"/>
    <x v="4"/>
    <x v="1"/>
    <n v="14400"/>
  </r>
  <r>
    <x v="11"/>
    <x v="3"/>
    <n v="100005000"/>
    <x v="6"/>
    <x v="2"/>
    <n v="7200"/>
  </r>
  <r>
    <x v="12"/>
    <x v="3"/>
    <n v="100005001"/>
    <x v="0"/>
    <x v="0"/>
    <n v="12000"/>
  </r>
  <r>
    <x v="12"/>
    <x v="3"/>
    <n v="100005002"/>
    <x v="1"/>
    <x v="0"/>
    <n v="7200"/>
  </r>
  <r>
    <x v="12"/>
    <x v="3"/>
    <n v="100005003"/>
    <x v="2"/>
    <x v="0"/>
    <n v="7200"/>
  </r>
  <r>
    <x v="12"/>
    <x v="3"/>
    <n v="100005004"/>
    <x v="3"/>
    <x v="0"/>
    <n v="9600"/>
  </r>
  <r>
    <x v="12"/>
    <x v="3"/>
    <n v="100005005"/>
    <x v="4"/>
    <x v="0"/>
    <n v="16103.225806451614"/>
  </r>
  <r>
    <x v="12"/>
    <x v="3"/>
    <n v="100005006"/>
    <x v="0"/>
    <x v="1"/>
    <n v="12000"/>
  </r>
  <r>
    <x v="12"/>
    <x v="3"/>
    <n v="100005009"/>
    <x v="5"/>
    <x v="1"/>
    <n v="12000"/>
  </r>
  <r>
    <x v="12"/>
    <x v="3"/>
    <n v="100005010"/>
    <x v="5"/>
    <x v="1"/>
    <n v="12000"/>
  </r>
  <r>
    <x v="12"/>
    <x v="3"/>
    <n v="100005011"/>
    <x v="5"/>
    <x v="1"/>
    <n v="12000"/>
  </r>
  <r>
    <x v="12"/>
    <x v="3"/>
    <n v="100005012"/>
    <x v="5"/>
    <x v="1"/>
    <n v="12000"/>
  </r>
  <r>
    <x v="12"/>
    <x v="3"/>
    <n v="100005013"/>
    <x v="5"/>
    <x v="1"/>
    <n v="20129.032258064519"/>
  </r>
  <r>
    <x v="12"/>
    <x v="3"/>
    <n v="100005014"/>
    <x v="5"/>
    <x v="1"/>
    <n v="12000"/>
  </r>
  <r>
    <x v="12"/>
    <x v="3"/>
    <n v="100005007"/>
    <x v="2"/>
    <x v="1"/>
    <n v="14090.322580645161"/>
  </r>
  <r>
    <x v="12"/>
    <x v="3"/>
    <n v="100005008"/>
    <x v="4"/>
    <x v="1"/>
    <n v="9600"/>
  </r>
  <r>
    <x v="12"/>
    <x v="3"/>
    <n v="100005000"/>
    <x v="6"/>
    <x v="2"/>
    <n v="4800"/>
  </r>
  <r>
    <x v="13"/>
    <x v="3"/>
    <n v="100005001"/>
    <x v="0"/>
    <x v="0"/>
    <n v="18000"/>
  </r>
  <r>
    <x v="13"/>
    <x v="3"/>
    <n v="100005002"/>
    <x v="1"/>
    <x v="0"/>
    <n v="10800"/>
  </r>
  <r>
    <x v="13"/>
    <x v="3"/>
    <n v="100005003"/>
    <x v="2"/>
    <x v="0"/>
    <n v="10800"/>
  </r>
  <r>
    <x v="13"/>
    <x v="3"/>
    <n v="100005004"/>
    <x v="3"/>
    <x v="0"/>
    <n v="14400"/>
  </r>
  <r>
    <x v="13"/>
    <x v="3"/>
    <n v="100005005"/>
    <x v="4"/>
    <x v="0"/>
    <n v="7896.7741935483873"/>
  </r>
  <r>
    <x v="13"/>
    <x v="3"/>
    <n v="100005006"/>
    <x v="0"/>
    <x v="1"/>
    <n v="18000"/>
  </r>
  <r>
    <x v="13"/>
    <x v="3"/>
    <n v="100005009"/>
    <x v="5"/>
    <x v="1"/>
    <n v="18000"/>
  </r>
  <r>
    <x v="13"/>
    <x v="3"/>
    <n v="100005010"/>
    <x v="5"/>
    <x v="1"/>
    <n v="18000"/>
  </r>
  <r>
    <x v="13"/>
    <x v="3"/>
    <n v="100005011"/>
    <x v="5"/>
    <x v="1"/>
    <n v="18000"/>
  </r>
  <r>
    <x v="13"/>
    <x v="3"/>
    <n v="100005012"/>
    <x v="5"/>
    <x v="1"/>
    <n v="18000"/>
  </r>
  <r>
    <x v="13"/>
    <x v="3"/>
    <n v="100005013"/>
    <x v="5"/>
    <x v="1"/>
    <n v="9870.967741935483"/>
  </r>
  <r>
    <x v="13"/>
    <x v="3"/>
    <n v="100005014"/>
    <x v="5"/>
    <x v="1"/>
    <n v="18000"/>
  </r>
  <r>
    <x v="13"/>
    <x v="3"/>
    <n v="100005007"/>
    <x v="2"/>
    <x v="1"/>
    <n v="6909.6774193548372"/>
  </r>
  <r>
    <x v="13"/>
    <x v="3"/>
    <n v="100005008"/>
    <x v="4"/>
    <x v="1"/>
    <n v="14400"/>
  </r>
  <r>
    <x v="13"/>
    <x v="3"/>
    <n v="100005000"/>
    <x v="6"/>
    <x v="2"/>
    <n v="7200"/>
  </r>
  <r>
    <x v="14"/>
    <x v="3"/>
    <n v="100005001"/>
    <x v="0"/>
    <x v="0"/>
    <n v="12000"/>
  </r>
  <r>
    <x v="14"/>
    <x v="3"/>
    <n v="100005002"/>
    <x v="1"/>
    <x v="0"/>
    <n v="7200"/>
  </r>
  <r>
    <x v="14"/>
    <x v="3"/>
    <n v="100005003"/>
    <x v="2"/>
    <x v="0"/>
    <n v="12077.419354838708"/>
  </r>
  <r>
    <x v="14"/>
    <x v="3"/>
    <n v="100005004"/>
    <x v="3"/>
    <x v="0"/>
    <n v="9600"/>
  </r>
  <r>
    <x v="14"/>
    <x v="3"/>
    <n v="100005005"/>
    <x v="4"/>
    <x v="0"/>
    <n v="9600"/>
  </r>
  <r>
    <x v="14"/>
    <x v="3"/>
    <n v="100005006"/>
    <x v="0"/>
    <x v="1"/>
    <n v="20129.032258064519"/>
  </r>
  <r>
    <x v="14"/>
    <x v="3"/>
    <n v="100005009"/>
    <x v="5"/>
    <x v="1"/>
    <n v="20129.032258064519"/>
  </r>
  <r>
    <x v="14"/>
    <x v="3"/>
    <n v="100005010"/>
    <x v="5"/>
    <x v="1"/>
    <n v="12000"/>
  </r>
  <r>
    <x v="14"/>
    <x v="3"/>
    <n v="100005011"/>
    <x v="5"/>
    <x v="1"/>
    <n v="12000"/>
  </r>
  <r>
    <x v="14"/>
    <x v="3"/>
    <n v="100005012"/>
    <x v="5"/>
    <x v="1"/>
    <n v="20129.032258064519"/>
  </r>
  <r>
    <x v="14"/>
    <x v="3"/>
    <n v="100005013"/>
    <x v="5"/>
    <x v="1"/>
    <n v="12000"/>
  </r>
  <r>
    <x v="14"/>
    <x v="3"/>
    <n v="100005014"/>
    <x v="5"/>
    <x v="1"/>
    <n v="12000"/>
  </r>
  <r>
    <x v="14"/>
    <x v="3"/>
    <n v="100005015"/>
    <x v="5"/>
    <x v="1"/>
    <n v="12000"/>
  </r>
  <r>
    <x v="14"/>
    <x v="3"/>
    <n v="100005007"/>
    <x v="2"/>
    <x v="1"/>
    <n v="8400"/>
  </r>
  <r>
    <x v="14"/>
    <x v="3"/>
    <n v="100005008"/>
    <x v="4"/>
    <x v="1"/>
    <n v="16103.225806451614"/>
  </r>
  <r>
    <x v="14"/>
    <x v="3"/>
    <n v="100005000"/>
    <x v="6"/>
    <x v="2"/>
    <n v="8051.6129032258068"/>
  </r>
  <r>
    <x v="15"/>
    <x v="3"/>
    <n v="100005001"/>
    <x v="0"/>
    <x v="0"/>
    <n v="18000"/>
  </r>
  <r>
    <x v="15"/>
    <x v="3"/>
    <n v="100005002"/>
    <x v="1"/>
    <x v="0"/>
    <n v="10800"/>
  </r>
  <r>
    <x v="15"/>
    <x v="3"/>
    <n v="100005003"/>
    <x v="2"/>
    <x v="0"/>
    <n v="5922.5806451612898"/>
  </r>
  <r>
    <x v="15"/>
    <x v="3"/>
    <n v="100005004"/>
    <x v="3"/>
    <x v="0"/>
    <n v="14400"/>
  </r>
  <r>
    <x v="15"/>
    <x v="3"/>
    <n v="100005005"/>
    <x v="4"/>
    <x v="0"/>
    <n v="14400"/>
  </r>
  <r>
    <x v="15"/>
    <x v="3"/>
    <n v="100005006"/>
    <x v="0"/>
    <x v="1"/>
    <n v="9870.967741935483"/>
  </r>
  <r>
    <x v="15"/>
    <x v="3"/>
    <n v="100005009"/>
    <x v="5"/>
    <x v="1"/>
    <n v="9870.967741935483"/>
  </r>
  <r>
    <x v="15"/>
    <x v="3"/>
    <n v="100005010"/>
    <x v="5"/>
    <x v="1"/>
    <n v="18000"/>
  </r>
  <r>
    <x v="15"/>
    <x v="3"/>
    <n v="100005011"/>
    <x v="5"/>
    <x v="1"/>
    <n v="18000"/>
  </r>
  <r>
    <x v="15"/>
    <x v="3"/>
    <n v="100005012"/>
    <x v="5"/>
    <x v="1"/>
    <n v="9870.967741935483"/>
  </r>
  <r>
    <x v="15"/>
    <x v="3"/>
    <n v="100005013"/>
    <x v="5"/>
    <x v="1"/>
    <n v="18000"/>
  </r>
  <r>
    <x v="15"/>
    <x v="3"/>
    <n v="100005014"/>
    <x v="5"/>
    <x v="1"/>
    <n v="18000"/>
  </r>
  <r>
    <x v="15"/>
    <x v="3"/>
    <n v="100005015"/>
    <x v="5"/>
    <x v="1"/>
    <n v="18000"/>
  </r>
  <r>
    <x v="15"/>
    <x v="3"/>
    <n v="100005007"/>
    <x v="2"/>
    <x v="1"/>
    <n v="12600"/>
  </r>
  <r>
    <x v="15"/>
    <x v="3"/>
    <n v="100005008"/>
    <x v="4"/>
    <x v="1"/>
    <n v="7896.7741935483873"/>
  </r>
  <r>
    <x v="15"/>
    <x v="3"/>
    <n v="100005000"/>
    <x v="6"/>
    <x v="2"/>
    <n v="3948.3870967741937"/>
  </r>
  <r>
    <x v="16"/>
    <x v="3"/>
    <n v="100005001"/>
    <x v="0"/>
    <x v="0"/>
    <n v="20400"/>
  </r>
  <r>
    <x v="16"/>
    <x v="3"/>
    <n v="100005002"/>
    <x v="1"/>
    <x v="0"/>
    <n v="7200"/>
  </r>
  <r>
    <x v="16"/>
    <x v="3"/>
    <n v="100005003"/>
    <x v="2"/>
    <x v="0"/>
    <n v="7200"/>
  </r>
  <r>
    <x v="16"/>
    <x v="3"/>
    <n v="100005004"/>
    <x v="3"/>
    <x v="0"/>
    <n v="9600"/>
  </r>
  <r>
    <x v="16"/>
    <x v="3"/>
    <n v="100005005"/>
    <x v="4"/>
    <x v="0"/>
    <n v="16320"/>
  </r>
  <r>
    <x v="16"/>
    <x v="3"/>
    <n v="100005006"/>
    <x v="0"/>
    <x v="1"/>
    <n v="12000"/>
  </r>
  <r>
    <x v="16"/>
    <x v="3"/>
    <n v="100005009"/>
    <x v="5"/>
    <x v="1"/>
    <n v="12000"/>
  </r>
  <r>
    <x v="16"/>
    <x v="3"/>
    <n v="100005010"/>
    <x v="5"/>
    <x v="1"/>
    <n v="12000"/>
  </r>
  <r>
    <x v="16"/>
    <x v="3"/>
    <n v="100005011"/>
    <x v="5"/>
    <x v="1"/>
    <n v="12000"/>
  </r>
  <r>
    <x v="16"/>
    <x v="3"/>
    <n v="100005012"/>
    <x v="5"/>
    <x v="1"/>
    <n v="12000"/>
  </r>
  <r>
    <x v="16"/>
    <x v="3"/>
    <n v="100005013"/>
    <x v="5"/>
    <x v="1"/>
    <n v="12000"/>
  </r>
  <r>
    <x v="16"/>
    <x v="3"/>
    <n v="100005014"/>
    <x v="5"/>
    <x v="1"/>
    <n v="12000"/>
  </r>
  <r>
    <x v="16"/>
    <x v="3"/>
    <n v="100005015"/>
    <x v="5"/>
    <x v="1"/>
    <n v="20400"/>
  </r>
  <r>
    <x v="16"/>
    <x v="3"/>
    <n v="100005016"/>
    <x v="5"/>
    <x v="1"/>
    <n v="12000"/>
  </r>
  <r>
    <x v="16"/>
    <x v="3"/>
    <n v="100005007"/>
    <x v="2"/>
    <x v="1"/>
    <n v="8400"/>
  </r>
  <r>
    <x v="16"/>
    <x v="3"/>
    <n v="100005008"/>
    <x v="4"/>
    <x v="1"/>
    <n v="9600"/>
  </r>
  <r>
    <x v="16"/>
    <x v="3"/>
    <n v="100005000"/>
    <x v="6"/>
    <x v="2"/>
    <n v="4800"/>
  </r>
  <r>
    <x v="17"/>
    <x v="3"/>
    <n v="100005001"/>
    <x v="0"/>
    <x v="0"/>
    <n v="9600"/>
  </r>
  <r>
    <x v="17"/>
    <x v="3"/>
    <n v="100005002"/>
    <x v="1"/>
    <x v="0"/>
    <n v="10800"/>
  </r>
  <r>
    <x v="17"/>
    <x v="3"/>
    <n v="100005003"/>
    <x v="2"/>
    <x v="0"/>
    <n v="10800"/>
  </r>
  <r>
    <x v="17"/>
    <x v="3"/>
    <n v="100005004"/>
    <x v="3"/>
    <x v="0"/>
    <n v="14400"/>
  </r>
  <r>
    <x v="17"/>
    <x v="3"/>
    <n v="100005005"/>
    <x v="4"/>
    <x v="0"/>
    <n v="7679.9999999999982"/>
  </r>
  <r>
    <x v="17"/>
    <x v="3"/>
    <n v="100005006"/>
    <x v="0"/>
    <x v="1"/>
    <n v="18000"/>
  </r>
  <r>
    <x v="17"/>
    <x v="3"/>
    <n v="100005009"/>
    <x v="5"/>
    <x v="1"/>
    <n v="18000"/>
  </r>
  <r>
    <x v="17"/>
    <x v="3"/>
    <n v="100005010"/>
    <x v="5"/>
    <x v="1"/>
    <n v="18000"/>
  </r>
  <r>
    <x v="17"/>
    <x v="3"/>
    <n v="100005011"/>
    <x v="5"/>
    <x v="1"/>
    <n v="18000"/>
  </r>
  <r>
    <x v="17"/>
    <x v="3"/>
    <n v="100005012"/>
    <x v="5"/>
    <x v="1"/>
    <n v="18000"/>
  </r>
  <r>
    <x v="17"/>
    <x v="3"/>
    <n v="100005013"/>
    <x v="5"/>
    <x v="1"/>
    <n v="18000"/>
  </r>
  <r>
    <x v="17"/>
    <x v="3"/>
    <n v="100005014"/>
    <x v="5"/>
    <x v="1"/>
    <n v="18000"/>
  </r>
  <r>
    <x v="17"/>
    <x v="3"/>
    <n v="100005015"/>
    <x v="5"/>
    <x v="1"/>
    <n v="9600"/>
  </r>
  <r>
    <x v="17"/>
    <x v="3"/>
    <n v="100005016"/>
    <x v="5"/>
    <x v="1"/>
    <n v="18000"/>
  </r>
  <r>
    <x v="17"/>
    <x v="3"/>
    <n v="100005007"/>
    <x v="2"/>
    <x v="1"/>
    <n v="12600"/>
  </r>
  <r>
    <x v="17"/>
    <x v="3"/>
    <n v="100005008"/>
    <x v="4"/>
    <x v="1"/>
    <n v="14400"/>
  </r>
  <r>
    <x v="17"/>
    <x v="3"/>
    <n v="100005000"/>
    <x v="6"/>
    <x v="2"/>
    <n v="7200"/>
  </r>
  <r>
    <x v="18"/>
    <x v="3"/>
    <n v="100005001"/>
    <x v="0"/>
    <x v="0"/>
    <n v="12000"/>
  </r>
  <r>
    <x v="18"/>
    <x v="3"/>
    <n v="100005002"/>
    <x v="1"/>
    <x v="0"/>
    <n v="7200"/>
  </r>
  <r>
    <x v="18"/>
    <x v="3"/>
    <n v="100005003"/>
    <x v="2"/>
    <x v="0"/>
    <n v="7200"/>
  </r>
  <r>
    <x v="18"/>
    <x v="3"/>
    <n v="100005004"/>
    <x v="3"/>
    <x v="0"/>
    <n v="9600"/>
  </r>
  <r>
    <x v="18"/>
    <x v="3"/>
    <n v="100005005"/>
    <x v="4"/>
    <x v="0"/>
    <n v="9600"/>
  </r>
  <r>
    <x v="18"/>
    <x v="3"/>
    <n v="100005006"/>
    <x v="0"/>
    <x v="1"/>
    <n v="20129.032258064519"/>
  </r>
  <r>
    <x v="18"/>
    <x v="3"/>
    <n v="100005009"/>
    <x v="5"/>
    <x v="1"/>
    <n v="12000"/>
  </r>
  <r>
    <x v="18"/>
    <x v="3"/>
    <n v="100005010"/>
    <x v="5"/>
    <x v="1"/>
    <n v="20129.032258064519"/>
  </r>
  <r>
    <x v="18"/>
    <x v="3"/>
    <n v="100005011"/>
    <x v="5"/>
    <x v="1"/>
    <n v="12000"/>
  </r>
  <r>
    <x v="18"/>
    <x v="3"/>
    <n v="100005012"/>
    <x v="5"/>
    <x v="1"/>
    <n v="12000"/>
  </r>
  <r>
    <x v="18"/>
    <x v="3"/>
    <n v="100005013"/>
    <x v="5"/>
    <x v="1"/>
    <n v="20129.032258064519"/>
  </r>
  <r>
    <x v="18"/>
    <x v="3"/>
    <n v="100005014"/>
    <x v="5"/>
    <x v="1"/>
    <n v="20129.032258064519"/>
  </r>
  <r>
    <x v="18"/>
    <x v="3"/>
    <n v="100005015"/>
    <x v="5"/>
    <x v="1"/>
    <n v="12000"/>
  </r>
  <r>
    <x v="18"/>
    <x v="3"/>
    <n v="100005016"/>
    <x v="5"/>
    <x v="1"/>
    <n v="12000"/>
  </r>
  <r>
    <x v="18"/>
    <x v="3"/>
    <n v="100005017"/>
    <x v="5"/>
    <x v="1"/>
    <n v="12000"/>
  </r>
  <r>
    <x v="18"/>
    <x v="3"/>
    <n v="100005007"/>
    <x v="2"/>
    <x v="1"/>
    <n v="8400"/>
  </r>
  <r>
    <x v="18"/>
    <x v="3"/>
    <n v="100005008"/>
    <x v="4"/>
    <x v="1"/>
    <n v="9600"/>
  </r>
  <r>
    <x v="18"/>
    <x v="3"/>
    <n v="100005000"/>
    <x v="6"/>
    <x v="2"/>
    <n v="4800"/>
  </r>
  <r>
    <x v="19"/>
    <x v="3"/>
    <n v="100005001"/>
    <x v="0"/>
    <x v="0"/>
    <n v="18000"/>
  </r>
  <r>
    <x v="19"/>
    <x v="3"/>
    <n v="100005002"/>
    <x v="1"/>
    <x v="0"/>
    <n v="10800"/>
  </r>
  <r>
    <x v="19"/>
    <x v="3"/>
    <n v="100005003"/>
    <x v="2"/>
    <x v="0"/>
    <n v="10800"/>
  </r>
  <r>
    <x v="19"/>
    <x v="3"/>
    <n v="100005004"/>
    <x v="3"/>
    <x v="0"/>
    <n v="14400"/>
  </r>
  <r>
    <x v="19"/>
    <x v="3"/>
    <n v="100005005"/>
    <x v="4"/>
    <x v="0"/>
    <n v="14400"/>
  </r>
  <r>
    <x v="19"/>
    <x v="3"/>
    <n v="100005006"/>
    <x v="0"/>
    <x v="1"/>
    <n v="9870.967741935483"/>
  </r>
  <r>
    <x v="19"/>
    <x v="3"/>
    <n v="100005009"/>
    <x v="5"/>
    <x v="1"/>
    <n v="18000"/>
  </r>
  <r>
    <x v="19"/>
    <x v="3"/>
    <n v="100005010"/>
    <x v="5"/>
    <x v="1"/>
    <n v="9870.967741935483"/>
  </r>
  <r>
    <x v="19"/>
    <x v="3"/>
    <n v="100005011"/>
    <x v="5"/>
    <x v="1"/>
    <n v="18000"/>
  </r>
  <r>
    <x v="19"/>
    <x v="3"/>
    <n v="100005012"/>
    <x v="5"/>
    <x v="1"/>
    <n v="18000"/>
  </r>
  <r>
    <x v="19"/>
    <x v="3"/>
    <n v="100005013"/>
    <x v="5"/>
    <x v="1"/>
    <n v="9870.967741935483"/>
  </r>
  <r>
    <x v="19"/>
    <x v="3"/>
    <n v="100005014"/>
    <x v="5"/>
    <x v="1"/>
    <n v="9870.967741935483"/>
  </r>
  <r>
    <x v="19"/>
    <x v="3"/>
    <n v="100005015"/>
    <x v="5"/>
    <x v="1"/>
    <n v="18000"/>
  </r>
  <r>
    <x v="19"/>
    <x v="3"/>
    <n v="100005016"/>
    <x v="5"/>
    <x v="1"/>
    <n v="18000"/>
  </r>
  <r>
    <x v="19"/>
    <x v="3"/>
    <n v="100005017"/>
    <x v="5"/>
    <x v="1"/>
    <n v="18000"/>
  </r>
  <r>
    <x v="19"/>
    <x v="3"/>
    <n v="100005007"/>
    <x v="2"/>
    <x v="1"/>
    <n v="12600"/>
  </r>
  <r>
    <x v="19"/>
    <x v="3"/>
    <n v="100005008"/>
    <x v="4"/>
    <x v="1"/>
    <n v="14400"/>
  </r>
  <r>
    <x v="19"/>
    <x v="3"/>
    <n v="100005000"/>
    <x v="6"/>
    <x v="2"/>
    <n v="7200"/>
  </r>
  <r>
    <x v="20"/>
    <x v="3"/>
    <n v="100005001"/>
    <x v="0"/>
    <x v="0"/>
    <n v="12000"/>
  </r>
  <r>
    <x v="20"/>
    <x v="3"/>
    <n v="100005002"/>
    <x v="1"/>
    <x v="0"/>
    <n v="7200"/>
  </r>
  <r>
    <x v="20"/>
    <x v="3"/>
    <n v="100005003"/>
    <x v="2"/>
    <x v="0"/>
    <n v="7200"/>
  </r>
  <r>
    <x v="20"/>
    <x v="3"/>
    <n v="100005004"/>
    <x v="3"/>
    <x v="0"/>
    <n v="9600"/>
  </r>
  <r>
    <x v="20"/>
    <x v="3"/>
    <n v="100005005"/>
    <x v="4"/>
    <x v="0"/>
    <n v="9600"/>
  </r>
  <r>
    <x v="20"/>
    <x v="3"/>
    <n v="100005006"/>
    <x v="0"/>
    <x v="1"/>
    <n v="12000"/>
  </r>
  <r>
    <x v="20"/>
    <x v="3"/>
    <n v="100005009"/>
    <x v="5"/>
    <x v="1"/>
    <n v="12000"/>
  </r>
  <r>
    <x v="20"/>
    <x v="3"/>
    <n v="100005010"/>
    <x v="5"/>
    <x v="1"/>
    <n v="12000"/>
  </r>
  <r>
    <x v="20"/>
    <x v="3"/>
    <n v="100005011"/>
    <x v="5"/>
    <x v="1"/>
    <n v="12000"/>
  </r>
  <r>
    <x v="20"/>
    <x v="3"/>
    <n v="100005012"/>
    <x v="5"/>
    <x v="1"/>
    <n v="20400"/>
  </r>
  <r>
    <x v="20"/>
    <x v="3"/>
    <n v="100005013"/>
    <x v="5"/>
    <x v="1"/>
    <n v="12000"/>
  </r>
  <r>
    <x v="20"/>
    <x v="3"/>
    <n v="100005014"/>
    <x v="5"/>
    <x v="1"/>
    <n v="12000"/>
  </r>
  <r>
    <x v="20"/>
    <x v="3"/>
    <n v="100005015"/>
    <x v="5"/>
    <x v="1"/>
    <n v="20400"/>
  </r>
  <r>
    <x v="20"/>
    <x v="3"/>
    <n v="100005016"/>
    <x v="5"/>
    <x v="1"/>
    <n v="20400"/>
  </r>
  <r>
    <x v="20"/>
    <x v="3"/>
    <n v="100005017"/>
    <x v="5"/>
    <x v="1"/>
    <n v="12000"/>
  </r>
  <r>
    <x v="20"/>
    <x v="3"/>
    <n v="100005007"/>
    <x v="2"/>
    <x v="1"/>
    <n v="8400"/>
  </r>
  <r>
    <x v="20"/>
    <x v="3"/>
    <n v="100005008"/>
    <x v="4"/>
    <x v="1"/>
    <n v="9600"/>
  </r>
  <r>
    <x v="20"/>
    <x v="3"/>
    <n v="100005000"/>
    <x v="6"/>
    <x v="2"/>
    <n v="4800"/>
  </r>
  <r>
    <x v="21"/>
    <x v="3"/>
    <n v="100005001"/>
    <x v="0"/>
    <x v="0"/>
    <n v="18000"/>
  </r>
  <r>
    <x v="21"/>
    <x v="3"/>
    <n v="100005002"/>
    <x v="1"/>
    <x v="0"/>
    <n v="10800"/>
  </r>
  <r>
    <x v="21"/>
    <x v="3"/>
    <n v="100005003"/>
    <x v="2"/>
    <x v="0"/>
    <n v="10800"/>
  </r>
  <r>
    <x v="21"/>
    <x v="3"/>
    <n v="100005004"/>
    <x v="3"/>
    <x v="0"/>
    <n v="14400"/>
  </r>
  <r>
    <x v="21"/>
    <x v="3"/>
    <n v="100005005"/>
    <x v="4"/>
    <x v="0"/>
    <n v="14400"/>
  </r>
  <r>
    <x v="21"/>
    <x v="3"/>
    <n v="100005006"/>
    <x v="0"/>
    <x v="1"/>
    <n v="18000"/>
  </r>
  <r>
    <x v="21"/>
    <x v="3"/>
    <n v="100005009"/>
    <x v="5"/>
    <x v="1"/>
    <n v="18000"/>
  </r>
  <r>
    <x v="21"/>
    <x v="3"/>
    <n v="100005010"/>
    <x v="5"/>
    <x v="1"/>
    <n v="18000"/>
  </r>
  <r>
    <x v="21"/>
    <x v="3"/>
    <n v="100005011"/>
    <x v="5"/>
    <x v="1"/>
    <n v="18000"/>
  </r>
  <r>
    <x v="21"/>
    <x v="3"/>
    <n v="100005012"/>
    <x v="5"/>
    <x v="1"/>
    <n v="9600"/>
  </r>
  <r>
    <x v="21"/>
    <x v="3"/>
    <n v="100005013"/>
    <x v="5"/>
    <x v="1"/>
    <n v="18000"/>
  </r>
  <r>
    <x v="21"/>
    <x v="3"/>
    <n v="100005014"/>
    <x v="5"/>
    <x v="1"/>
    <n v="18000"/>
  </r>
  <r>
    <x v="21"/>
    <x v="3"/>
    <n v="100005015"/>
    <x v="5"/>
    <x v="1"/>
    <n v="9600"/>
  </r>
  <r>
    <x v="21"/>
    <x v="3"/>
    <n v="100005016"/>
    <x v="5"/>
    <x v="1"/>
    <n v="9600"/>
  </r>
  <r>
    <x v="21"/>
    <x v="3"/>
    <n v="100005017"/>
    <x v="5"/>
    <x v="1"/>
    <n v="18000"/>
  </r>
  <r>
    <x v="21"/>
    <x v="3"/>
    <n v="100005007"/>
    <x v="2"/>
    <x v="1"/>
    <n v="12600"/>
  </r>
  <r>
    <x v="21"/>
    <x v="3"/>
    <n v="100005008"/>
    <x v="4"/>
    <x v="1"/>
    <n v="14400"/>
  </r>
  <r>
    <x v="21"/>
    <x v="3"/>
    <n v="100005000"/>
    <x v="6"/>
    <x v="2"/>
    <n v="7200"/>
  </r>
  <r>
    <x v="22"/>
    <x v="3"/>
    <n v="100005001"/>
    <x v="0"/>
    <x v="0"/>
    <n v="12000"/>
  </r>
  <r>
    <x v="22"/>
    <x v="3"/>
    <n v="100005002"/>
    <x v="1"/>
    <x v="0"/>
    <n v="12077.419354838708"/>
  </r>
  <r>
    <x v="22"/>
    <x v="3"/>
    <n v="100005003"/>
    <x v="2"/>
    <x v="0"/>
    <n v="7200"/>
  </r>
  <r>
    <x v="22"/>
    <x v="3"/>
    <n v="100005004"/>
    <x v="3"/>
    <x v="0"/>
    <n v="9600"/>
  </r>
  <r>
    <x v="22"/>
    <x v="3"/>
    <n v="100005005"/>
    <x v="4"/>
    <x v="0"/>
    <n v="9600"/>
  </r>
  <r>
    <x v="22"/>
    <x v="3"/>
    <n v="100005006"/>
    <x v="0"/>
    <x v="1"/>
    <n v="12000"/>
  </r>
  <r>
    <x v="22"/>
    <x v="3"/>
    <n v="100005009"/>
    <x v="5"/>
    <x v="1"/>
    <n v="12000"/>
  </r>
  <r>
    <x v="22"/>
    <x v="3"/>
    <n v="100005010"/>
    <x v="5"/>
    <x v="1"/>
    <n v="12000"/>
  </r>
  <r>
    <x v="22"/>
    <x v="3"/>
    <n v="100005011"/>
    <x v="5"/>
    <x v="1"/>
    <n v="20129.032258064519"/>
  </r>
  <r>
    <x v="22"/>
    <x v="3"/>
    <n v="100005012"/>
    <x v="5"/>
    <x v="1"/>
    <n v="12000"/>
  </r>
  <r>
    <x v="22"/>
    <x v="3"/>
    <n v="100005013"/>
    <x v="5"/>
    <x v="1"/>
    <n v="12000"/>
  </r>
  <r>
    <x v="22"/>
    <x v="3"/>
    <n v="100005014"/>
    <x v="5"/>
    <x v="1"/>
    <n v="20129.032258064519"/>
  </r>
  <r>
    <x v="22"/>
    <x v="3"/>
    <n v="100005015"/>
    <x v="5"/>
    <x v="1"/>
    <n v="12000"/>
  </r>
  <r>
    <x v="22"/>
    <x v="3"/>
    <n v="100005016"/>
    <x v="5"/>
    <x v="1"/>
    <n v="12000"/>
  </r>
  <r>
    <x v="22"/>
    <x v="3"/>
    <n v="100005017"/>
    <x v="5"/>
    <x v="1"/>
    <n v="20129.032258064519"/>
  </r>
  <r>
    <x v="22"/>
    <x v="3"/>
    <n v="100005018"/>
    <x v="5"/>
    <x v="1"/>
    <n v="12000"/>
  </r>
  <r>
    <x v="22"/>
    <x v="3"/>
    <n v="100005007"/>
    <x v="2"/>
    <x v="1"/>
    <n v="8400"/>
  </r>
  <r>
    <x v="22"/>
    <x v="3"/>
    <n v="100005008"/>
    <x v="4"/>
    <x v="1"/>
    <n v="9600"/>
  </r>
  <r>
    <x v="22"/>
    <x v="3"/>
    <n v="100005000"/>
    <x v="6"/>
    <x v="2"/>
    <n v="4800"/>
  </r>
  <r>
    <x v="23"/>
    <x v="3"/>
    <n v="100005001"/>
    <x v="0"/>
    <x v="0"/>
    <n v="18000"/>
  </r>
  <r>
    <x v="23"/>
    <x v="3"/>
    <n v="100005002"/>
    <x v="1"/>
    <x v="0"/>
    <n v="5922.5806451612898"/>
  </r>
  <r>
    <x v="23"/>
    <x v="3"/>
    <n v="100005003"/>
    <x v="2"/>
    <x v="0"/>
    <n v="10800"/>
  </r>
  <r>
    <x v="23"/>
    <x v="3"/>
    <n v="100005004"/>
    <x v="3"/>
    <x v="0"/>
    <n v="14400"/>
  </r>
  <r>
    <x v="23"/>
    <x v="3"/>
    <n v="100005005"/>
    <x v="4"/>
    <x v="0"/>
    <n v="14400"/>
  </r>
  <r>
    <x v="23"/>
    <x v="3"/>
    <n v="100005006"/>
    <x v="0"/>
    <x v="1"/>
    <n v="18000"/>
  </r>
  <r>
    <x v="23"/>
    <x v="3"/>
    <n v="100005009"/>
    <x v="5"/>
    <x v="1"/>
    <n v="18000"/>
  </r>
  <r>
    <x v="23"/>
    <x v="3"/>
    <n v="100005010"/>
    <x v="5"/>
    <x v="1"/>
    <n v="18000"/>
  </r>
  <r>
    <x v="23"/>
    <x v="3"/>
    <n v="100005011"/>
    <x v="5"/>
    <x v="1"/>
    <n v="9870.967741935483"/>
  </r>
  <r>
    <x v="23"/>
    <x v="3"/>
    <n v="100005012"/>
    <x v="5"/>
    <x v="1"/>
    <n v="18000"/>
  </r>
  <r>
    <x v="23"/>
    <x v="3"/>
    <n v="100005013"/>
    <x v="5"/>
    <x v="1"/>
    <n v="18000"/>
  </r>
  <r>
    <x v="23"/>
    <x v="3"/>
    <n v="100005014"/>
    <x v="5"/>
    <x v="1"/>
    <n v="9870.967741935483"/>
  </r>
  <r>
    <x v="23"/>
    <x v="3"/>
    <n v="100005015"/>
    <x v="5"/>
    <x v="1"/>
    <n v="18000"/>
  </r>
  <r>
    <x v="23"/>
    <x v="3"/>
    <n v="100005016"/>
    <x v="5"/>
    <x v="1"/>
    <n v="18000"/>
  </r>
  <r>
    <x v="23"/>
    <x v="3"/>
    <n v="100005017"/>
    <x v="5"/>
    <x v="1"/>
    <n v="9870.967741935483"/>
  </r>
  <r>
    <x v="23"/>
    <x v="3"/>
    <n v="100005018"/>
    <x v="5"/>
    <x v="1"/>
    <n v="18000"/>
  </r>
  <r>
    <x v="23"/>
    <x v="3"/>
    <n v="100005007"/>
    <x v="2"/>
    <x v="1"/>
    <n v="12600"/>
  </r>
  <r>
    <x v="23"/>
    <x v="3"/>
    <n v="100005008"/>
    <x v="4"/>
    <x v="1"/>
    <n v="14400"/>
  </r>
  <r>
    <x v="23"/>
    <x v="3"/>
    <n v="100005000"/>
    <x v="6"/>
    <x v="2"/>
    <n v="7200"/>
  </r>
  <r>
    <x v="0"/>
    <x v="4"/>
    <n v="100005001"/>
    <x v="0"/>
    <x v="0"/>
    <n v="3400"/>
  </r>
  <r>
    <x v="0"/>
    <x v="4"/>
    <n v="100005002"/>
    <x v="1"/>
    <x v="0"/>
    <n v="3400"/>
  </r>
  <r>
    <x v="0"/>
    <x v="4"/>
    <n v="100005003"/>
    <x v="2"/>
    <x v="0"/>
    <n v="3400"/>
  </r>
  <r>
    <x v="0"/>
    <x v="4"/>
    <n v="100005004"/>
    <x v="3"/>
    <x v="0"/>
    <n v="3400"/>
  </r>
  <r>
    <x v="0"/>
    <x v="4"/>
    <n v="100005005"/>
    <x v="4"/>
    <x v="0"/>
    <n v="3400"/>
  </r>
  <r>
    <x v="0"/>
    <x v="4"/>
    <n v="100005006"/>
    <x v="0"/>
    <x v="1"/>
    <n v="3400"/>
  </r>
  <r>
    <x v="0"/>
    <x v="4"/>
    <n v="100005009"/>
    <x v="5"/>
    <x v="1"/>
    <n v="3400"/>
  </r>
  <r>
    <x v="0"/>
    <x v="4"/>
    <n v="100005007"/>
    <x v="2"/>
    <x v="1"/>
    <n v="3400"/>
  </r>
  <r>
    <x v="0"/>
    <x v="4"/>
    <n v="100005008"/>
    <x v="4"/>
    <x v="1"/>
    <n v="3400"/>
  </r>
  <r>
    <x v="0"/>
    <x v="4"/>
    <n v="100005000"/>
    <x v="6"/>
    <x v="2"/>
    <n v="3400"/>
  </r>
  <r>
    <x v="2"/>
    <x v="4"/>
    <n v="100005001"/>
    <x v="0"/>
    <x v="0"/>
    <n v="4000"/>
  </r>
  <r>
    <x v="2"/>
    <x v="4"/>
    <n v="100005002"/>
    <x v="1"/>
    <x v="0"/>
    <n v="4000"/>
  </r>
  <r>
    <x v="2"/>
    <x v="4"/>
    <n v="100005003"/>
    <x v="2"/>
    <x v="0"/>
    <n v="4000"/>
  </r>
  <r>
    <x v="2"/>
    <x v="4"/>
    <n v="100005004"/>
    <x v="3"/>
    <x v="0"/>
    <n v="4000"/>
  </r>
  <r>
    <x v="2"/>
    <x v="4"/>
    <n v="100005005"/>
    <x v="4"/>
    <x v="0"/>
    <n v="4000"/>
  </r>
  <r>
    <x v="2"/>
    <x v="4"/>
    <n v="100005006"/>
    <x v="0"/>
    <x v="1"/>
    <n v="4000"/>
  </r>
  <r>
    <x v="2"/>
    <x v="4"/>
    <n v="100005009"/>
    <x v="5"/>
    <x v="1"/>
    <n v="4000"/>
  </r>
  <r>
    <x v="2"/>
    <x v="4"/>
    <n v="100005010"/>
    <x v="5"/>
    <x v="1"/>
    <n v="4000"/>
  </r>
  <r>
    <x v="2"/>
    <x v="4"/>
    <n v="100005007"/>
    <x v="2"/>
    <x v="1"/>
    <n v="4000"/>
  </r>
  <r>
    <x v="2"/>
    <x v="4"/>
    <n v="100005008"/>
    <x v="4"/>
    <x v="1"/>
    <n v="4000"/>
  </r>
  <r>
    <x v="2"/>
    <x v="4"/>
    <n v="100005000"/>
    <x v="6"/>
    <x v="2"/>
    <n v="4000"/>
  </r>
  <r>
    <x v="4"/>
    <x v="4"/>
    <n v="100005001"/>
    <x v="0"/>
    <x v="0"/>
    <n v="4000"/>
  </r>
  <r>
    <x v="4"/>
    <x v="4"/>
    <n v="100005002"/>
    <x v="1"/>
    <x v="0"/>
    <n v="4000"/>
  </r>
  <r>
    <x v="4"/>
    <x v="4"/>
    <n v="100005003"/>
    <x v="2"/>
    <x v="0"/>
    <n v="4000"/>
  </r>
  <r>
    <x v="4"/>
    <x v="4"/>
    <n v="100005004"/>
    <x v="3"/>
    <x v="0"/>
    <n v="4000"/>
  </r>
  <r>
    <x v="4"/>
    <x v="4"/>
    <n v="100005005"/>
    <x v="4"/>
    <x v="0"/>
    <n v="4000"/>
  </r>
  <r>
    <x v="4"/>
    <x v="4"/>
    <n v="100005006"/>
    <x v="0"/>
    <x v="1"/>
    <n v="4000"/>
  </r>
  <r>
    <x v="4"/>
    <x v="4"/>
    <n v="100005009"/>
    <x v="5"/>
    <x v="1"/>
    <n v="4000"/>
  </r>
  <r>
    <x v="4"/>
    <x v="4"/>
    <n v="100005010"/>
    <x v="5"/>
    <x v="1"/>
    <n v="4000"/>
  </r>
  <r>
    <x v="4"/>
    <x v="4"/>
    <n v="100005011"/>
    <x v="5"/>
    <x v="1"/>
    <n v="4000"/>
  </r>
  <r>
    <x v="4"/>
    <x v="4"/>
    <n v="100005007"/>
    <x v="2"/>
    <x v="1"/>
    <n v="4000"/>
  </r>
  <r>
    <x v="4"/>
    <x v="4"/>
    <n v="100005008"/>
    <x v="4"/>
    <x v="1"/>
    <n v="4000"/>
  </r>
  <r>
    <x v="4"/>
    <x v="4"/>
    <n v="100005000"/>
    <x v="6"/>
    <x v="2"/>
    <n v="4000"/>
  </r>
  <r>
    <x v="6"/>
    <x v="4"/>
    <n v="100005001"/>
    <x v="0"/>
    <x v="0"/>
    <n v="4200"/>
  </r>
  <r>
    <x v="6"/>
    <x v="4"/>
    <n v="100005002"/>
    <x v="1"/>
    <x v="0"/>
    <n v="4200"/>
  </r>
  <r>
    <x v="6"/>
    <x v="4"/>
    <n v="100005003"/>
    <x v="2"/>
    <x v="0"/>
    <n v="4200"/>
  </r>
  <r>
    <x v="6"/>
    <x v="4"/>
    <n v="100005004"/>
    <x v="3"/>
    <x v="0"/>
    <n v="4200"/>
  </r>
  <r>
    <x v="6"/>
    <x v="4"/>
    <n v="100005005"/>
    <x v="4"/>
    <x v="0"/>
    <n v="4200"/>
  </r>
  <r>
    <x v="6"/>
    <x v="4"/>
    <n v="100005006"/>
    <x v="0"/>
    <x v="1"/>
    <n v="4200"/>
  </r>
  <r>
    <x v="6"/>
    <x v="4"/>
    <n v="100005009"/>
    <x v="5"/>
    <x v="1"/>
    <n v="4200"/>
  </r>
  <r>
    <x v="6"/>
    <x v="4"/>
    <n v="100005010"/>
    <x v="5"/>
    <x v="1"/>
    <n v="4200"/>
  </r>
  <r>
    <x v="6"/>
    <x v="4"/>
    <n v="100005011"/>
    <x v="5"/>
    <x v="1"/>
    <n v="4200"/>
  </r>
  <r>
    <x v="6"/>
    <x v="4"/>
    <n v="100005012"/>
    <x v="5"/>
    <x v="1"/>
    <n v="4200"/>
  </r>
  <r>
    <x v="6"/>
    <x v="4"/>
    <n v="100005007"/>
    <x v="2"/>
    <x v="1"/>
    <n v="4200"/>
  </r>
  <r>
    <x v="6"/>
    <x v="4"/>
    <n v="100005008"/>
    <x v="4"/>
    <x v="1"/>
    <n v="4200"/>
  </r>
  <r>
    <x v="6"/>
    <x v="4"/>
    <n v="100005000"/>
    <x v="6"/>
    <x v="2"/>
    <n v="4200"/>
  </r>
  <r>
    <x v="8"/>
    <x v="4"/>
    <n v="100005001"/>
    <x v="0"/>
    <x v="0"/>
    <n v="4000"/>
  </r>
  <r>
    <x v="8"/>
    <x v="4"/>
    <n v="100005002"/>
    <x v="1"/>
    <x v="0"/>
    <n v="4000"/>
  </r>
  <r>
    <x v="8"/>
    <x v="4"/>
    <n v="100005003"/>
    <x v="2"/>
    <x v="0"/>
    <n v="4000"/>
  </r>
  <r>
    <x v="8"/>
    <x v="4"/>
    <n v="100005004"/>
    <x v="3"/>
    <x v="0"/>
    <n v="4000"/>
  </r>
  <r>
    <x v="8"/>
    <x v="4"/>
    <n v="100005005"/>
    <x v="4"/>
    <x v="0"/>
    <n v="4000"/>
  </r>
  <r>
    <x v="8"/>
    <x v="4"/>
    <n v="100005006"/>
    <x v="0"/>
    <x v="1"/>
    <n v="4000"/>
  </r>
  <r>
    <x v="8"/>
    <x v="4"/>
    <n v="100005009"/>
    <x v="5"/>
    <x v="1"/>
    <n v="4000"/>
  </r>
  <r>
    <x v="8"/>
    <x v="4"/>
    <n v="100005010"/>
    <x v="5"/>
    <x v="1"/>
    <n v="4000"/>
  </r>
  <r>
    <x v="8"/>
    <x v="4"/>
    <n v="100005011"/>
    <x v="5"/>
    <x v="1"/>
    <n v="4000"/>
  </r>
  <r>
    <x v="8"/>
    <x v="4"/>
    <n v="100005012"/>
    <x v="5"/>
    <x v="1"/>
    <n v="4000"/>
  </r>
  <r>
    <x v="8"/>
    <x v="4"/>
    <n v="100005007"/>
    <x v="2"/>
    <x v="1"/>
    <n v="4000"/>
  </r>
  <r>
    <x v="8"/>
    <x v="4"/>
    <n v="100005008"/>
    <x v="4"/>
    <x v="1"/>
    <n v="4000"/>
  </r>
  <r>
    <x v="8"/>
    <x v="4"/>
    <n v="100005000"/>
    <x v="6"/>
    <x v="2"/>
    <n v="4000"/>
  </r>
  <r>
    <x v="10"/>
    <x v="4"/>
    <n v="100005001"/>
    <x v="0"/>
    <x v="0"/>
    <n v="3800"/>
  </r>
  <r>
    <x v="10"/>
    <x v="4"/>
    <n v="100005002"/>
    <x v="1"/>
    <x v="0"/>
    <n v="3800"/>
  </r>
  <r>
    <x v="10"/>
    <x v="4"/>
    <n v="100005003"/>
    <x v="2"/>
    <x v="0"/>
    <n v="3800"/>
  </r>
  <r>
    <x v="10"/>
    <x v="4"/>
    <n v="100005004"/>
    <x v="3"/>
    <x v="0"/>
    <n v="3800"/>
  </r>
  <r>
    <x v="10"/>
    <x v="4"/>
    <n v="100005005"/>
    <x v="4"/>
    <x v="0"/>
    <n v="3800"/>
  </r>
  <r>
    <x v="10"/>
    <x v="4"/>
    <n v="100005006"/>
    <x v="0"/>
    <x v="1"/>
    <n v="3800"/>
  </r>
  <r>
    <x v="10"/>
    <x v="4"/>
    <n v="100005009"/>
    <x v="5"/>
    <x v="1"/>
    <n v="3800"/>
  </r>
  <r>
    <x v="10"/>
    <x v="4"/>
    <n v="100005010"/>
    <x v="5"/>
    <x v="1"/>
    <n v="3800"/>
  </r>
  <r>
    <x v="10"/>
    <x v="4"/>
    <n v="100005011"/>
    <x v="5"/>
    <x v="1"/>
    <n v="3800"/>
  </r>
  <r>
    <x v="10"/>
    <x v="4"/>
    <n v="100005012"/>
    <x v="5"/>
    <x v="1"/>
    <n v="3800"/>
  </r>
  <r>
    <x v="10"/>
    <x v="4"/>
    <n v="100005013"/>
    <x v="5"/>
    <x v="1"/>
    <n v="3800"/>
  </r>
  <r>
    <x v="10"/>
    <x v="4"/>
    <n v="100005007"/>
    <x v="2"/>
    <x v="1"/>
    <n v="3800"/>
  </r>
  <r>
    <x v="10"/>
    <x v="4"/>
    <n v="100005008"/>
    <x v="4"/>
    <x v="1"/>
    <n v="3800"/>
  </r>
  <r>
    <x v="10"/>
    <x v="4"/>
    <n v="100005000"/>
    <x v="6"/>
    <x v="2"/>
    <n v="3800"/>
  </r>
  <r>
    <x v="12"/>
    <x v="4"/>
    <n v="100005001"/>
    <x v="0"/>
    <x v="0"/>
    <n v="4600"/>
  </r>
  <r>
    <x v="12"/>
    <x v="4"/>
    <n v="100005002"/>
    <x v="1"/>
    <x v="0"/>
    <n v="4600"/>
  </r>
  <r>
    <x v="12"/>
    <x v="4"/>
    <n v="100005003"/>
    <x v="2"/>
    <x v="0"/>
    <n v="4600"/>
  </r>
  <r>
    <x v="12"/>
    <x v="4"/>
    <n v="100005004"/>
    <x v="3"/>
    <x v="0"/>
    <n v="4600"/>
  </r>
  <r>
    <x v="12"/>
    <x v="4"/>
    <n v="100005005"/>
    <x v="4"/>
    <x v="0"/>
    <n v="4600"/>
  </r>
  <r>
    <x v="12"/>
    <x v="4"/>
    <n v="100005006"/>
    <x v="0"/>
    <x v="1"/>
    <n v="4600"/>
  </r>
  <r>
    <x v="12"/>
    <x v="4"/>
    <n v="100005009"/>
    <x v="5"/>
    <x v="1"/>
    <n v="4600"/>
  </r>
  <r>
    <x v="12"/>
    <x v="4"/>
    <n v="100005010"/>
    <x v="5"/>
    <x v="1"/>
    <n v="4600"/>
  </r>
  <r>
    <x v="12"/>
    <x v="4"/>
    <n v="100005011"/>
    <x v="5"/>
    <x v="1"/>
    <n v="4600"/>
  </r>
  <r>
    <x v="12"/>
    <x v="4"/>
    <n v="100005012"/>
    <x v="5"/>
    <x v="1"/>
    <n v="4600"/>
  </r>
  <r>
    <x v="12"/>
    <x v="4"/>
    <n v="100005013"/>
    <x v="5"/>
    <x v="1"/>
    <n v="4600"/>
  </r>
  <r>
    <x v="12"/>
    <x v="4"/>
    <n v="100005014"/>
    <x v="5"/>
    <x v="1"/>
    <n v="4600"/>
  </r>
  <r>
    <x v="12"/>
    <x v="4"/>
    <n v="100005007"/>
    <x v="2"/>
    <x v="1"/>
    <n v="4600"/>
  </r>
  <r>
    <x v="12"/>
    <x v="4"/>
    <n v="100005008"/>
    <x v="4"/>
    <x v="1"/>
    <n v="4600"/>
  </r>
  <r>
    <x v="12"/>
    <x v="4"/>
    <n v="100005000"/>
    <x v="6"/>
    <x v="2"/>
    <n v="4600"/>
  </r>
  <r>
    <x v="14"/>
    <x v="4"/>
    <n v="100005001"/>
    <x v="0"/>
    <x v="0"/>
    <n v="4400"/>
  </r>
  <r>
    <x v="14"/>
    <x v="4"/>
    <n v="100005002"/>
    <x v="1"/>
    <x v="0"/>
    <n v="4400"/>
  </r>
  <r>
    <x v="14"/>
    <x v="4"/>
    <n v="100005003"/>
    <x v="2"/>
    <x v="0"/>
    <n v="4400"/>
  </r>
  <r>
    <x v="14"/>
    <x v="4"/>
    <n v="100005004"/>
    <x v="3"/>
    <x v="0"/>
    <n v="4400"/>
  </r>
  <r>
    <x v="14"/>
    <x v="4"/>
    <n v="100005005"/>
    <x v="4"/>
    <x v="0"/>
    <n v="4400"/>
  </r>
  <r>
    <x v="14"/>
    <x v="4"/>
    <n v="100005006"/>
    <x v="0"/>
    <x v="1"/>
    <n v="4400"/>
  </r>
  <r>
    <x v="14"/>
    <x v="4"/>
    <n v="100005009"/>
    <x v="5"/>
    <x v="1"/>
    <n v="4400"/>
  </r>
  <r>
    <x v="14"/>
    <x v="4"/>
    <n v="100005010"/>
    <x v="5"/>
    <x v="1"/>
    <n v="4400"/>
  </r>
  <r>
    <x v="14"/>
    <x v="4"/>
    <n v="100005011"/>
    <x v="5"/>
    <x v="1"/>
    <n v="4400"/>
  </r>
  <r>
    <x v="14"/>
    <x v="4"/>
    <n v="100005012"/>
    <x v="5"/>
    <x v="1"/>
    <n v="4400"/>
  </r>
  <r>
    <x v="14"/>
    <x v="4"/>
    <n v="100005013"/>
    <x v="5"/>
    <x v="1"/>
    <n v="4400"/>
  </r>
  <r>
    <x v="14"/>
    <x v="4"/>
    <n v="100005014"/>
    <x v="5"/>
    <x v="1"/>
    <n v="4400"/>
  </r>
  <r>
    <x v="14"/>
    <x v="4"/>
    <n v="100005015"/>
    <x v="5"/>
    <x v="1"/>
    <n v="4400"/>
  </r>
  <r>
    <x v="14"/>
    <x v="4"/>
    <n v="100005007"/>
    <x v="2"/>
    <x v="1"/>
    <n v="4400"/>
  </r>
  <r>
    <x v="14"/>
    <x v="4"/>
    <n v="100005008"/>
    <x v="4"/>
    <x v="1"/>
    <n v="4400"/>
  </r>
  <r>
    <x v="14"/>
    <x v="4"/>
    <n v="100005000"/>
    <x v="6"/>
    <x v="2"/>
    <n v="4400"/>
  </r>
  <r>
    <x v="16"/>
    <x v="4"/>
    <n v="100005001"/>
    <x v="0"/>
    <x v="0"/>
    <n v="4200"/>
  </r>
  <r>
    <x v="16"/>
    <x v="4"/>
    <n v="100005002"/>
    <x v="1"/>
    <x v="0"/>
    <n v="4200"/>
  </r>
  <r>
    <x v="16"/>
    <x v="4"/>
    <n v="100005003"/>
    <x v="2"/>
    <x v="0"/>
    <n v="4200"/>
  </r>
  <r>
    <x v="16"/>
    <x v="4"/>
    <n v="100005004"/>
    <x v="3"/>
    <x v="0"/>
    <n v="4200"/>
  </r>
  <r>
    <x v="16"/>
    <x v="4"/>
    <n v="100005005"/>
    <x v="4"/>
    <x v="0"/>
    <n v="4200"/>
  </r>
  <r>
    <x v="16"/>
    <x v="4"/>
    <n v="100005006"/>
    <x v="0"/>
    <x v="1"/>
    <n v="4200"/>
  </r>
  <r>
    <x v="16"/>
    <x v="4"/>
    <n v="100005009"/>
    <x v="5"/>
    <x v="1"/>
    <n v="4200"/>
  </r>
  <r>
    <x v="16"/>
    <x v="4"/>
    <n v="100005010"/>
    <x v="5"/>
    <x v="1"/>
    <n v="4200"/>
  </r>
  <r>
    <x v="16"/>
    <x v="4"/>
    <n v="100005011"/>
    <x v="5"/>
    <x v="1"/>
    <n v="4200"/>
  </r>
  <r>
    <x v="16"/>
    <x v="4"/>
    <n v="100005012"/>
    <x v="5"/>
    <x v="1"/>
    <n v="4200"/>
  </r>
  <r>
    <x v="16"/>
    <x v="4"/>
    <n v="100005013"/>
    <x v="5"/>
    <x v="1"/>
    <n v="4200"/>
  </r>
  <r>
    <x v="16"/>
    <x v="4"/>
    <n v="100005014"/>
    <x v="5"/>
    <x v="1"/>
    <n v="4200"/>
  </r>
  <r>
    <x v="16"/>
    <x v="4"/>
    <n v="100005015"/>
    <x v="5"/>
    <x v="1"/>
    <n v="4200"/>
  </r>
  <r>
    <x v="16"/>
    <x v="4"/>
    <n v="100005016"/>
    <x v="5"/>
    <x v="1"/>
    <n v="4200"/>
  </r>
  <r>
    <x v="16"/>
    <x v="4"/>
    <n v="100005007"/>
    <x v="2"/>
    <x v="1"/>
    <n v="4200"/>
  </r>
  <r>
    <x v="16"/>
    <x v="4"/>
    <n v="100005008"/>
    <x v="4"/>
    <x v="1"/>
    <n v="4200"/>
  </r>
  <r>
    <x v="16"/>
    <x v="4"/>
    <n v="100005000"/>
    <x v="6"/>
    <x v="2"/>
    <n v="4200"/>
  </r>
  <r>
    <x v="18"/>
    <x v="4"/>
    <n v="100005001"/>
    <x v="0"/>
    <x v="0"/>
    <n v="4600"/>
  </r>
  <r>
    <x v="18"/>
    <x v="4"/>
    <n v="100005002"/>
    <x v="1"/>
    <x v="0"/>
    <n v="4600"/>
  </r>
  <r>
    <x v="18"/>
    <x v="4"/>
    <n v="100005003"/>
    <x v="2"/>
    <x v="0"/>
    <n v="4600"/>
  </r>
  <r>
    <x v="18"/>
    <x v="4"/>
    <n v="100005004"/>
    <x v="3"/>
    <x v="0"/>
    <n v="4600"/>
  </r>
  <r>
    <x v="18"/>
    <x v="4"/>
    <n v="100005005"/>
    <x v="4"/>
    <x v="0"/>
    <n v="4600"/>
  </r>
  <r>
    <x v="18"/>
    <x v="4"/>
    <n v="100005006"/>
    <x v="0"/>
    <x v="1"/>
    <n v="4600"/>
  </r>
  <r>
    <x v="18"/>
    <x v="4"/>
    <n v="100005009"/>
    <x v="5"/>
    <x v="1"/>
    <n v="4600"/>
  </r>
  <r>
    <x v="18"/>
    <x v="4"/>
    <n v="100005010"/>
    <x v="5"/>
    <x v="1"/>
    <n v="4600"/>
  </r>
  <r>
    <x v="18"/>
    <x v="4"/>
    <n v="100005011"/>
    <x v="5"/>
    <x v="1"/>
    <n v="4600"/>
  </r>
  <r>
    <x v="18"/>
    <x v="4"/>
    <n v="100005012"/>
    <x v="5"/>
    <x v="1"/>
    <n v="4600"/>
  </r>
  <r>
    <x v="18"/>
    <x v="4"/>
    <n v="100005013"/>
    <x v="5"/>
    <x v="1"/>
    <n v="4600"/>
  </r>
  <r>
    <x v="18"/>
    <x v="4"/>
    <n v="100005014"/>
    <x v="5"/>
    <x v="1"/>
    <n v="4600"/>
  </r>
  <r>
    <x v="18"/>
    <x v="4"/>
    <n v="100005015"/>
    <x v="5"/>
    <x v="1"/>
    <n v="4600"/>
  </r>
  <r>
    <x v="18"/>
    <x v="4"/>
    <n v="100005016"/>
    <x v="5"/>
    <x v="1"/>
    <n v="4600"/>
  </r>
  <r>
    <x v="18"/>
    <x v="4"/>
    <n v="100005017"/>
    <x v="5"/>
    <x v="1"/>
    <n v="4600"/>
  </r>
  <r>
    <x v="18"/>
    <x v="4"/>
    <n v="100005007"/>
    <x v="2"/>
    <x v="1"/>
    <n v="4600"/>
  </r>
  <r>
    <x v="18"/>
    <x v="4"/>
    <n v="100005008"/>
    <x v="4"/>
    <x v="1"/>
    <n v="4600"/>
  </r>
  <r>
    <x v="18"/>
    <x v="4"/>
    <n v="100005000"/>
    <x v="6"/>
    <x v="2"/>
    <n v="4600"/>
  </r>
  <r>
    <x v="20"/>
    <x v="4"/>
    <n v="100005001"/>
    <x v="0"/>
    <x v="0"/>
    <n v="4200"/>
  </r>
  <r>
    <x v="20"/>
    <x v="4"/>
    <n v="100005002"/>
    <x v="1"/>
    <x v="0"/>
    <n v="4200"/>
  </r>
  <r>
    <x v="20"/>
    <x v="4"/>
    <n v="100005003"/>
    <x v="2"/>
    <x v="0"/>
    <n v="4200"/>
  </r>
  <r>
    <x v="20"/>
    <x v="4"/>
    <n v="100005004"/>
    <x v="3"/>
    <x v="0"/>
    <n v="4200"/>
  </r>
  <r>
    <x v="20"/>
    <x v="4"/>
    <n v="100005005"/>
    <x v="4"/>
    <x v="0"/>
    <n v="4200"/>
  </r>
  <r>
    <x v="20"/>
    <x v="4"/>
    <n v="100005006"/>
    <x v="0"/>
    <x v="1"/>
    <n v="4200"/>
  </r>
  <r>
    <x v="20"/>
    <x v="4"/>
    <n v="100005009"/>
    <x v="5"/>
    <x v="1"/>
    <n v="4200"/>
  </r>
  <r>
    <x v="20"/>
    <x v="4"/>
    <n v="100005010"/>
    <x v="5"/>
    <x v="1"/>
    <n v="4200"/>
  </r>
  <r>
    <x v="20"/>
    <x v="4"/>
    <n v="100005011"/>
    <x v="5"/>
    <x v="1"/>
    <n v="4200"/>
  </r>
  <r>
    <x v="20"/>
    <x v="4"/>
    <n v="100005012"/>
    <x v="5"/>
    <x v="1"/>
    <n v="4200"/>
  </r>
  <r>
    <x v="20"/>
    <x v="4"/>
    <n v="100005013"/>
    <x v="5"/>
    <x v="1"/>
    <n v="4200"/>
  </r>
  <r>
    <x v="20"/>
    <x v="4"/>
    <n v="100005014"/>
    <x v="5"/>
    <x v="1"/>
    <n v="4200"/>
  </r>
  <r>
    <x v="20"/>
    <x v="4"/>
    <n v="100005015"/>
    <x v="5"/>
    <x v="1"/>
    <n v="4200"/>
  </r>
  <r>
    <x v="20"/>
    <x v="4"/>
    <n v="100005016"/>
    <x v="5"/>
    <x v="1"/>
    <n v="4200"/>
  </r>
  <r>
    <x v="20"/>
    <x v="4"/>
    <n v="100005017"/>
    <x v="5"/>
    <x v="1"/>
    <n v="4200"/>
  </r>
  <r>
    <x v="20"/>
    <x v="4"/>
    <n v="100005007"/>
    <x v="2"/>
    <x v="1"/>
    <n v="4200"/>
  </r>
  <r>
    <x v="20"/>
    <x v="4"/>
    <n v="100005008"/>
    <x v="4"/>
    <x v="1"/>
    <n v="4200"/>
  </r>
  <r>
    <x v="20"/>
    <x v="4"/>
    <n v="100005000"/>
    <x v="6"/>
    <x v="2"/>
    <n v="4200"/>
  </r>
  <r>
    <x v="22"/>
    <x v="4"/>
    <n v="100005001"/>
    <x v="0"/>
    <x v="0"/>
    <n v="4200"/>
  </r>
  <r>
    <x v="22"/>
    <x v="4"/>
    <n v="100005002"/>
    <x v="1"/>
    <x v="0"/>
    <n v="4200"/>
  </r>
  <r>
    <x v="22"/>
    <x v="4"/>
    <n v="100005003"/>
    <x v="2"/>
    <x v="0"/>
    <n v="4200"/>
  </r>
  <r>
    <x v="22"/>
    <x v="4"/>
    <n v="100005004"/>
    <x v="3"/>
    <x v="0"/>
    <n v="4200"/>
  </r>
  <r>
    <x v="22"/>
    <x v="4"/>
    <n v="100005005"/>
    <x v="4"/>
    <x v="0"/>
    <n v="4200"/>
  </r>
  <r>
    <x v="22"/>
    <x v="4"/>
    <n v="100005006"/>
    <x v="0"/>
    <x v="1"/>
    <n v="4200"/>
  </r>
  <r>
    <x v="22"/>
    <x v="4"/>
    <n v="100005009"/>
    <x v="5"/>
    <x v="1"/>
    <n v="4200"/>
  </r>
  <r>
    <x v="22"/>
    <x v="4"/>
    <n v="100005010"/>
    <x v="5"/>
    <x v="1"/>
    <n v="4200"/>
  </r>
  <r>
    <x v="22"/>
    <x v="4"/>
    <n v="100005011"/>
    <x v="5"/>
    <x v="1"/>
    <n v="4200"/>
  </r>
  <r>
    <x v="22"/>
    <x v="4"/>
    <n v="100005012"/>
    <x v="5"/>
    <x v="1"/>
    <n v="4200"/>
  </r>
  <r>
    <x v="22"/>
    <x v="4"/>
    <n v="100005013"/>
    <x v="5"/>
    <x v="1"/>
    <n v="4200"/>
  </r>
  <r>
    <x v="22"/>
    <x v="4"/>
    <n v="100005014"/>
    <x v="5"/>
    <x v="1"/>
    <n v="4200"/>
  </r>
  <r>
    <x v="22"/>
    <x v="4"/>
    <n v="100005015"/>
    <x v="5"/>
    <x v="1"/>
    <n v="4200"/>
  </r>
  <r>
    <x v="22"/>
    <x v="4"/>
    <n v="100005016"/>
    <x v="5"/>
    <x v="1"/>
    <n v="4200"/>
  </r>
  <r>
    <x v="22"/>
    <x v="4"/>
    <n v="100005017"/>
    <x v="5"/>
    <x v="1"/>
    <n v="4200"/>
  </r>
  <r>
    <x v="22"/>
    <x v="4"/>
    <n v="100005018"/>
    <x v="5"/>
    <x v="1"/>
    <n v="4200"/>
  </r>
  <r>
    <x v="22"/>
    <x v="4"/>
    <n v="100005007"/>
    <x v="2"/>
    <x v="1"/>
    <n v="4200"/>
  </r>
  <r>
    <x v="22"/>
    <x v="4"/>
    <n v="100005008"/>
    <x v="4"/>
    <x v="1"/>
    <n v="4200"/>
  </r>
  <r>
    <x v="22"/>
    <x v="4"/>
    <n v="100005000"/>
    <x v="6"/>
    <x v="2"/>
    <n v="42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6B1C9C-2924-F04C-892E-6D93E3C6B7B9}" name="Сводная таблица11" cacheId="234" applyNumberFormats="0" applyBorderFormats="0" applyFontFormats="0" applyPatternFormats="0" applyAlignmentFormats="0" applyWidthHeightFormats="1" dataCaption="Значения" updatedVersion="8" minRefreshableVersion="3" useAutoFormatting="1" itemPrintTitles="1" createdVersion="8" indent="0" outline="1" outlineData="1" multipleFieldFilters="0">
  <location ref="H12:U86" firstHeaderRow="1" firstDataRow="4" firstDataCol="1"/>
  <pivotFields count="8">
    <pivotField axis="axisCol" numFmtId="169" showAll="0">
      <items count="35">
        <item x="24"/>
        <item x="0"/>
        <item x="1"/>
        <item x="25"/>
        <item x="2"/>
        <item x="3"/>
        <item x="26"/>
        <item x="4"/>
        <item x="5"/>
        <item x="27"/>
        <item x="6"/>
        <item x="7"/>
        <item x="8"/>
        <item x="9"/>
        <item x="28"/>
        <item x="10"/>
        <item x="11"/>
        <item x="29"/>
        <item x="12"/>
        <item x="13"/>
        <item x="30"/>
        <item x="14"/>
        <item x="15"/>
        <item x="31"/>
        <item x="16"/>
        <item x="17"/>
        <item x="32"/>
        <item x="18"/>
        <item x="19"/>
        <item x="20"/>
        <item x="21"/>
        <item x="33"/>
        <item x="22"/>
        <item x="23"/>
        <item t="default"/>
      </items>
    </pivotField>
    <pivotField axis="axisRow" showAll="0">
      <items count="6">
        <item x="0"/>
        <item x="2"/>
        <item x="1"/>
        <item x="4"/>
        <item x="3"/>
        <item t="default"/>
      </items>
    </pivotField>
    <pivotField showAll="0"/>
    <pivotField axis="axisRow" showAll="0">
      <items count="8">
        <item x="6"/>
        <item x="2"/>
        <item x="3"/>
        <item x="5"/>
        <item x="1"/>
        <item x="0"/>
        <item x="4"/>
        <item t="default"/>
      </items>
    </pivotField>
    <pivotField axis="axisRow" showAll="0">
      <items count="4">
        <item x="2"/>
        <item x="0"/>
        <item x="1"/>
        <item t="default"/>
      </items>
    </pivotField>
    <pivotField dataField="1" numFmtId="1" showAll="0"/>
    <pivotField axis="axisCol"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Col" showAll="0">
      <items count="15">
        <item sd="0" x="0"/>
        <item sd="0" x="1"/>
        <item sd="0" x="2"/>
        <item sd="0" x="3"/>
        <item sd="0" x="4"/>
        <item sd="0" x="5"/>
        <item sd="0" x="6"/>
        <item sd="0" x="7"/>
        <item sd="0" x="8"/>
        <item sd="0" x="9"/>
        <item sd="0" x="10"/>
        <item sd="0" x="11"/>
        <item sd="0" x="12"/>
        <item sd="0" x="13"/>
        <item t="default"/>
      </items>
    </pivotField>
  </pivotFields>
  <rowFields count="3">
    <field x="1"/>
    <field x="4"/>
    <field x="3"/>
  </rowFields>
  <rowItems count="71">
    <i>
      <x/>
    </i>
    <i r="1">
      <x/>
    </i>
    <i r="2">
      <x/>
    </i>
    <i r="1">
      <x v="1"/>
    </i>
    <i r="2">
      <x v="1"/>
    </i>
    <i r="2">
      <x v="2"/>
    </i>
    <i r="2">
      <x v="4"/>
    </i>
    <i r="2">
      <x v="5"/>
    </i>
    <i r="2">
      <x v="6"/>
    </i>
    <i r="1">
      <x v="2"/>
    </i>
    <i r="2">
      <x v="1"/>
    </i>
    <i r="2">
      <x v="3"/>
    </i>
    <i r="2">
      <x v="5"/>
    </i>
    <i r="2">
      <x v="6"/>
    </i>
    <i>
      <x v="1"/>
    </i>
    <i r="1">
      <x/>
    </i>
    <i r="2">
      <x/>
    </i>
    <i r="1">
      <x v="1"/>
    </i>
    <i r="2">
      <x v="1"/>
    </i>
    <i r="2">
      <x v="2"/>
    </i>
    <i r="2">
      <x v="4"/>
    </i>
    <i r="2">
      <x v="5"/>
    </i>
    <i r="2">
      <x v="6"/>
    </i>
    <i r="1">
      <x v="2"/>
    </i>
    <i r="2">
      <x v="1"/>
    </i>
    <i r="2">
      <x v="3"/>
    </i>
    <i r="2">
      <x v="5"/>
    </i>
    <i r="2">
      <x v="6"/>
    </i>
    <i>
      <x v="2"/>
    </i>
    <i r="1">
      <x/>
    </i>
    <i r="2">
      <x/>
    </i>
    <i r="1">
      <x v="1"/>
    </i>
    <i r="2">
      <x v="1"/>
    </i>
    <i r="2">
      <x v="2"/>
    </i>
    <i r="2">
      <x v="4"/>
    </i>
    <i r="2">
      <x v="5"/>
    </i>
    <i r="2">
      <x v="6"/>
    </i>
    <i r="1">
      <x v="2"/>
    </i>
    <i r="2">
      <x v="1"/>
    </i>
    <i r="2">
      <x v="3"/>
    </i>
    <i r="2">
      <x v="5"/>
    </i>
    <i r="2">
      <x v="6"/>
    </i>
    <i>
      <x v="3"/>
    </i>
    <i r="1">
      <x/>
    </i>
    <i r="2">
      <x/>
    </i>
    <i r="1">
      <x v="1"/>
    </i>
    <i r="2">
      <x v="1"/>
    </i>
    <i r="2">
      <x v="2"/>
    </i>
    <i r="2">
      <x v="4"/>
    </i>
    <i r="2">
      <x v="5"/>
    </i>
    <i r="2">
      <x v="6"/>
    </i>
    <i r="1">
      <x v="2"/>
    </i>
    <i r="2">
      <x v="1"/>
    </i>
    <i r="2">
      <x v="3"/>
    </i>
    <i r="2">
      <x v="5"/>
    </i>
    <i r="2">
      <x v="6"/>
    </i>
    <i>
      <x v="4"/>
    </i>
    <i r="1">
      <x/>
    </i>
    <i r="2">
      <x/>
    </i>
    <i r="1">
      <x v="1"/>
    </i>
    <i r="2">
      <x v="1"/>
    </i>
    <i r="2">
      <x v="2"/>
    </i>
    <i r="2">
      <x v="4"/>
    </i>
    <i r="2">
      <x v="5"/>
    </i>
    <i r="2">
      <x v="6"/>
    </i>
    <i r="1">
      <x v="2"/>
    </i>
    <i r="2">
      <x v="1"/>
    </i>
    <i r="2">
      <x v="3"/>
    </i>
    <i r="2">
      <x v="5"/>
    </i>
    <i r="2">
      <x v="6"/>
    </i>
    <i t="grand">
      <x/>
    </i>
  </rowItems>
  <colFields count="3">
    <field x="7"/>
    <field x="6"/>
    <field x="0"/>
  </colFields>
  <colItems count="13">
    <i>
      <x v="1"/>
    </i>
    <i>
      <x v="2"/>
    </i>
    <i>
      <x v="3"/>
    </i>
    <i>
      <x v="4"/>
    </i>
    <i>
      <x v="5"/>
    </i>
    <i>
      <x v="6"/>
    </i>
    <i>
      <x v="7"/>
    </i>
    <i>
      <x v="8"/>
    </i>
    <i>
      <x v="9"/>
    </i>
    <i>
      <x v="10"/>
    </i>
    <i>
      <x v="11"/>
    </i>
    <i>
      <x v="12"/>
    </i>
    <i t="grand">
      <x/>
    </i>
  </colItems>
  <dataFields count="1">
    <dataField name="Сумма по полю Сумма, руб." fld="5" baseField="0" baseItem="0" numFmtId="166"/>
  </dataFields>
  <formats count="2">
    <format dxfId="3">
      <pivotArea outline="0" collapsedLevelsAreSubtotals="1" fieldPosition="0"/>
    </format>
    <format dxfId="2">
      <pivotArea field="4" grandCol="1" collapsedLevelsAreSubtotals="1" axis="axisRow" fieldPosition="1">
        <references count="2">
          <reference field="1" count="1" selected="0">
            <x v="3"/>
          </reference>
          <reference field="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0BAF72-C61A-8B4E-BCE6-3882BEA6C5B0}" name="Сводная таблица2" cacheId="233" applyNumberFormats="0" applyBorderFormats="0" applyFontFormats="0" applyPatternFormats="0" applyAlignmentFormats="0" applyWidthHeightFormats="1" dataCaption="Значения" updatedVersion="8" minRefreshableVersion="3" useAutoFormatting="1" itemPrintTitles="1" createdVersion="8" indent="0" outline="1" outlineData="1" multipleFieldFilters="0">
  <location ref="I10:T15" firstHeaderRow="1" firstDataRow="2" firstDataCol="1"/>
  <pivotFields count="10">
    <pivotField axis="axisCol" numFmtId="169" showAll="0">
      <items count="11">
        <item x="0"/>
        <item x="1"/>
        <item x="2"/>
        <item x="3"/>
        <item x="4"/>
        <item x="5"/>
        <item x="6"/>
        <item x="7"/>
        <item x="8"/>
        <item x="9"/>
        <item t="default"/>
      </items>
    </pivotField>
    <pivotField showAll="0"/>
    <pivotField showAll="0"/>
    <pivotField showAll="0"/>
    <pivotField showAll="0"/>
    <pivotField axis="axisRow" showAll="0">
      <items count="4">
        <item x="0"/>
        <item x="1"/>
        <item x="2"/>
        <item t="default"/>
      </items>
    </pivotField>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Fields count="1">
    <field x="5"/>
  </rowFields>
  <rowItems count="4">
    <i>
      <x/>
    </i>
    <i>
      <x v="1"/>
    </i>
    <i>
      <x v="2"/>
    </i>
    <i t="grand">
      <x/>
    </i>
  </rowItems>
  <colFields count="1">
    <field x="0"/>
  </colFields>
  <colItems count="11">
    <i>
      <x/>
    </i>
    <i>
      <x v="1"/>
    </i>
    <i>
      <x v="2"/>
    </i>
    <i>
      <x v="3"/>
    </i>
    <i>
      <x v="4"/>
    </i>
    <i>
      <x v="5"/>
    </i>
    <i>
      <x v="6"/>
    </i>
    <i>
      <x v="7"/>
    </i>
    <i>
      <x v="8"/>
    </i>
    <i>
      <x v="9"/>
    </i>
    <i t="grand">
      <x/>
    </i>
  </colItems>
  <dataFields count="1">
    <dataField name="Сумма по полю Сумма, руб." fld="6" baseField="0" baseItem="0" numFmtId="166"/>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B5CA28-26B8-AD49-8D2B-F06C142C9C7D}" name="Сводная таблица3" cacheId="232" applyNumberFormats="0" applyBorderFormats="0" applyFontFormats="0" applyPatternFormats="0" applyAlignmentFormats="0" applyWidthHeightFormats="1" dataCaption="Значения" updatedVersion="8" minRefreshableVersion="3" useAutoFormatting="1" itemPrintTitles="1" createdVersion="8" indent="0" outline="1" outlineData="1" multipleFieldFilters="0">
  <location ref="K14:V19" firstHeaderRow="1" firstDataRow="2" firstDataCol="1"/>
  <pivotFields count="10">
    <pivotField axis="axisCol" numFmtId="169" showAll="0">
      <items count="11">
        <item x="0"/>
        <item x="1"/>
        <item x="2"/>
        <item x="3"/>
        <item x="4"/>
        <item x="5"/>
        <item x="6"/>
        <item x="7"/>
        <item x="8"/>
        <item x="9"/>
        <item t="default"/>
      </items>
    </pivotField>
    <pivotField axis="axisRow" showAll="0">
      <items count="7">
        <item x="0"/>
        <item x="4"/>
        <item x="5"/>
        <item x="3"/>
        <item x="2"/>
        <item x="1"/>
        <item t="default"/>
      </items>
    </pivotField>
    <pivotField showAll="0"/>
    <pivotField showAll="0"/>
    <pivotField axis="axisRow" showAll="0">
      <items count="4">
        <item sd="0" x="0"/>
        <item sd="0" x="1"/>
        <item sd="0" x="2"/>
        <item t="default"/>
      </items>
    </pivotField>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2">
    <field x="4"/>
    <field x="1"/>
  </rowFields>
  <rowItems count="4">
    <i>
      <x/>
    </i>
    <i>
      <x v="1"/>
    </i>
    <i>
      <x v="2"/>
    </i>
    <i t="grand">
      <x/>
    </i>
  </rowItems>
  <colFields count="1">
    <field x="0"/>
  </colFields>
  <colItems count="11">
    <i>
      <x/>
    </i>
    <i>
      <x v="1"/>
    </i>
    <i>
      <x v="2"/>
    </i>
    <i>
      <x v="3"/>
    </i>
    <i>
      <x v="4"/>
    </i>
    <i>
      <x v="5"/>
    </i>
    <i>
      <x v="6"/>
    </i>
    <i>
      <x v="7"/>
    </i>
    <i>
      <x v="8"/>
    </i>
    <i>
      <x v="9"/>
    </i>
    <i t="grand">
      <x/>
    </i>
  </colItems>
  <dataFields count="1">
    <dataField name="Сумма по полю Сумма, руб." fld="7" baseField="0" baseItem="0" numFmtId="166"/>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Тема Office 2013–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A202F-8824-40E6-8664-06D589158CE8}">
  <dimension ref="B1:H27"/>
  <sheetViews>
    <sheetView showGridLines="0" workbookViewId="0">
      <selection activeCell="C5" sqref="C5"/>
    </sheetView>
  </sheetViews>
  <sheetFormatPr baseColWidth="10" defaultColWidth="8.83203125" defaultRowHeight="15"/>
  <cols>
    <col min="1" max="1" width="4.1640625" customWidth="1"/>
    <col min="2" max="2" width="5.33203125" customWidth="1"/>
    <col min="3" max="6" width="11.5" customWidth="1"/>
    <col min="7" max="8" width="13.33203125" customWidth="1"/>
  </cols>
  <sheetData>
    <row r="1" spans="2:8" ht="20" customHeight="1"/>
    <row r="2" spans="2:8" s="61" customFormat="1" ht="38.25" customHeight="1">
      <c r="B2" s="111" t="s">
        <v>0</v>
      </c>
      <c r="C2" s="111"/>
      <c r="D2" s="111"/>
      <c r="E2" s="111"/>
      <c r="F2" s="111"/>
      <c r="G2" s="111"/>
      <c r="H2" s="111"/>
    </row>
    <row r="3" spans="2:8" s="62" customFormat="1" ht="20" customHeight="1">
      <c r="B3" s="241" t="s">
        <v>1</v>
      </c>
      <c r="C3" s="242" t="s">
        <v>2</v>
      </c>
    </row>
    <row r="4" spans="2:8" s="62" customFormat="1" ht="20" customHeight="1">
      <c r="B4" s="241" t="s">
        <v>3</v>
      </c>
      <c r="C4" s="242" t="s">
        <v>4</v>
      </c>
    </row>
    <row r="5" spans="2:8" s="62" customFormat="1" ht="20" customHeight="1">
      <c r="B5" s="241" t="s">
        <v>5</v>
      </c>
      <c r="C5" s="242" t="s">
        <v>6</v>
      </c>
    </row>
    <row r="6" spans="2:8" s="62" customFormat="1" ht="20" customHeight="1">
      <c r="B6" s="241" t="s">
        <v>7</v>
      </c>
      <c r="C6" s="242" t="s">
        <v>4</v>
      </c>
    </row>
    <row r="7" spans="2:8" s="62" customFormat="1" ht="20" customHeight="1">
      <c r="B7" s="241" t="s">
        <v>8</v>
      </c>
      <c r="C7" s="242" t="s">
        <v>9</v>
      </c>
    </row>
    <row r="8" spans="2:8" s="62" customFormat="1" ht="20" customHeight="1">
      <c r="B8" s="241" t="s">
        <v>10</v>
      </c>
      <c r="C8" s="242" t="s">
        <v>11</v>
      </c>
    </row>
    <row r="9" spans="2:8" s="62" customFormat="1" ht="20" customHeight="1">
      <c r="B9" s="241" t="s">
        <v>12</v>
      </c>
      <c r="C9" s="242" t="s">
        <v>13</v>
      </c>
    </row>
    <row r="10" spans="2:8" s="62" customFormat="1" ht="20" customHeight="1">
      <c r="B10" s="241" t="s">
        <v>14</v>
      </c>
      <c r="C10" s="242" t="s">
        <v>15</v>
      </c>
    </row>
    <row r="11" spans="2:8">
      <c r="B11" s="13"/>
      <c r="C11" s="1"/>
    </row>
    <row r="12" spans="2:8">
      <c r="B12" s="13"/>
      <c r="C12" s="1"/>
    </row>
    <row r="13" spans="2:8">
      <c r="B13" s="13"/>
      <c r="C13" s="1"/>
    </row>
    <row r="14" spans="2:8">
      <c r="B14" s="13"/>
      <c r="C14" s="1"/>
    </row>
    <row r="15" spans="2:8">
      <c r="B15" s="13"/>
      <c r="C15" s="1"/>
    </row>
    <row r="16" spans="2:8">
      <c r="B16" s="13"/>
      <c r="C16" s="1"/>
    </row>
    <row r="17" spans="2:3">
      <c r="B17" s="13"/>
      <c r="C17" s="3"/>
    </row>
    <row r="18" spans="2:3">
      <c r="B18" s="13"/>
      <c r="C18" s="1"/>
    </row>
    <row r="19" spans="2:3">
      <c r="B19" s="13"/>
      <c r="C19" s="3"/>
    </row>
    <row r="20" spans="2:3">
      <c r="B20" s="13"/>
      <c r="C20" s="1"/>
    </row>
    <row r="21" spans="2:3">
      <c r="B21" s="13"/>
    </row>
    <row r="22" spans="2:3">
      <c r="B22" s="13"/>
    </row>
    <row r="23" spans="2:3">
      <c r="B23" s="13"/>
    </row>
    <row r="24" spans="2:3">
      <c r="B24" s="13"/>
    </row>
    <row r="25" spans="2:3">
      <c r="B25" s="13"/>
    </row>
    <row r="26" spans="2:3">
      <c r="B26" s="13"/>
    </row>
    <row r="27" spans="2:3">
      <c r="B27" s="1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0184F-D534-4826-8027-06607717AA43}">
  <sheetPr>
    <tabColor rgb="FFF995F2"/>
  </sheetPr>
  <dimension ref="A1:U22"/>
  <sheetViews>
    <sheetView zoomScaleNormal="100" workbookViewId="0">
      <selection activeCell="E9" sqref="E9"/>
    </sheetView>
  </sheetViews>
  <sheetFormatPr baseColWidth="10" defaultColWidth="8.83203125" defaultRowHeight="15"/>
  <cols>
    <col min="1" max="1" width="23.5" customWidth="1"/>
    <col min="2" max="2" width="10.1640625" customWidth="1"/>
    <col min="3" max="3" width="9.33203125" customWidth="1"/>
    <col min="4" max="4" width="11.83203125" customWidth="1"/>
    <col min="5" max="8" width="9.33203125" customWidth="1"/>
    <col min="9" max="9" width="7" bestFit="1" customWidth="1"/>
    <col min="10" max="10" width="12.5" customWidth="1"/>
    <col min="11" max="11" width="8.83203125" customWidth="1"/>
    <col min="20" max="20" width="225.33203125" customWidth="1"/>
    <col min="23" max="26" width="9.33203125" customWidth="1"/>
    <col min="40" max="40" width="18.5" bestFit="1" customWidth="1"/>
    <col min="41" max="41" width="36.1640625" bestFit="1" customWidth="1"/>
  </cols>
  <sheetData>
    <row r="1" spans="1:21" ht="20" customHeight="1"/>
    <row r="2" spans="1:21" ht="20" customHeight="1">
      <c r="A2" s="8"/>
      <c r="B2" s="315" t="s">
        <v>21</v>
      </c>
      <c r="C2" s="315"/>
      <c r="D2" s="316" t="s">
        <v>22</v>
      </c>
      <c r="E2" s="316"/>
      <c r="F2" s="8"/>
      <c r="G2" s="7"/>
      <c r="Q2" s="98" t="s">
        <v>16</v>
      </c>
      <c r="U2" s="16" t="s">
        <v>17</v>
      </c>
    </row>
    <row r="3" spans="1:21" ht="20" customHeight="1">
      <c r="A3" s="8"/>
      <c r="B3" s="307" t="s">
        <v>24</v>
      </c>
      <c r="C3" s="306" t="s">
        <v>23</v>
      </c>
      <c r="D3" s="306" t="s">
        <v>24</v>
      </c>
      <c r="E3" s="306" t="s">
        <v>23</v>
      </c>
      <c r="F3" s="8"/>
      <c r="G3" s="7"/>
      <c r="Q3" s="98"/>
      <c r="U3" s="16"/>
    </row>
    <row r="4" spans="1:21" ht="21" customHeight="1">
      <c r="A4" s="306" t="s">
        <v>32</v>
      </c>
      <c r="B4" s="306">
        <f>Расчеты!O63</f>
        <v>6048</v>
      </c>
      <c r="C4" s="306">
        <f>'Свод факта'!O94</f>
        <v>6296</v>
      </c>
      <c r="D4" s="306">
        <f>Расчеты!O69</f>
        <v>11892</v>
      </c>
      <c r="E4" s="306">
        <f>'Свод факта'!O100</f>
        <v>13385.2</v>
      </c>
      <c r="G4" s="28"/>
      <c r="Q4" s="13" t="s">
        <v>18</v>
      </c>
      <c r="R4" s="1" t="str">
        <f>IF(Q4="Нет", " ", "На первом слайде обычно показывают общую картину - заберите таблицу с результатами анализа с листа План-факт.")</f>
        <v xml:space="preserve"> </v>
      </c>
      <c r="U4" s="16" t="s">
        <v>18</v>
      </c>
    </row>
    <row r="5" spans="1:21" ht="20" customHeight="1">
      <c r="A5" s="306"/>
      <c r="B5" s="306"/>
      <c r="C5" s="306"/>
      <c r="D5" s="306"/>
      <c r="E5" s="306"/>
      <c r="F5" s="8"/>
      <c r="G5" s="7"/>
      <c r="Q5" s="13" t="s">
        <v>18</v>
      </c>
      <c r="R5" s="1"/>
    </row>
    <row r="6" spans="1:21" ht="20" customHeight="1">
      <c r="A6" s="8"/>
      <c r="B6" s="8"/>
      <c r="C6" s="8"/>
      <c r="D6" s="8"/>
      <c r="E6" s="8"/>
      <c r="F6" s="8"/>
      <c r="G6" s="7"/>
      <c r="Q6" s="13" t="s">
        <v>18</v>
      </c>
      <c r="R6" s="1" t="str">
        <f>IF(Q6="Нет", " ", "Сделайте выводы и дайте рекомендации.")</f>
        <v xml:space="preserve"> </v>
      </c>
    </row>
    <row r="7" spans="1:21" ht="20" customHeight="1">
      <c r="A7" s="8"/>
      <c r="B7" s="316" t="s">
        <v>22</v>
      </c>
      <c r="C7" s="316"/>
      <c r="D7" s="8"/>
      <c r="E7" s="8"/>
      <c r="F7" s="8"/>
      <c r="G7" s="7"/>
      <c r="Q7" s="13" t="s">
        <v>18</v>
      </c>
      <c r="R7" s="1" t="str">
        <f>IF(Q7="Нет", " ", "Подумайте, что может сделать подразделение маркетинга на основании отчета?")</f>
        <v xml:space="preserve"> </v>
      </c>
    </row>
    <row r="8" spans="1:21" ht="20" customHeight="1">
      <c r="A8" s="8"/>
      <c r="B8" s="306" t="s">
        <v>24</v>
      </c>
      <c r="C8" s="306" t="s">
        <v>23</v>
      </c>
      <c r="G8" s="7"/>
      <c r="Q8" s="13" t="s">
        <v>18</v>
      </c>
      <c r="R8" s="1" t="str">
        <f>IF(Q8="Нет", " ", "Подумайте, что могут сделать подразделения поддержки Community и Education на основании отчета?")</f>
        <v xml:space="preserve"> </v>
      </c>
    </row>
    <row r="9" spans="1:21" ht="20" customHeight="1">
      <c r="A9" s="307" t="s">
        <v>265</v>
      </c>
      <c r="B9" s="306">
        <f>Расчеты!O184</f>
        <v>960</v>
      </c>
      <c r="C9" s="306">
        <f>'Свод факта'!O247</f>
        <v>1704.2815999999993</v>
      </c>
      <c r="D9" s="4"/>
      <c r="E9" s="4"/>
      <c r="F9" s="4"/>
      <c r="G9" s="4"/>
      <c r="Q9" s="13" t="s">
        <v>18</v>
      </c>
      <c r="R9" s="1" t="str">
        <f>IF(Q9="Нет", " ", "Подумайте, что может сделать подразделение, отвечающее за контент направления Education?")</f>
        <v xml:space="preserve"> </v>
      </c>
    </row>
    <row r="10" spans="1:21" ht="20" customHeight="1">
      <c r="D10" s="13"/>
      <c r="E10" s="13"/>
      <c r="F10" s="13"/>
      <c r="G10" s="25"/>
      <c r="Q10" s="13" t="s">
        <v>18</v>
      </c>
      <c r="R10" s="1" t="str">
        <f>IF(Q10="Нет", " ", "Если все вышеозвученные подразделения внесут свой вклад, нужно ли будет что-то ещё делать подразделению финансов?")</f>
        <v xml:space="preserve"> </v>
      </c>
    </row>
    <row r="11" spans="1:21" ht="20" customHeight="1">
      <c r="A11" s="306" t="s">
        <v>264</v>
      </c>
      <c r="B11" s="4"/>
      <c r="C11" s="4"/>
      <c r="Q11" s="13" t="s">
        <v>18</v>
      </c>
      <c r="R11" s="1" t="str">
        <f>IF(Q11="Нет", " ", "Не перегружайте презентацию ненужной для менеджмента информацией. Выводы о необходимости доработки бюджетной модели лучше оставить внутри подразделения финансов.")</f>
        <v xml:space="preserve"> </v>
      </c>
    </row>
    <row r="12" spans="1:21" ht="20" customHeight="1">
      <c r="A12" s="13"/>
      <c r="B12" s="13"/>
      <c r="C12" s="13"/>
      <c r="D12" s="8"/>
      <c r="E12" s="8"/>
      <c r="F12" s="8"/>
      <c r="G12" s="7"/>
    </row>
    <row r="13" spans="1:21" ht="20" customHeight="1" thickBot="1">
      <c r="D13" s="8"/>
      <c r="E13" s="8"/>
      <c r="F13" s="8"/>
      <c r="G13" s="7"/>
    </row>
    <row r="14" spans="1:21" ht="20" customHeight="1" thickBot="1">
      <c r="A14" s="308"/>
      <c r="B14" s="317" t="s">
        <v>20</v>
      </c>
      <c r="C14" s="318"/>
      <c r="D14" s="319"/>
      <c r="E14" s="317" t="s">
        <v>21</v>
      </c>
      <c r="F14" s="318"/>
      <c r="G14" s="319"/>
      <c r="H14" s="317" t="s">
        <v>22</v>
      </c>
      <c r="I14" s="318"/>
      <c r="J14" s="319"/>
    </row>
    <row r="15" spans="1:21" ht="21" thickBot="1">
      <c r="A15" s="308" t="s">
        <v>266</v>
      </c>
      <c r="B15" s="308" t="s">
        <v>23</v>
      </c>
      <c r="C15" s="308" t="s">
        <v>24</v>
      </c>
      <c r="D15" s="308" t="s">
        <v>267</v>
      </c>
      <c r="E15" s="308" t="s">
        <v>23</v>
      </c>
      <c r="F15" s="308" t="s">
        <v>24</v>
      </c>
      <c r="G15" s="309" t="s">
        <v>267</v>
      </c>
      <c r="H15" s="308" t="s">
        <v>23</v>
      </c>
      <c r="I15" s="308" t="s">
        <v>24</v>
      </c>
      <c r="J15" s="308" t="s">
        <v>267</v>
      </c>
    </row>
    <row r="16" spans="1:21" ht="15" customHeight="1" thickBot="1">
      <c r="A16" s="309" t="s">
        <v>29</v>
      </c>
      <c r="B16" s="310">
        <v>-7878</v>
      </c>
      <c r="C16" s="310">
        <v>-7012</v>
      </c>
      <c r="D16" s="311">
        <v>-866</v>
      </c>
      <c r="E16" s="310">
        <v>-7094</v>
      </c>
      <c r="F16" s="310">
        <v>-6057</v>
      </c>
      <c r="G16" s="310">
        <v>-1037</v>
      </c>
      <c r="H16" s="311">
        <v>-784</v>
      </c>
      <c r="I16" s="311">
        <v>-955</v>
      </c>
      <c r="J16" s="311">
        <v>171</v>
      </c>
    </row>
    <row r="17" spans="1:10" ht="41" thickBot="1">
      <c r="A17" s="309" t="s">
        <v>31</v>
      </c>
      <c r="B17" s="310">
        <v>8663</v>
      </c>
      <c r="C17" s="310">
        <v>8974</v>
      </c>
      <c r="D17" s="311">
        <v>-311</v>
      </c>
      <c r="E17" s="310">
        <v>3600</v>
      </c>
      <c r="F17" s="310">
        <v>3745</v>
      </c>
      <c r="G17" s="311">
        <v>-145</v>
      </c>
      <c r="H17" s="310">
        <v>3600</v>
      </c>
      <c r="I17" s="310">
        <v>3802</v>
      </c>
      <c r="J17" s="311">
        <v>-202</v>
      </c>
    </row>
    <row r="18" spans="1:10" ht="41" thickBot="1">
      <c r="A18" s="309" t="s">
        <v>37</v>
      </c>
      <c r="B18" s="310">
        <v>-16541</v>
      </c>
      <c r="C18" s="310">
        <v>-15987</v>
      </c>
      <c r="D18" s="311">
        <v>-554</v>
      </c>
      <c r="E18" s="310">
        <v>-10694</v>
      </c>
      <c r="F18" s="310">
        <v>-9802</v>
      </c>
      <c r="G18" s="311">
        <v>-892</v>
      </c>
      <c r="H18" s="310">
        <v>-4384</v>
      </c>
      <c r="I18" s="310">
        <v>-4757</v>
      </c>
      <c r="J18" s="311">
        <v>373</v>
      </c>
    </row>
    <row r="19" spans="1:10" ht="21" thickBot="1">
      <c r="A19" s="312" t="s">
        <v>40</v>
      </c>
      <c r="B19" s="313">
        <v>-16541</v>
      </c>
      <c r="C19" s="313">
        <v>-15987</v>
      </c>
      <c r="D19" s="314">
        <v>-554</v>
      </c>
      <c r="E19" s="313">
        <v>-10694</v>
      </c>
      <c r="F19" s="313">
        <v>-9802</v>
      </c>
      <c r="G19" s="314">
        <v>-892</v>
      </c>
      <c r="H19" s="313">
        <v>-4384</v>
      </c>
      <c r="I19" s="313">
        <v>-4757</v>
      </c>
      <c r="J19" s="314">
        <v>373</v>
      </c>
    </row>
    <row r="20" spans="1:10">
      <c r="A20" s="8"/>
      <c r="B20" s="8"/>
      <c r="C20" s="8"/>
      <c r="D20" s="8"/>
      <c r="E20" s="8"/>
      <c r="F20" s="8"/>
      <c r="G20" s="7"/>
    </row>
    <row r="21" spans="1:10">
      <c r="A21" s="8"/>
      <c r="B21" s="8"/>
      <c r="C21" s="8"/>
    </row>
    <row r="22" spans="1:10">
      <c r="A22" s="8"/>
      <c r="B22" s="8"/>
      <c r="C22" s="8"/>
    </row>
  </sheetData>
  <mergeCells count="6">
    <mergeCell ref="H14:J14"/>
    <mergeCell ref="B2:C2"/>
    <mergeCell ref="D2:E2"/>
    <mergeCell ref="B7:C7"/>
    <mergeCell ref="B14:D14"/>
    <mergeCell ref="E14:G14"/>
  </mergeCells>
  <dataValidations count="1">
    <dataValidation type="list" allowBlank="1" showInputMessage="1" showErrorMessage="1" sqref="Q4:Q11" xr:uid="{4AB48B2F-BBA2-48D3-A18D-46BD73E8D50B}">
      <formula1>$U$2:$U$4</formula1>
    </dataValidation>
  </dataValidations>
  <pageMargins left="0.7" right="0.7" top="0.75" bottom="0.75" header="0.3" footer="0.3"/>
  <pageSetup paperSize="9"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13596-8C46-4DC1-A764-DEF930EFAF4F}">
  <sheetPr>
    <tabColor rgb="FF92D050"/>
  </sheetPr>
  <dimension ref="A1"/>
  <sheetViews>
    <sheetView workbookViewId="0">
      <selection activeCell="I20" sqref="I20"/>
    </sheetView>
  </sheetViews>
  <sheetFormatPr baseColWidth="10" defaultColWidth="8.83203125" defaultRowHeight="1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95D17-8E10-49C0-B8F5-3E6840F5241D}">
  <sheetPr>
    <tabColor rgb="FF92D050"/>
  </sheetPr>
  <dimension ref="B1:V49"/>
  <sheetViews>
    <sheetView showGridLines="0" zoomScale="99" zoomScaleNormal="100" workbookViewId="0">
      <selection activeCell="B3" sqref="B3:P19"/>
    </sheetView>
  </sheetViews>
  <sheetFormatPr baseColWidth="10" defaultColWidth="8.83203125" defaultRowHeight="15"/>
  <cols>
    <col min="1" max="1" width="4.1640625" customWidth="1"/>
    <col min="2" max="2" width="40.1640625" customWidth="1"/>
    <col min="3" max="6" width="9.33203125" customWidth="1"/>
    <col min="7" max="7" width="2.5" customWidth="1"/>
    <col min="8" max="11" width="9.33203125" customWidth="1"/>
    <col min="12" max="12" width="2.5" customWidth="1"/>
    <col min="13" max="15" width="9.33203125" customWidth="1"/>
    <col min="16" max="16" width="13.83203125" customWidth="1"/>
    <col min="17" max="17" width="2.5" customWidth="1"/>
    <col min="18" max="18" width="16.33203125" bestFit="1" customWidth="1"/>
  </cols>
  <sheetData>
    <row r="1" spans="2:22" ht="20" customHeight="1"/>
    <row r="2" spans="2:22" ht="20" customHeight="1" thickBot="1">
      <c r="B2" s="60" t="s">
        <v>19</v>
      </c>
      <c r="C2" s="60"/>
      <c r="D2" s="60"/>
      <c r="E2" s="60"/>
      <c r="F2" s="60"/>
      <c r="G2" s="61"/>
      <c r="H2" s="60"/>
      <c r="I2" s="60"/>
      <c r="J2" s="60"/>
      <c r="K2" s="60"/>
      <c r="L2" s="61"/>
      <c r="M2" s="60"/>
      <c r="N2" s="60"/>
      <c r="O2" s="60"/>
      <c r="P2" s="60"/>
      <c r="R2" s="98" t="s">
        <v>16</v>
      </c>
      <c r="V2" s="16" t="s">
        <v>17</v>
      </c>
    </row>
    <row r="3" spans="2:22" ht="20" customHeight="1">
      <c r="B3" s="243"/>
      <c r="C3" s="320" t="s">
        <v>20</v>
      </c>
      <c r="D3" s="320"/>
      <c r="E3" s="320"/>
      <c r="F3" s="320"/>
      <c r="G3" s="62"/>
      <c r="H3" s="320" t="s">
        <v>21</v>
      </c>
      <c r="I3" s="320"/>
      <c r="J3" s="320"/>
      <c r="K3" s="320"/>
      <c r="L3" s="62"/>
      <c r="M3" s="321" t="s">
        <v>22</v>
      </c>
      <c r="N3" s="321"/>
      <c r="O3" s="321"/>
      <c r="P3" s="321"/>
      <c r="V3" s="16" t="s">
        <v>18</v>
      </c>
    </row>
    <row r="4" spans="2:22" ht="20" customHeight="1" thickBot="1">
      <c r="B4" s="63"/>
      <c r="C4" s="63" t="s">
        <v>23</v>
      </c>
      <c r="D4" s="63" t="s">
        <v>24</v>
      </c>
      <c r="E4" s="63" t="s">
        <v>25</v>
      </c>
      <c r="F4" s="63" t="s">
        <v>26</v>
      </c>
      <c r="G4" s="62"/>
      <c r="H4" s="63" t="s">
        <v>23</v>
      </c>
      <c r="I4" s="63" t="s">
        <v>24</v>
      </c>
      <c r="J4" s="63" t="s">
        <v>25</v>
      </c>
      <c r="K4" s="63" t="s">
        <v>26</v>
      </c>
      <c r="L4" s="62"/>
      <c r="M4" s="63" t="s">
        <v>23</v>
      </c>
      <c r="N4" s="63" t="s">
        <v>24</v>
      </c>
      <c r="O4" s="63" t="s">
        <v>25</v>
      </c>
      <c r="P4" s="63" t="s">
        <v>26</v>
      </c>
      <c r="R4" s="13" t="s">
        <v>18</v>
      </c>
      <c r="S4" s="1" t="str">
        <f>IF(R4="Нет", " ", "Δ = Факт - План. Δ, % = (Факт - План) / План * 100% ")</f>
        <v xml:space="preserve"> </v>
      </c>
    </row>
    <row r="5" spans="2:22" ht="20" customHeight="1">
      <c r="B5" s="64" t="s">
        <v>27</v>
      </c>
      <c r="C5" s="65">
        <f>H5+M5</f>
        <v>21796.600000000002</v>
      </c>
      <c r="D5" s="66">
        <f>Бюджет!C5</f>
        <v>20487.56004681261</v>
      </c>
      <c r="E5" s="67">
        <f>C5-D5</f>
        <v>1309.0399531873918</v>
      </c>
      <c r="F5" s="68">
        <f>(C5-D5)/D5*100%</f>
        <v>6.3894380306699722E-2</v>
      </c>
      <c r="G5" s="62"/>
      <c r="H5" s="69">
        <f>'Свод факта'!O10</f>
        <v>4057.4333333333338</v>
      </c>
      <c r="I5" s="66">
        <f>Бюджет!F5</f>
        <v>4840.5368616106434</v>
      </c>
      <c r="J5" s="67">
        <f>H5-I5</f>
        <v>-783.10352827730958</v>
      </c>
      <c r="K5" s="68">
        <f>(H5-I5)/I5*100%</f>
        <v>-0.16178030467817556</v>
      </c>
      <c r="L5" s="62"/>
      <c r="M5" s="69">
        <f>'Свод факта'!O16</f>
        <v>17739.166666666668</v>
      </c>
      <c r="N5" s="66">
        <f>Бюджет!I5</f>
        <v>15647.023185201966</v>
      </c>
      <c r="O5" s="67">
        <f>M5-N5</f>
        <v>2092.1434814647018</v>
      </c>
      <c r="P5" s="68">
        <f>(M5-N5)/N5*100%</f>
        <v>0.13370872252834187</v>
      </c>
    </row>
    <row r="6" spans="2:22" ht="20" customHeight="1">
      <c r="B6" s="70" t="s">
        <v>28</v>
      </c>
      <c r="C6" s="71">
        <f>H6+M6</f>
        <v>29674.633783333331</v>
      </c>
      <c r="D6" s="72">
        <f>Бюджет!C6</f>
        <v>27500</v>
      </c>
      <c r="E6" s="73">
        <f t="shared" ref="E6:E18" si="0">C6-D6</f>
        <v>2174.6337833333309</v>
      </c>
      <c r="F6" s="74">
        <f t="shared" ref="F6:F15" si="1">(C6-D6)/D6*100%</f>
        <v>7.9077592121212029E-2</v>
      </c>
      <c r="G6" s="62"/>
      <c r="H6" s="75">
        <f>'Свод факта'!O88+'Свод факта'!O94+'Свод факта'!O235+'Свод факта'!O242</f>
        <v>11151.81885</v>
      </c>
      <c r="I6" s="72">
        <f>Бюджет!F6</f>
        <v>10898</v>
      </c>
      <c r="J6" s="73">
        <f t="shared" ref="J6:J7" si="2">H6-I6</f>
        <v>253.81884999999966</v>
      </c>
      <c r="K6" s="74">
        <f t="shared" ref="K6:K9" si="3">(H6-I6)/I6*100%</f>
        <v>2.3290406496604851E-2</v>
      </c>
      <c r="L6" s="62"/>
      <c r="M6" s="75">
        <f>'Свод факта'!O89+'Свод факта'!O100+'Свод факта'!O236+'Свод факта'!O247</f>
        <v>18522.814933333331</v>
      </c>
      <c r="N6" s="72">
        <f>Бюджет!I6</f>
        <v>16602</v>
      </c>
      <c r="O6" s="73">
        <f t="shared" ref="O6:O7" si="4">M6-N6</f>
        <v>1920.8149333333313</v>
      </c>
      <c r="P6" s="74">
        <f t="shared" ref="P6:P7" si="5">(M6-N6)/N6*100%</f>
        <v>0.11569780347749255</v>
      </c>
      <c r="R6" s="13"/>
      <c r="S6" s="1"/>
    </row>
    <row r="7" spans="2:22" ht="20" customHeight="1">
      <c r="B7" s="70" t="s">
        <v>29</v>
      </c>
      <c r="C7" s="76">
        <f>C5-C6</f>
        <v>-7878.0337833333288</v>
      </c>
      <c r="D7" s="77">
        <f>Бюджет!C7</f>
        <v>-7012.4399531873896</v>
      </c>
      <c r="E7" s="78">
        <f t="shared" si="0"/>
        <v>-865.59383014593914</v>
      </c>
      <c r="F7" s="79">
        <f t="shared" si="1"/>
        <v>0.12343689727460663</v>
      </c>
      <c r="G7" s="62"/>
      <c r="H7" s="80">
        <f>H5-H6</f>
        <v>-7094.3855166666654</v>
      </c>
      <c r="I7" s="77">
        <f>Бюджет!F7</f>
        <v>-6057.4631383893566</v>
      </c>
      <c r="J7" s="78">
        <f t="shared" si="2"/>
        <v>-1036.9223782773088</v>
      </c>
      <c r="K7" s="79">
        <f t="shared" si="3"/>
        <v>0.17118096381070513</v>
      </c>
      <c r="L7" s="62"/>
      <c r="M7" s="80">
        <f>M5-M6</f>
        <v>-783.6482666666634</v>
      </c>
      <c r="N7" s="77">
        <f>Бюджет!I7</f>
        <v>-954.97681479803396</v>
      </c>
      <c r="O7" s="78">
        <f t="shared" si="4"/>
        <v>171.32854813137055</v>
      </c>
      <c r="P7" s="79">
        <f t="shared" si="5"/>
        <v>-0.17940597664416016</v>
      </c>
      <c r="R7" s="13"/>
      <c r="S7" s="1"/>
    </row>
    <row r="8" spans="2:22" ht="20" customHeight="1">
      <c r="B8" s="70" t="s">
        <v>30</v>
      </c>
      <c r="C8" s="81">
        <f>C7/C5</f>
        <v>-0.36143406693398639</v>
      </c>
      <c r="D8" s="82">
        <f>Бюджет!C8</f>
        <v>-0.34227794511227622</v>
      </c>
      <c r="E8" s="78">
        <f t="shared" si="0"/>
        <v>-1.915612182171017E-2</v>
      </c>
      <c r="F8" s="84">
        <f>C8-D8</f>
        <v>-1.915612182171017E-2</v>
      </c>
      <c r="G8" s="62"/>
      <c r="H8" s="85">
        <f>H7/H5</f>
        <v>-1.748490963088323</v>
      </c>
      <c r="I8" s="82">
        <f>Бюджет!F8</f>
        <v>-1.2514031628247517</v>
      </c>
      <c r="J8" s="83"/>
      <c r="K8" s="84">
        <f>H8-I8</f>
        <v>-0.49708780026357124</v>
      </c>
      <c r="L8" s="62"/>
      <c r="M8" s="85">
        <f>M7/M5</f>
        <v>-4.4176160097712032E-2</v>
      </c>
      <c r="N8" s="82">
        <f>Бюджет!I8</f>
        <v>-6.1032491835328453E-2</v>
      </c>
      <c r="O8" s="83"/>
      <c r="P8" s="84">
        <f>M8-N8</f>
        <v>1.6856331737616422E-2</v>
      </c>
      <c r="R8" s="13"/>
      <c r="S8" s="1"/>
    </row>
    <row r="9" spans="2:22" ht="20" customHeight="1">
      <c r="B9" s="70" t="s">
        <v>31</v>
      </c>
      <c r="C9" s="76">
        <f>SUM(C10:C14)</f>
        <v>8663.0021799999995</v>
      </c>
      <c r="D9" s="77">
        <f>Бюджет!C9</f>
        <v>8974.1299999999992</v>
      </c>
      <c r="E9" s="78">
        <f t="shared" si="0"/>
        <v>-311.1278199999997</v>
      </c>
      <c r="F9" s="79">
        <f t="shared" si="1"/>
        <v>-3.4669413079596541E-2</v>
      </c>
      <c r="G9" s="62"/>
      <c r="H9" s="80">
        <f>SUM(H10:H14)</f>
        <v>3600</v>
      </c>
      <c r="I9" s="77">
        <f>Бюджет!F9</f>
        <v>3744.98</v>
      </c>
      <c r="J9" s="78">
        <f t="shared" ref="J9:J15" si="6">H9-I9</f>
        <v>-144.98000000000002</v>
      </c>
      <c r="K9" s="79">
        <f t="shared" si="3"/>
        <v>-3.8713157346634698E-2</v>
      </c>
      <c r="L9" s="62"/>
      <c r="M9" s="80">
        <f>SUM(M10:M14)</f>
        <v>3600</v>
      </c>
      <c r="N9" s="77">
        <f>Бюджет!I9</f>
        <v>3802.02</v>
      </c>
      <c r="O9" s="78">
        <f>M9-N9</f>
        <v>-202.01999999999998</v>
      </c>
      <c r="P9" s="79">
        <f>(M9-N9)/N9*100%</f>
        <v>-5.3134912493884828E-2</v>
      </c>
      <c r="R9" s="13"/>
      <c r="S9" s="1"/>
    </row>
    <row r="10" spans="2:22" ht="20" customHeight="1">
      <c r="B10" s="43" t="s">
        <v>32</v>
      </c>
      <c r="C10" s="86">
        <f>'Свод факта'!O105</f>
        <v>697.60000000000014</v>
      </c>
      <c r="D10" s="87">
        <f>Бюджет!C10</f>
        <v>648</v>
      </c>
      <c r="E10" s="88">
        <f t="shared" si="0"/>
        <v>49.600000000000136</v>
      </c>
      <c r="F10" s="89">
        <f t="shared" si="1"/>
        <v>7.6543209876543422E-2</v>
      </c>
      <c r="G10" s="62"/>
      <c r="H10" s="90">
        <v>0</v>
      </c>
      <c r="I10" s="87">
        <f>Бюджет!F10</f>
        <v>0</v>
      </c>
      <c r="J10" s="88">
        <f t="shared" si="6"/>
        <v>0</v>
      </c>
      <c r="K10" s="255">
        <v>0</v>
      </c>
      <c r="L10" s="62"/>
      <c r="M10" s="90">
        <v>0</v>
      </c>
      <c r="N10" s="87">
        <f>Бюджет!I10</f>
        <v>0</v>
      </c>
      <c r="O10" s="88">
        <f t="shared" ref="O10:O13" si="7">M10-N10</f>
        <v>0</v>
      </c>
      <c r="P10" s="255">
        <v>0</v>
      </c>
      <c r="R10" s="13"/>
      <c r="S10" s="1"/>
    </row>
    <row r="11" spans="2:22" ht="20" customHeight="1">
      <c r="B11" s="43" t="s">
        <v>33</v>
      </c>
      <c r="C11" s="86">
        <f>'Свод факта'!O222</f>
        <v>675</v>
      </c>
      <c r="D11" s="87">
        <f>Бюджет!C11</f>
        <v>675</v>
      </c>
      <c r="E11" s="88">
        <f t="shared" si="0"/>
        <v>0</v>
      </c>
      <c r="F11" s="255">
        <v>0</v>
      </c>
      <c r="G11" s="62"/>
      <c r="H11" s="90">
        <v>0</v>
      </c>
      <c r="I11" s="87">
        <f>Бюджет!F11</f>
        <v>0</v>
      </c>
      <c r="J11" s="88">
        <f t="shared" si="6"/>
        <v>0</v>
      </c>
      <c r="K11" s="255">
        <v>0</v>
      </c>
      <c r="L11" s="62"/>
      <c r="M11" s="90">
        <v>0</v>
      </c>
      <c r="N11" s="87">
        <f>Бюджет!I11</f>
        <v>0</v>
      </c>
      <c r="O11" s="88">
        <f t="shared" si="7"/>
        <v>0</v>
      </c>
      <c r="P11" s="255">
        <v>0</v>
      </c>
      <c r="R11" s="13"/>
      <c r="S11" s="1"/>
    </row>
    <row r="12" spans="2:22" ht="20" customHeight="1">
      <c r="B12" s="43" t="s">
        <v>34</v>
      </c>
      <c r="C12" s="86">
        <f>H12+M12</f>
        <v>7200</v>
      </c>
      <c r="D12" s="87">
        <f>Бюджет!C12</f>
        <v>7200</v>
      </c>
      <c r="E12" s="88">
        <f t="shared" si="0"/>
        <v>0</v>
      </c>
      <c r="F12" s="255">
        <v>0</v>
      </c>
      <c r="G12" s="62"/>
      <c r="H12" s="90">
        <f>'Свод факта'!O229</f>
        <v>3600</v>
      </c>
      <c r="I12" s="87">
        <f>Бюджет!F12</f>
        <v>3600</v>
      </c>
      <c r="J12" s="88">
        <f t="shared" si="6"/>
        <v>0</v>
      </c>
      <c r="K12" s="255">
        <v>0</v>
      </c>
      <c r="L12" s="62"/>
      <c r="M12" s="90">
        <f>'Свод факта'!O230</f>
        <v>3600</v>
      </c>
      <c r="N12" s="87">
        <f>Бюджет!I12</f>
        <v>3600</v>
      </c>
      <c r="O12" s="88">
        <f t="shared" si="7"/>
        <v>0</v>
      </c>
      <c r="P12" s="255">
        <v>0</v>
      </c>
      <c r="R12" s="13"/>
      <c r="S12" s="1"/>
    </row>
    <row r="13" spans="2:22" ht="20" customHeight="1">
      <c r="B13" s="43" t="s">
        <v>35</v>
      </c>
      <c r="C13" s="86">
        <f>H13+M13+'Свод факта'!O237+'Свод факта'!O252</f>
        <v>90.402179999999987</v>
      </c>
      <c r="D13" s="87">
        <f>Бюджет!C13</f>
        <v>90</v>
      </c>
      <c r="E13" s="91">
        <f t="shared" si="0"/>
        <v>0.4021799999999871</v>
      </c>
      <c r="F13" s="255">
        <v>0</v>
      </c>
      <c r="G13" s="62"/>
      <c r="H13" s="90">
        <v>0</v>
      </c>
      <c r="I13" s="87">
        <f>Бюджет!F13</f>
        <v>0</v>
      </c>
      <c r="J13" s="91">
        <f t="shared" si="6"/>
        <v>0</v>
      </c>
      <c r="K13" s="255">
        <v>0</v>
      </c>
      <c r="L13" s="62"/>
      <c r="M13" s="90">
        <v>0</v>
      </c>
      <c r="N13" s="87">
        <f>Бюджет!I13</f>
        <v>0</v>
      </c>
      <c r="O13" s="91">
        <f t="shared" si="7"/>
        <v>0</v>
      </c>
      <c r="P13" s="255">
        <v>0</v>
      </c>
      <c r="R13" s="13"/>
      <c r="S13" s="1"/>
    </row>
    <row r="14" spans="2:22" ht="20" customHeight="1">
      <c r="B14" s="43" t="s">
        <v>36</v>
      </c>
      <c r="C14" s="86">
        <v>0</v>
      </c>
      <c r="D14" s="87">
        <f>Бюджет!C14</f>
        <v>361.13</v>
      </c>
      <c r="E14" s="88">
        <f t="shared" si="0"/>
        <v>-361.13</v>
      </c>
      <c r="F14" s="89">
        <f t="shared" si="1"/>
        <v>-1</v>
      </c>
      <c r="G14" s="62"/>
      <c r="H14" s="90">
        <v>0</v>
      </c>
      <c r="I14" s="87">
        <f>Бюджет!F14</f>
        <v>144.97999999999999</v>
      </c>
      <c r="J14" s="88">
        <f t="shared" si="6"/>
        <v>-144.97999999999999</v>
      </c>
      <c r="K14" s="89">
        <f t="shared" ref="K14:K15" si="8">(H14-I14)/I14*100%</f>
        <v>-1</v>
      </c>
      <c r="L14" s="62"/>
      <c r="M14" s="90">
        <v>0</v>
      </c>
      <c r="N14" s="87">
        <f>Бюджет!I14</f>
        <v>202.02</v>
      </c>
      <c r="O14" s="88">
        <f>M14-N14</f>
        <v>-202.02</v>
      </c>
      <c r="P14" s="89">
        <f t="shared" ref="P14:P15" si="9">(M14-N14)/N14*100%</f>
        <v>-1</v>
      </c>
      <c r="R14" s="13"/>
      <c r="S14" s="1"/>
    </row>
    <row r="15" spans="2:22" ht="20" customHeight="1">
      <c r="B15" s="70" t="s">
        <v>37</v>
      </c>
      <c r="C15" s="76">
        <f>C7-C9</f>
        <v>-16541.035963333328</v>
      </c>
      <c r="D15" s="77">
        <f>Бюджет!C15</f>
        <v>-15986.569953187389</v>
      </c>
      <c r="E15" s="78">
        <f t="shared" si="0"/>
        <v>-554.46601014593944</v>
      </c>
      <c r="F15" s="79">
        <f t="shared" si="1"/>
        <v>3.4683237978475202E-2</v>
      </c>
      <c r="G15" s="62"/>
      <c r="H15" s="80">
        <f>H7-H9</f>
        <v>-10694.385516666665</v>
      </c>
      <c r="I15" s="77">
        <f>Бюджет!F15</f>
        <v>-9802.443138389357</v>
      </c>
      <c r="J15" s="78">
        <f t="shared" si="6"/>
        <v>-891.94237827730831</v>
      </c>
      <c r="K15" s="79">
        <f t="shared" si="8"/>
        <v>9.0991844143853279E-2</v>
      </c>
      <c r="L15" s="62"/>
      <c r="M15" s="80">
        <f>M7-M9</f>
        <v>-4383.6482666666634</v>
      </c>
      <c r="N15" s="77">
        <f>Бюджет!I15</f>
        <v>-4756.9968147980344</v>
      </c>
      <c r="O15" s="78">
        <f>M15-N15</f>
        <v>373.34854813137099</v>
      </c>
      <c r="P15" s="79">
        <f t="shared" si="9"/>
        <v>-7.8484086213797918E-2</v>
      </c>
      <c r="R15" s="13"/>
      <c r="S15" s="1"/>
    </row>
    <row r="16" spans="2:22" ht="20" customHeight="1">
      <c r="B16" s="70" t="s">
        <v>38</v>
      </c>
      <c r="C16" s="81">
        <f>C15/C5</f>
        <v>-0.7588814752453743</v>
      </c>
      <c r="D16" s="82">
        <f>Бюджет!C16</f>
        <v>-0.78030619149665548</v>
      </c>
      <c r="E16" s="78"/>
      <c r="F16" s="84">
        <f>C16-D16</f>
        <v>2.1424716251281173E-2</v>
      </c>
      <c r="G16" s="62"/>
      <c r="H16" s="85">
        <f>H15/H5</f>
        <v>-2.6357513822367173</v>
      </c>
      <c r="I16" s="82">
        <f>Бюджет!F16</f>
        <v>-2.0250735442447771</v>
      </c>
      <c r="J16" s="83"/>
      <c r="K16" s="84">
        <f>H16-I16</f>
        <v>-0.6106778379919402</v>
      </c>
      <c r="L16" s="62"/>
      <c r="M16" s="85">
        <f>M15/M5</f>
        <v>-0.24711692206510996</v>
      </c>
      <c r="N16" s="82">
        <f>Бюджет!I16</f>
        <v>-0.30401928587265864</v>
      </c>
      <c r="O16" s="83"/>
      <c r="P16" s="84">
        <f>M16-N16</f>
        <v>5.6902363807548678E-2</v>
      </c>
      <c r="R16" s="13"/>
      <c r="S16" s="1"/>
    </row>
    <row r="17" spans="2:19" ht="20" customHeight="1">
      <c r="B17" s="92" t="s">
        <v>39</v>
      </c>
      <c r="C17" s="86">
        <f>IF(C15&gt;0, C15*25%, 0)</f>
        <v>0</v>
      </c>
      <c r="D17" s="87">
        <f>Бюджет!C17</f>
        <v>0</v>
      </c>
      <c r="E17" s="88">
        <f t="shared" si="0"/>
        <v>0</v>
      </c>
      <c r="F17" s="254">
        <v>0</v>
      </c>
      <c r="G17" s="62"/>
      <c r="H17" s="90">
        <v>0</v>
      </c>
      <c r="I17" s="87">
        <f>Бюджет!F17</f>
        <v>0</v>
      </c>
      <c r="J17" s="88">
        <f t="shared" ref="J17:J18" si="10">H17-I17</f>
        <v>0</v>
      </c>
      <c r="K17" s="254">
        <v>0</v>
      </c>
      <c r="L17" s="62"/>
      <c r="M17" s="90">
        <v>0</v>
      </c>
      <c r="N17" s="87">
        <f>Бюджет!I17</f>
        <v>0</v>
      </c>
      <c r="O17" s="88">
        <v>0</v>
      </c>
      <c r="P17" s="254">
        <v>0</v>
      </c>
      <c r="R17" s="13"/>
      <c r="S17" s="1"/>
    </row>
    <row r="18" spans="2:19" ht="20" customHeight="1">
      <c r="B18" s="70" t="s">
        <v>40</v>
      </c>
      <c r="C18" s="76">
        <f>C15-C17</f>
        <v>-16541.035963333328</v>
      </c>
      <c r="D18" s="77">
        <f>Бюджет!C18</f>
        <v>-15986.569953187389</v>
      </c>
      <c r="E18" s="78">
        <f t="shared" si="0"/>
        <v>-554.46601014593944</v>
      </c>
      <c r="F18" s="79">
        <f>(C18-D18)/D18*100%</f>
        <v>3.4683237978475202E-2</v>
      </c>
      <c r="G18" s="62"/>
      <c r="H18" s="80">
        <f>H15-H17</f>
        <v>-10694.385516666665</v>
      </c>
      <c r="I18" s="77">
        <f>Бюджет!F18</f>
        <v>-9802.443138389357</v>
      </c>
      <c r="J18" s="78">
        <f t="shared" si="10"/>
        <v>-891.94237827730831</v>
      </c>
      <c r="K18" s="79">
        <f>(H18-I18)/I18*100%</f>
        <v>9.0991844143853279E-2</v>
      </c>
      <c r="L18" s="62"/>
      <c r="M18" s="80">
        <f>M15-M17</f>
        <v>-4383.6482666666634</v>
      </c>
      <c r="N18" s="77">
        <f>Бюджет!I18</f>
        <v>-4756.9968147980344</v>
      </c>
      <c r="O18" s="78">
        <f>M18-N18</f>
        <v>373.34854813137099</v>
      </c>
      <c r="P18" s="79">
        <f>(M18-N18)/N18*100%</f>
        <v>-7.8484086213797918E-2</v>
      </c>
      <c r="R18" s="13"/>
      <c r="S18" s="1"/>
    </row>
    <row r="19" spans="2:19" ht="20" customHeight="1" thickBot="1">
      <c r="B19" s="93" t="s">
        <v>41</v>
      </c>
      <c r="C19" s="94">
        <f>C18/C5</f>
        <v>-0.7588814752453743</v>
      </c>
      <c r="D19" s="95">
        <f>Бюджет!C19</f>
        <v>-0.78030619149665548</v>
      </c>
      <c r="E19" s="252"/>
      <c r="F19" s="253">
        <f>C19-D19</f>
        <v>2.1424716251281173E-2</v>
      </c>
      <c r="G19" s="62"/>
      <c r="H19" s="97">
        <f>H18/H5</f>
        <v>-2.6357513822367173</v>
      </c>
      <c r="I19" s="95">
        <f>Бюджет!F19</f>
        <v>-2.0250735442447771</v>
      </c>
      <c r="J19" s="96"/>
      <c r="K19" s="253">
        <f>H19-I19</f>
        <v>-0.6106778379919402</v>
      </c>
      <c r="L19" s="62"/>
      <c r="M19" s="97">
        <f>M18/M5</f>
        <v>-0.24711692206510996</v>
      </c>
      <c r="N19" s="95">
        <f>Бюджет!I19</f>
        <v>-0.30401928587265864</v>
      </c>
      <c r="O19" s="96"/>
      <c r="P19" s="253">
        <f>M19-N19</f>
        <v>5.6902363807548678E-2</v>
      </c>
      <c r="R19" s="13"/>
      <c r="S19" s="1"/>
    </row>
    <row r="20" spans="2:19" ht="20" customHeight="1"/>
    <row r="21" spans="2:19" ht="20" customHeight="1" thickBot="1">
      <c r="B21" s="99" t="s">
        <v>42</v>
      </c>
      <c r="C21" s="100"/>
      <c r="D21" s="100"/>
      <c r="E21" s="100"/>
      <c r="F21" s="100"/>
      <c r="G21" s="100"/>
      <c r="H21" s="100"/>
      <c r="I21" s="100"/>
      <c r="J21" s="100"/>
      <c r="K21" s="100"/>
      <c r="L21" s="100"/>
      <c r="M21" s="100"/>
      <c r="N21" s="100"/>
      <c r="O21" s="100"/>
      <c r="P21" s="100"/>
      <c r="R21" s="13" t="s">
        <v>17</v>
      </c>
      <c r="S21" s="1" t="str">
        <f>IF(R21="Нет", " ", "Для формирование полных выводов проведите детальный анализ отклонений на листе Свод факта.")</f>
        <v>Для формирование полных выводов проведите детальный анализ отклонений на листе Свод факта.</v>
      </c>
    </row>
    <row r="22" spans="2:19" ht="20" customHeight="1">
      <c r="B22" s="288" t="s">
        <v>220</v>
      </c>
      <c r="C22" s="101"/>
      <c r="D22" s="101"/>
      <c r="E22" s="101"/>
      <c r="F22" s="101"/>
      <c r="G22" s="101"/>
      <c r="H22" s="101"/>
      <c r="I22" s="101"/>
      <c r="J22" s="101"/>
      <c r="K22" s="101"/>
      <c r="L22" s="101"/>
      <c r="M22" s="101"/>
      <c r="N22" s="101"/>
      <c r="O22" s="101"/>
      <c r="P22" s="102"/>
      <c r="R22" s="13" t="s">
        <v>17</v>
      </c>
      <c r="S22" s="1" t="str">
        <f>IF(R22="Нет", " ", "Проверьте, выполнен ли план по чистой прибыли в по новым направлениям в целом за 2026 год? Сделайте вывод.")</f>
        <v>Проверьте, выполнен ли план по чистой прибыли в по новым направлениям в целом за 2026 год? Сделайте вывод.</v>
      </c>
    </row>
    <row r="23" spans="2:19" ht="20" customHeight="1">
      <c r="B23" s="289" t="s">
        <v>221</v>
      </c>
      <c r="C23" s="103"/>
      <c r="D23" s="104"/>
      <c r="E23" s="104"/>
      <c r="F23" s="104"/>
      <c r="G23" s="104"/>
      <c r="H23" s="105"/>
      <c r="I23" s="104"/>
      <c r="J23" s="104"/>
      <c r="K23" s="104"/>
      <c r="L23" s="104"/>
      <c r="M23" s="103"/>
      <c r="N23" s="104"/>
      <c r="O23" s="104"/>
      <c r="P23" s="106"/>
      <c r="R23" s="13" t="s">
        <v>17</v>
      </c>
      <c r="S23" s="1" t="str">
        <f>IF(R23="Нет", " ", "Проверьте, выполнен ли план по чистой прибыли Community и Education за 2026 год? Сделайте вывод.")</f>
        <v>Проверьте, выполнен ли план по чистой прибыли Community и Education за 2026 год? Сделайте вывод.</v>
      </c>
    </row>
    <row r="24" spans="2:19" ht="20" customHeight="1">
      <c r="B24" s="289" t="s">
        <v>262</v>
      </c>
      <c r="C24" s="104"/>
      <c r="D24" s="104"/>
      <c r="E24" s="104"/>
      <c r="F24" s="104"/>
      <c r="G24" s="104"/>
      <c r="H24" s="104"/>
      <c r="I24" s="104"/>
      <c r="J24" s="104"/>
      <c r="K24" s="104"/>
      <c r="L24" s="104"/>
      <c r="M24" s="104"/>
      <c r="N24" s="104"/>
      <c r="O24" s="104"/>
      <c r="P24" s="106"/>
      <c r="R24" s="13" t="s">
        <v>17</v>
      </c>
      <c r="S24" s="1" t="str">
        <f>IF(R24="Нет", " ", "Выполнен ли план по количеству привлечённых пользователей? Сделай вывод о выполнении/невыполнении плана.")</f>
        <v>Выполнен ли план по количеству привлечённых пользователей? Сделай вывод о выполнении/невыполнении плана.</v>
      </c>
    </row>
    <row r="25" spans="2:19" ht="20" customHeight="1">
      <c r="B25" s="305" t="s">
        <v>247</v>
      </c>
      <c r="C25" s="104"/>
      <c r="D25" s="104"/>
      <c r="E25" s="104"/>
      <c r="F25" s="104"/>
      <c r="G25" s="104"/>
      <c r="H25" s="104"/>
      <c r="I25" s="104"/>
      <c r="J25" s="104"/>
      <c r="K25" s="104"/>
      <c r="L25" s="104"/>
      <c r="M25" s="104"/>
      <c r="N25" s="104"/>
      <c r="O25" s="104"/>
      <c r="P25" s="106"/>
      <c r="R25" s="13" t="s">
        <v>17</v>
      </c>
      <c r="S25" s="1" t="str">
        <f>IF(R25="Нет", " ", "Были ли учтены выбывающие клиенты в бюджетной модели? Сделай вывод.")</f>
        <v>Были ли учтены выбывающие клиенты в бюджетной модели? Сделай вывод.</v>
      </c>
    </row>
    <row r="26" spans="2:19" ht="20" customHeight="1">
      <c r="B26" s="305" t="s">
        <v>248</v>
      </c>
      <c r="C26" s="104"/>
      <c r="D26" s="104"/>
      <c r="E26" s="104"/>
      <c r="F26" s="104"/>
      <c r="G26" s="104"/>
      <c r="H26" s="104"/>
      <c r="I26" s="104"/>
      <c r="J26" s="104"/>
      <c r="K26" s="104"/>
      <c r="L26" s="104"/>
      <c r="M26" s="104"/>
      <c r="N26" s="104"/>
      <c r="O26" s="104"/>
      <c r="P26" s="106"/>
      <c r="R26" s="13" t="s">
        <v>17</v>
      </c>
      <c r="S26" s="1" t="str">
        <f>IF(R26="Нет", " ", "Соответствует ли фактический уровень продаж плановому? Сделай вывод.")</f>
        <v>Соответствует ли фактический уровень продаж плановому? Сделай вывод.</v>
      </c>
    </row>
    <row r="27" spans="2:19" ht="20" customHeight="1">
      <c r="B27" s="305" t="s">
        <v>252</v>
      </c>
      <c r="C27" s="104"/>
      <c r="D27" s="104"/>
      <c r="E27" s="104"/>
      <c r="F27" s="104"/>
      <c r="G27" s="104"/>
      <c r="H27" s="104"/>
      <c r="I27" s="104"/>
      <c r="J27" s="104"/>
      <c r="K27" s="104"/>
      <c r="L27" s="104"/>
      <c r="M27" s="104"/>
      <c r="N27" s="104"/>
      <c r="O27" s="104"/>
      <c r="P27" s="106"/>
      <c r="R27" s="13" t="s">
        <v>17</v>
      </c>
      <c r="S27" s="1" t="str">
        <f>IF(R27="Нет", " ", "Были ли учтены в плане компенсации по питанию в расходах на персонал? Сделай вывод.")</f>
        <v>Были ли учтены в плане компенсации по питанию в расходах на персонал? Сделай вывод.</v>
      </c>
    </row>
    <row r="28" spans="2:19" ht="20" customHeight="1">
      <c r="B28" s="305" t="s">
        <v>249</v>
      </c>
      <c r="C28" s="104"/>
      <c r="D28" s="104"/>
      <c r="E28" s="104"/>
      <c r="F28" s="104"/>
      <c r="G28" s="104"/>
      <c r="H28" s="104"/>
      <c r="I28" s="104"/>
      <c r="J28" s="104"/>
      <c r="K28" s="104"/>
      <c r="L28" s="104"/>
      <c r="M28" s="104"/>
      <c r="N28" s="104"/>
      <c r="O28" s="104"/>
      <c r="P28" s="106"/>
      <c r="R28" s="13" t="s">
        <v>17</v>
      </c>
      <c r="S28" s="1" t="str">
        <f>IF(R28="Нет", " ", "Было ли учтено в плане влияние курса доллара на стоимость лицензий? Сделай вывод.")</f>
        <v>Было ли учтено в плане влияние курса доллара на стоимость лицензий? Сделай вывод.</v>
      </c>
    </row>
    <row r="29" spans="2:19" ht="20" customHeight="1">
      <c r="B29" s="305" t="s">
        <v>251</v>
      </c>
      <c r="C29" s="104"/>
      <c r="D29" s="104"/>
      <c r="E29" s="104"/>
      <c r="F29" s="104"/>
      <c r="G29" s="104"/>
      <c r="H29" s="104"/>
      <c r="I29" s="104"/>
      <c r="J29" s="104"/>
      <c r="K29" s="104"/>
      <c r="L29" s="104"/>
      <c r="M29" s="104"/>
      <c r="N29" s="104"/>
      <c r="O29" s="104"/>
      <c r="P29" s="106"/>
      <c r="R29" s="13" t="s">
        <v>17</v>
      </c>
      <c r="S29" s="1" t="str">
        <f>IF(R29="Нет", " ", "Оправдались ли ожидания по количеству сотрудников? Сделай вывод.")</f>
        <v>Оправдались ли ожидания по количеству сотрудников? Сделай вывод.</v>
      </c>
    </row>
    <row r="30" spans="2:19" ht="20" customHeight="1">
      <c r="B30" s="305" t="s">
        <v>250</v>
      </c>
      <c r="C30" s="104"/>
      <c r="D30" s="104"/>
      <c r="E30" s="104"/>
      <c r="F30" s="104"/>
      <c r="G30" s="104"/>
      <c r="H30" s="104"/>
      <c r="I30" s="104"/>
      <c r="J30" s="104"/>
      <c r="K30" s="104"/>
      <c r="L30" s="104"/>
      <c r="M30" s="104"/>
      <c r="N30" s="104"/>
      <c r="O30" s="104"/>
      <c r="P30" s="106"/>
      <c r="R30" s="13" t="s">
        <v>17</v>
      </c>
      <c r="S30" s="1" t="str">
        <f>IF(R30="Нет", " ", "Был ли учтён при планировании период закупки оборудования по мере роста штата? Сделай вывод.")</f>
        <v>Был ли учтён при планировании период закупки оборудования по мере роста штата? Сделай вывод.</v>
      </c>
    </row>
    <row r="31" spans="2:19" ht="20" customHeight="1">
      <c r="B31" s="305" t="s">
        <v>253</v>
      </c>
      <c r="C31" s="104"/>
      <c r="D31" s="104"/>
      <c r="E31" s="104"/>
      <c r="F31" s="104"/>
      <c r="G31" s="104"/>
      <c r="H31" s="104"/>
      <c r="I31" s="104"/>
      <c r="J31" s="104"/>
      <c r="K31" s="104"/>
      <c r="L31" s="104"/>
      <c r="M31" s="104"/>
      <c r="N31" s="104"/>
      <c r="O31" s="104"/>
      <c r="P31" s="106"/>
      <c r="R31" s="13" t="s">
        <v>17</v>
      </c>
      <c r="S31" s="1" t="str">
        <f>IF(R31="Нет", " ", "Какие рекомендации на основе полученных выводов можно дать руководству компании?")</f>
        <v>Какие рекомендации на основе полученных выводов можно дать руководству компании?</v>
      </c>
    </row>
    <row r="32" spans="2:19" ht="20" customHeight="1">
      <c r="B32" s="305" t="s">
        <v>254</v>
      </c>
      <c r="C32" s="104"/>
      <c r="D32" s="104"/>
      <c r="E32" s="104"/>
      <c r="F32" s="104"/>
      <c r="G32" s="104"/>
      <c r="H32" s="104"/>
      <c r="I32" s="104"/>
      <c r="J32" s="104"/>
      <c r="K32" s="104"/>
      <c r="L32" s="104"/>
      <c r="M32" s="104"/>
      <c r="N32" s="104"/>
      <c r="O32" s="104"/>
      <c r="P32" s="106"/>
      <c r="R32" s="13" t="s">
        <v>17</v>
      </c>
      <c r="S32" s="1" t="str">
        <f>IF(R32="Нет", " ", "Из полученных выводов, как думаете, что нужно сделать для минимизации отклонений пана от факта в будущем?")</f>
        <v>Из полученных выводов, как думаете, что нужно сделать для минимизации отклонений пана от факта в будущем?</v>
      </c>
    </row>
    <row r="33" spans="2:19" ht="20" customHeight="1">
      <c r="B33" s="305" t="s">
        <v>255</v>
      </c>
      <c r="C33" s="104"/>
      <c r="D33" s="104"/>
      <c r="E33" s="104"/>
      <c r="F33" s="104"/>
      <c r="G33" s="104"/>
      <c r="H33" s="104"/>
      <c r="I33" s="104"/>
      <c r="J33" s="104"/>
      <c r="K33" s="104"/>
      <c r="L33" s="104"/>
      <c r="M33" s="104"/>
      <c r="N33" s="104"/>
      <c r="O33" s="104"/>
      <c r="P33" s="106"/>
      <c r="R33" s="13"/>
      <c r="S33" s="1"/>
    </row>
    <row r="34" spans="2:19" ht="20" customHeight="1">
      <c r="B34" s="305" t="s">
        <v>256</v>
      </c>
      <c r="C34" s="104"/>
      <c r="D34" s="104"/>
      <c r="E34" s="104"/>
      <c r="F34" s="104"/>
      <c r="G34" s="104"/>
      <c r="H34" s="104"/>
      <c r="I34" s="104"/>
      <c r="J34" s="104"/>
      <c r="K34" s="104"/>
      <c r="L34" s="104"/>
      <c r="M34" s="104"/>
      <c r="N34" s="104"/>
      <c r="O34" s="104"/>
      <c r="P34" s="106"/>
      <c r="R34" s="13"/>
      <c r="S34" s="1"/>
    </row>
    <row r="35" spans="2:19" ht="20" customHeight="1">
      <c r="B35" s="305" t="s">
        <v>257</v>
      </c>
      <c r="C35" s="104"/>
      <c r="D35" s="104"/>
      <c r="E35" s="104"/>
      <c r="F35" s="104"/>
      <c r="G35" s="104"/>
      <c r="H35" s="104"/>
      <c r="I35" s="104"/>
      <c r="J35" s="104"/>
      <c r="K35" s="104"/>
      <c r="L35" s="104"/>
      <c r="M35" s="104"/>
      <c r="N35" s="104"/>
      <c r="O35" s="104"/>
      <c r="P35" s="106"/>
      <c r="R35" s="13"/>
      <c r="S35" s="1"/>
    </row>
    <row r="36" spans="2:19" ht="20" customHeight="1">
      <c r="B36" s="305" t="s">
        <v>258</v>
      </c>
      <c r="C36" s="104"/>
      <c r="D36" s="104"/>
      <c r="E36" s="104"/>
      <c r="F36" s="104"/>
      <c r="G36" s="104"/>
      <c r="H36" s="104"/>
      <c r="I36" s="104"/>
      <c r="J36" s="104"/>
      <c r="K36" s="104"/>
      <c r="L36" s="104"/>
      <c r="M36" s="104"/>
      <c r="N36" s="104"/>
      <c r="O36" s="104"/>
      <c r="P36" s="106"/>
      <c r="R36" s="13"/>
      <c r="S36" s="1"/>
    </row>
    <row r="37" spans="2:19" ht="20" customHeight="1">
      <c r="B37" s="305" t="s">
        <v>259</v>
      </c>
      <c r="C37" s="104"/>
      <c r="D37" s="104"/>
      <c r="E37" s="104"/>
      <c r="F37" s="104"/>
      <c r="G37" s="104"/>
      <c r="H37" s="104"/>
      <c r="I37" s="104"/>
      <c r="J37" s="104"/>
      <c r="K37" s="104"/>
      <c r="L37" s="104"/>
      <c r="M37" s="104"/>
      <c r="N37" s="104"/>
      <c r="O37" s="104"/>
      <c r="P37" s="106"/>
      <c r="R37" s="13"/>
      <c r="S37" s="1"/>
    </row>
    <row r="38" spans="2:19" ht="20" customHeight="1">
      <c r="B38" s="305" t="s">
        <v>260</v>
      </c>
      <c r="C38" s="104"/>
      <c r="D38" s="104"/>
      <c r="E38" s="104"/>
      <c r="F38" s="104"/>
      <c r="G38" s="104"/>
      <c r="H38" s="104"/>
      <c r="I38" s="104"/>
      <c r="J38" s="104"/>
      <c r="K38" s="104"/>
      <c r="L38" s="104"/>
      <c r="M38" s="104"/>
      <c r="N38" s="104"/>
      <c r="O38" s="104"/>
      <c r="P38" s="106"/>
      <c r="R38" s="13"/>
      <c r="S38" s="1"/>
    </row>
    <row r="39" spans="2:19" ht="20" customHeight="1">
      <c r="B39" s="305" t="s">
        <v>261</v>
      </c>
      <c r="C39" s="104"/>
      <c r="D39" s="104"/>
      <c r="E39" s="104"/>
      <c r="F39" s="104"/>
      <c r="G39" s="104"/>
      <c r="H39" s="104"/>
      <c r="I39" s="104"/>
      <c r="J39" s="104"/>
      <c r="K39" s="104"/>
      <c r="L39" s="104"/>
      <c r="M39" s="104"/>
      <c r="N39" s="104"/>
      <c r="O39" s="104"/>
      <c r="P39" s="106"/>
      <c r="R39" s="13"/>
      <c r="S39" s="1"/>
    </row>
    <row r="40" spans="2:19" ht="20" customHeight="1" thickBot="1">
      <c r="B40" s="107"/>
      <c r="C40" s="108"/>
      <c r="D40" s="108"/>
      <c r="E40" s="108"/>
      <c r="F40" s="108"/>
      <c r="G40" s="108"/>
      <c r="H40" s="108"/>
      <c r="I40" s="108"/>
      <c r="J40" s="108"/>
      <c r="K40" s="108"/>
      <c r="L40" s="108"/>
      <c r="M40" s="108"/>
      <c r="N40" s="108"/>
      <c r="O40" s="108"/>
      <c r="P40" s="109"/>
      <c r="R40" s="13"/>
      <c r="S40" s="1"/>
    </row>
    <row r="42" spans="2:19">
      <c r="B42" s="1"/>
    </row>
    <row r="43" spans="2:19">
      <c r="B43" s="1"/>
    </row>
    <row r="44" spans="2:19">
      <c r="B44" s="1"/>
    </row>
    <row r="45" spans="2:19">
      <c r="B45" s="1"/>
    </row>
    <row r="46" spans="2:19">
      <c r="B46" s="1"/>
    </row>
    <row r="47" spans="2:19">
      <c r="B47" s="1"/>
    </row>
    <row r="48" spans="2:19">
      <c r="B48" s="1"/>
    </row>
    <row r="49" spans="2:2">
      <c r="B49" s="1"/>
    </row>
  </sheetData>
  <mergeCells count="3">
    <mergeCell ref="C3:F3"/>
    <mergeCell ref="H3:K3"/>
    <mergeCell ref="M3:P3"/>
  </mergeCells>
  <dataValidations count="2">
    <dataValidation type="list" allowBlank="1" showInputMessage="1" showErrorMessage="1" sqref="R6:R19" xr:uid="{CCFFC877-2B79-41E9-BA4F-4935C30B44B1}">
      <formula1>#REF!</formula1>
    </dataValidation>
    <dataValidation type="list" allowBlank="1" showInputMessage="1" showErrorMessage="1" sqref="R4 R21:R40" xr:uid="{D5B5A9AB-F35B-4574-A4CA-901FE9A92A1D}">
      <formula1>$V$2:$V$3</formula1>
    </dataValidation>
  </dataValidations>
  <pageMargins left="0.7" right="0.7" top="0.75" bottom="0.75" header="0.3" footer="0.3"/>
  <ignoredErrors>
    <ignoredError sqref="G8:I12 G15:I18 G14 I14 N14 L8:N12 L15:N18 L14 G13 I13 L13 N13"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4B4A4-E87A-40B3-B91F-F20A8AC77678}">
  <sheetPr>
    <tabColor rgb="FF92D050"/>
  </sheetPr>
  <dimension ref="B1:BW262"/>
  <sheetViews>
    <sheetView showGridLines="0" tabSelected="1" zoomScale="99" zoomScaleNormal="100" workbookViewId="0">
      <selection activeCell="F11" sqref="F11"/>
    </sheetView>
  </sheetViews>
  <sheetFormatPr baseColWidth="10" defaultColWidth="8.83203125" defaultRowHeight="15" outlineLevelRow="1" outlineLevelCol="1"/>
  <cols>
    <col min="1" max="1" width="4.1640625" customWidth="1"/>
    <col min="2" max="2" width="26.83203125" customWidth="1"/>
    <col min="3" max="7" width="7.33203125" customWidth="1" outlineLevel="1"/>
    <col min="8" max="8" width="9.83203125" customWidth="1" outlineLevel="1"/>
    <col min="9" max="14" width="7.33203125" customWidth="1" outlineLevel="1"/>
    <col min="15" max="15" width="8.1640625" customWidth="1"/>
    <col min="16" max="27" width="7.33203125" customWidth="1" outlineLevel="1"/>
    <col min="28" max="28" width="7.33203125" customWidth="1"/>
    <col min="29" max="29" width="7.6640625" customWidth="1"/>
    <col min="30" max="41" width="7.33203125" customWidth="1"/>
    <col min="42" max="42" width="63.5" customWidth="1"/>
    <col min="43" max="43" width="6" customWidth="1"/>
    <col min="44" max="44" width="16" bestFit="1" customWidth="1"/>
    <col min="45" max="45" width="8.83203125" style="1"/>
  </cols>
  <sheetData>
    <row r="1" spans="2:45" ht="20" customHeight="1"/>
    <row r="2" spans="2:45" ht="38" customHeight="1">
      <c r="B2" s="111" t="s">
        <v>43</v>
      </c>
      <c r="C2" s="111"/>
      <c r="D2" s="111"/>
      <c r="E2" s="111"/>
      <c r="F2" s="111"/>
      <c r="G2" s="112"/>
      <c r="H2" s="112"/>
      <c r="I2" s="112"/>
      <c r="J2" s="112"/>
      <c r="K2" s="112"/>
      <c r="L2" s="112"/>
      <c r="M2" s="112"/>
      <c r="N2" s="112"/>
      <c r="O2" s="112"/>
      <c r="P2" s="112"/>
      <c r="Q2" s="112"/>
      <c r="R2" s="112"/>
      <c r="S2" s="112"/>
      <c r="T2" s="112"/>
      <c r="U2" s="112"/>
      <c r="V2" s="112"/>
      <c r="W2" s="112"/>
      <c r="X2" s="112"/>
      <c r="Y2" s="112"/>
      <c r="Z2" s="112"/>
      <c r="AA2" s="112"/>
      <c r="AB2" s="112"/>
      <c r="AC2" s="112"/>
      <c r="AD2" s="112"/>
      <c r="AE2" s="112"/>
      <c r="AF2" s="112"/>
      <c r="AG2" s="112"/>
      <c r="AH2" s="112"/>
      <c r="AI2" s="112"/>
      <c r="AJ2" s="112"/>
      <c r="AK2" s="112"/>
      <c r="AL2" s="112"/>
      <c r="AM2" s="112"/>
      <c r="AN2" s="112"/>
      <c r="AO2" s="112"/>
      <c r="AP2" s="244" t="s">
        <v>42</v>
      </c>
      <c r="AR2" s="110" t="s">
        <v>16</v>
      </c>
    </row>
    <row r="3" spans="2:45" ht="20" customHeight="1" thickBot="1">
      <c r="B3" s="113"/>
      <c r="C3" s="114" t="s">
        <v>186</v>
      </c>
      <c r="D3" s="114" t="s">
        <v>187</v>
      </c>
      <c r="E3" s="114" t="s">
        <v>188</v>
      </c>
      <c r="F3" s="114" t="s">
        <v>189</v>
      </c>
      <c r="G3" s="248">
        <v>46143</v>
      </c>
      <c r="H3" s="114" t="s">
        <v>190</v>
      </c>
      <c r="I3" s="114" t="s">
        <v>191</v>
      </c>
      <c r="J3" s="114" t="s">
        <v>192</v>
      </c>
      <c r="K3" s="114" t="s">
        <v>193</v>
      </c>
      <c r="L3" s="114" t="s">
        <v>194</v>
      </c>
      <c r="M3" s="114" t="s">
        <v>195</v>
      </c>
      <c r="N3" s="114" t="s">
        <v>196</v>
      </c>
      <c r="O3" s="115">
        <v>2026</v>
      </c>
      <c r="P3" s="114" t="s">
        <v>186</v>
      </c>
      <c r="Q3" s="114" t="s">
        <v>187</v>
      </c>
      <c r="R3" s="114" t="s">
        <v>188</v>
      </c>
      <c r="S3" s="114" t="s">
        <v>189</v>
      </c>
      <c r="T3" s="248">
        <v>46143</v>
      </c>
      <c r="U3" s="114" t="s">
        <v>190</v>
      </c>
      <c r="V3" s="114" t="s">
        <v>191</v>
      </c>
      <c r="W3" s="114" t="s">
        <v>192</v>
      </c>
      <c r="X3" s="114" t="s">
        <v>193</v>
      </c>
      <c r="Y3" s="114" t="s">
        <v>194</v>
      </c>
      <c r="Z3" s="114" t="s">
        <v>195</v>
      </c>
      <c r="AA3" s="114" t="s">
        <v>196</v>
      </c>
      <c r="AB3" s="116">
        <v>2026</v>
      </c>
      <c r="AC3" s="123"/>
      <c r="AD3" s="123"/>
      <c r="AE3" s="123"/>
      <c r="AF3" s="123"/>
      <c r="AG3" s="123"/>
      <c r="AH3" s="123"/>
      <c r="AI3" s="123"/>
      <c r="AJ3" s="123"/>
      <c r="AK3" s="123"/>
      <c r="AL3" s="123"/>
      <c r="AM3" s="123"/>
      <c r="AN3" s="123"/>
      <c r="AO3" s="123"/>
    </row>
    <row r="4" spans="2:45" ht="20" customHeight="1">
      <c r="B4" s="117" t="s">
        <v>44</v>
      </c>
      <c r="C4" s="118">
        <v>31</v>
      </c>
      <c r="D4" s="118">
        <v>28</v>
      </c>
      <c r="E4" s="118">
        <v>31</v>
      </c>
      <c r="F4" s="118">
        <v>30</v>
      </c>
      <c r="G4" s="118">
        <v>31</v>
      </c>
      <c r="H4" s="118">
        <v>30</v>
      </c>
      <c r="I4" s="118">
        <v>31</v>
      </c>
      <c r="J4" s="118">
        <v>31</v>
      </c>
      <c r="K4" s="118">
        <v>30</v>
      </c>
      <c r="L4" s="118">
        <v>31</v>
      </c>
      <c r="M4" s="118">
        <v>30</v>
      </c>
      <c r="N4" s="118">
        <v>31</v>
      </c>
      <c r="O4" s="65">
        <f>SUM(C4:N4)</f>
        <v>365</v>
      </c>
      <c r="P4" s="118">
        <v>31</v>
      </c>
      <c r="Q4" s="118">
        <v>28</v>
      </c>
      <c r="R4" s="118">
        <v>31</v>
      </c>
      <c r="S4" s="118">
        <v>30</v>
      </c>
      <c r="T4" s="118">
        <v>31</v>
      </c>
      <c r="U4" s="118">
        <v>30</v>
      </c>
      <c r="V4" s="118">
        <v>31</v>
      </c>
      <c r="W4" s="118">
        <v>31</v>
      </c>
      <c r="X4" s="118">
        <v>30</v>
      </c>
      <c r="Y4" s="118">
        <v>31</v>
      </c>
      <c r="Z4" s="118">
        <v>30</v>
      </c>
      <c r="AA4" s="118">
        <v>31</v>
      </c>
      <c r="AB4" s="66">
        <f>SUM(P4:AA4)</f>
        <v>365</v>
      </c>
      <c r="AC4" s="263"/>
      <c r="AD4" s="263"/>
      <c r="AE4" s="263"/>
      <c r="AF4" s="263"/>
      <c r="AG4" s="263"/>
      <c r="AH4" s="263"/>
      <c r="AI4" s="263"/>
      <c r="AJ4" s="263"/>
      <c r="AK4" s="263"/>
      <c r="AL4" s="263"/>
      <c r="AM4" s="263"/>
      <c r="AN4" s="263"/>
      <c r="AO4" s="263"/>
    </row>
    <row r="5" spans="2:45" ht="20" customHeight="1">
      <c r="B5" s="119" t="s">
        <v>45</v>
      </c>
      <c r="C5" s="120">
        <v>15</v>
      </c>
      <c r="D5" s="120">
        <v>19</v>
      </c>
      <c r="E5" s="120">
        <v>21</v>
      </c>
      <c r="F5" s="120">
        <v>22</v>
      </c>
      <c r="G5" s="120">
        <v>19</v>
      </c>
      <c r="H5" s="120">
        <v>21</v>
      </c>
      <c r="I5" s="120">
        <v>23</v>
      </c>
      <c r="J5" s="120">
        <v>21</v>
      </c>
      <c r="K5" s="120">
        <v>22</v>
      </c>
      <c r="L5" s="120">
        <v>22</v>
      </c>
      <c r="M5" s="120">
        <v>20</v>
      </c>
      <c r="N5" s="120">
        <v>22</v>
      </c>
      <c r="O5" s="121">
        <f>SUM(C5:N5)</f>
        <v>247</v>
      </c>
      <c r="P5" s="120">
        <v>15</v>
      </c>
      <c r="Q5" s="120">
        <v>19</v>
      </c>
      <c r="R5" s="120">
        <v>21</v>
      </c>
      <c r="S5" s="120">
        <v>22</v>
      </c>
      <c r="T5" s="120">
        <v>19</v>
      </c>
      <c r="U5" s="120">
        <v>21</v>
      </c>
      <c r="V5" s="120">
        <v>23</v>
      </c>
      <c r="W5" s="120">
        <v>21</v>
      </c>
      <c r="X5" s="120">
        <v>22</v>
      </c>
      <c r="Y5" s="120">
        <v>22</v>
      </c>
      <c r="Z5" s="120">
        <v>20</v>
      </c>
      <c r="AA5" s="120">
        <v>22</v>
      </c>
      <c r="AB5" s="122">
        <f>SUM(P5:AA5)</f>
        <v>247</v>
      </c>
      <c r="AC5" s="263"/>
      <c r="AD5" s="263"/>
      <c r="AE5" s="263"/>
      <c r="AF5" s="263"/>
      <c r="AG5" s="263"/>
      <c r="AH5" s="263"/>
      <c r="AI5" s="263"/>
      <c r="AJ5" s="263"/>
      <c r="AK5" s="263"/>
      <c r="AL5" s="263"/>
      <c r="AM5" s="263"/>
      <c r="AN5" s="263"/>
      <c r="AO5" s="263"/>
    </row>
    <row r="6" spans="2:45" ht="20" customHeight="1" thickBot="1">
      <c r="O6" s="7"/>
      <c r="AB6" s="7"/>
      <c r="AC6" s="7"/>
      <c r="AD6" s="7"/>
      <c r="AE6" s="7"/>
      <c r="AF6" s="7"/>
      <c r="AG6" s="7"/>
      <c r="AH6" s="7"/>
      <c r="AI6" s="7"/>
      <c r="AJ6" s="7"/>
      <c r="AK6" s="7"/>
      <c r="AL6" s="7"/>
      <c r="AM6" s="7"/>
      <c r="AN6" s="7"/>
      <c r="AO6" s="7"/>
    </row>
    <row r="7" spans="2:45" ht="38" customHeight="1">
      <c r="B7" s="111" t="s">
        <v>46</v>
      </c>
      <c r="C7" s="111"/>
      <c r="D7" s="111"/>
      <c r="E7" s="111"/>
      <c r="F7" s="111"/>
      <c r="G7" s="111"/>
      <c r="H7" s="111"/>
      <c r="I7" s="111" t="s">
        <v>47</v>
      </c>
      <c r="J7" s="111"/>
      <c r="K7" s="111"/>
      <c r="L7" s="111"/>
      <c r="M7" s="111"/>
      <c r="N7" s="111"/>
      <c r="O7" s="111"/>
      <c r="P7" s="325" t="s">
        <v>48</v>
      </c>
      <c r="Q7" s="325"/>
      <c r="R7" s="325"/>
      <c r="S7" s="325"/>
      <c r="T7" s="325"/>
      <c r="U7" s="325"/>
      <c r="V7" s="325"/>
      <c r="W7" s="325"/>
      <c r="X7" s="325"/>
      <c r="Y7" s="325"/>
      <c r="Z7" s="325"/>
      <c r="AA7" s="325"/>
      <c r="AB7" s="325"/>
      <c r="AC7" s="244"/>
      <c r="AD7" s="244"/>
      <c r="AE7" s="244"/>
      <c r="AF7" s="244"/>
      <c r="AG7" s="244"/>
      <c r="AH7" s="244"/>
      <c r="AI7" s="244"/>
      <c r="AJ7" s="244"/>
      <c r="AK7" s="244"/>
      <c r="AL7" s="244"/>
      <c r="AM7" s="244"/>
      <c r="AN7" s="244"/>
      <c r="AO7" s="244"/>
      <c r="AP7" s="33"/>
      <c r="AR7" s="13" t="s">
        <v>18</v>
      </c>
      <c r="AS7" s="1" t="str">
        <f>IF(AR7="Нет", " ", "Δ факт/план = Факт - План. Плановые данные находятся на предпоследнем листе Расчёты")</f>
        <v xml:space="preserve"> </v>
      </c>
    </row>
    <row r="8" spans="2:45" ht="26" customHeight="1" thickBot="1">
      <c r="B8" s="113"/>
      <c r="C8" s="114" t="s">
        <v>186</v>
      </c>
      <c r="D8" s="114" t="s">
        <v>187</v>
      </c>
      <c r="E8" s="114" t="s">
        <v>188</v>
      </c>
      <c r="F8" s="114" t="s">
        <v>189</v>
      </c>
      <c r="G8" s="248">
        <v>46143</v>
      </c>
      <c r="H8" s="114" t="s">
        <v>190</v>
      </c>
      <c r="I8" s="114" t="s">
        <v>191</v>
      </c>
      <c r="J8" s="114" t="s">
        <v>192</v>
      </c>
      <c r="K8" s="114" t="s">
        <v>193</v>
      </c>
      <c r="L8" s="114" t="s">
        <v>194</v>
      </c>
      <c r="M8" s="114" t="s">
        <v>195</v>
      </c>
      <c r="N8" s="114" t="s">
        <v>196</v>
      </c>
      <c r="O8" s="115">
        <v>2026</v>
      </c>
      <c r="P8" s="114" t="s">
        <v>186</v>
      </c>
      <c r="Q8" s="114" t="s">
        <v>187</v>
      </c>
      <c r="R8" s="114" t="s">
        <v>188</v>
      </c>
      <c r="S8" s="114" t="s">
        <v>189</v>
      </c>
      <c r="T8" s="248">
        <v>46143</v>
      </c>
      <c r="U8" s="114" t="s">
        <v>190</v>
      </c>
      <c r="V8" s="114" t="s">
        <v>191</v>
      </c>
      <c r="W8" s="114" t="s">
        <v>192</v>
      </c>
      <c r="X8" s="114" t="s">
        <v>193</v>
      </c>
      <c r="Y8" s="114" t="s">
        <v>194</v>
      </c>
      <c r="Z8" s="114" t="s">
        <v>195</v>
      </c>
      <c r="AA8" s="114" t="s">
        <v>196</v>
      </c>
      <c r="AB8" s="116">
        <v>2026</v>
      </c>
      <c r="AC8" s="286"/>
      <c r="AD8" s="123"/>
      <c r="AE8" s="123"/>
      <c r="AF8" s="123"/>
      <c r="AG8" s="123"/>
      <c r="AH8" s="123"/>
      <c r="AI8" s="123"/>
      <c r="AJ8" s="123"/>
      <c r="AK8" s="123"/>
      <c r="AL8" s="123"/>
      <c r="AM8" s="123"/>
      <c r="AN8" s="123"/>
      <c r="AO8" s="123"/>
      <c r="AP8" s="34"/>
      <c r="AR8" s="13" t="s">
        <v>18</v>
      </c>
      <c r="AS8" s="1" t="str">
        <f>IF(AR8="Нет", " ", "Для дальнейшего анализа рассчитайте план-факт отклонения по драйверам данного показателя.")</f>
        <v xml:space="preserve"> </v>
      </c>
    </row>
    <row r="9" spans="2:45" ht="10.25" customHeight="1" thickBot="1">
      <c r="B9" s="123"/>
      <c r="C9" s="124"/>
      <c r="D9" s="124"/>
      <c r="E9" s="124"/>
      <c r="F9" s="124"/>
      <c r="G9" s="124"/>
      <c r="H9" s="124"/>
      <c r="I9" s="124"/>
      <c r="J9" s="124"/>
      <c r="K9" s="124"/>
      <c r="L9" s="124"/>
      <c r="M9" s="124"/>
      <c r="N9" s="124"/>
      <c r="O9" s="123"/>
      <c r="P9" s="124"/>
      <c r="Q9" s="124"/>
      <c r="R9" s="124"/>
      <c r="S9" s="124"/>
      <c r="T9" s="124"/>
      <c r="U9" s="124"/>
      <c r="V9" s="124"/>
      <c r="W9" s="124"/>
      <c r="X9" s="124"/>
      <c r="Y9" s="124"/>
      <c r="Z9" s="124"/>
      <c r="AA9" s="124"/>
      <c r="AB9" s="123"/>
      <c r="AC9" s="123"/>
      <c r="AD9" s="123"/>
      <c r="AE9" s="123"/>
      <c r="AF9" s="123"/>
      <c r="AG9" s="123"/>
      <c r="AH9" s="123"/>
      <c r="AI9" s="123"/>
      <c r="AJ9" s="123"/>
      <c r="AK9" s="123"/>
      <c r="AL9" s="123"/>
      <c r="AM9" s="123"/>
      <c r="AN9" s="123"/>
      <c r="AO9" s="123"/>
      <c r="AP9" s="34"/>
      <c r="AR9" s="13"/>
    </row>
    <row r="10" spans="2:45" ht="20" customHeight="1">
      <c r="B10" s="125" t="s">
        <v>21</v>
      </c>
      <c r="C10" s="126">
        <f>SUM(C11:C15)</f>
        <v>0</v>
      </c>
      <c r="D10" s="126">
        <f t="shared" ref="D10:N10" si="0">SUM(D11:D15)</f>
        <v>70.516666666666666</v>
      </c>
      <c r="E10" s="126">
        <f t="shared" si="0"/>
        <v>125.53333333333333</v>
      </c>
      <c r="F10" s="126">
        <f t="shared" si="0"/>
        <v>183.53333333333333</v>
      </c>
      <c r="G10" s="126">
        <f t="shared" si="0"/>
        <v>241.14999999999998</v>
      </c>
      <c r="H10" s="126">
        <f t="shared" si="0"/>
        <v>298.86666666666667</v>
      </c>
      <c r="I10" s="126">
        <f t="shared" si="0"/>
        <v>361.25</v>
      </c>
      <c r="J10" s="126">
        <f t="shared" si="0"/>
        <v>427.5333333333333</v>
      </c>
      <c r="K10" s="126">
        <f t="shared" si="0"/>
        <v>494.76666666666671</v>
      </c>
      <c r="L10" s="126">
        <f t="shared" si="0"/>
        <v>553.76666666666665</v>
      </c>
      <c r="M10" s="126">
        <f t="shared" si="0"/>
        <v>617.29999999999995</v>
      </c>
      <c r="N10" s="126">
        <f t="shared" si="0"/>
        <v>683.2166666666667</v>
      </c>
      <c r="O10" s="126">
        <f>SUM(C10:N10)</f>
        <v>4057.4333333333338</v>
      </c>
      <c r="P10" s="256">
        <f>SUM(P11:P15)</f>
        <v>0</v>
      </c>
      <c r="Q10" s="257">
        <f>SUM(Q11:Q15)</f>
        <v>2.1833333333333336</v>
      </c>
      <c r="R10" s="257">
        <f t="shared" ref="R10:AA10" si="1">SUM(R11:R15)</f>
        <v>-12.294999999999984</v>
      </c>
      <c r="S10" s="257">
        <f t="shared" si="1"/>
        <v>-24.971414999999972</v>
      </c>
      <c r="T10" s="257">
        <f t="shared" si="1"/>
        <v>-39.232662388333303</v>
      </c>
      <c r="U10" s="257">
        <f t="shared" si="1"/>
        <v>-54.615834315601589</v>
      </c>
      <c r="V10" s="257">
        <f t="shared" si="1"/>
        <v>-68.805312907801067</v>
      </c>
      <c r="W10" s="257">
        <f t="shared" si="1"/>
        <v>-82.732765794582619</v>
      </c>
      <c r="X10" s="257">
        <f t="shared" si="1"/>
        <v>-99.521033134681872</v>
      </c>
      <c r="Y10" s="257">
        <f t="shared" si="1"/>
        <v>-118.71985853652595</v>
      </c>
      <c r="Z10" s="257">
        <f t="shared" si="1"/>
        <v>-134.71473063686818</v>
      </c>
      <c r="AA10" s="257">
        <f t="shared" si="1"/>
        <v>-149.67824889624933</v>
      </c>
      <c r="AB10" s="129">
        <f>SUM(P10:AA10)</f>
        <v>-783.1035282773106</v>
      </c>
      <c r="AC10" s="287"/>
      <c r="AD10" s="143"/>
      <c r="AE10" s="143"/>
      <c r="AF10" s="143"/>
      <c r="AG10" s="143"/>
      <c r="AH10" s="143"/>
      <c r="AI10" s="143"/>
      <c r="AJ10" s="143"/>
      <c r="AK10" s="143"/>
      <c r="AL10" s="143"/>
      <c r="AM10" s="143"/>
      <c r="AN10" s="143"/>
      <c r="AO10" s="143"/>
      <c r="AP10" s="34"/>
    </row>
    <row r="11" spans="2:45" ht="20" customHeight="1" outlineLevel="1">
      <c r="B11" s="130" t="s">
        <v>49</v>
      </c>
      <c r="C11" s="131">
        <v>0</v>
      </c>
      <c r="D11" s="131">
        <v>0</v>
      </c>
      <c r="E11" s="131">
        <v>0</v>
      </c>
      <c r="F11" s="131">
        <v>0</v>
      </c>
      <c r="G11" s="131">
        <v>0</v>
      </c>
      <c r="H11" s="131">
        <v>0</v>
      </c>
      <c r="I11" s="131">
        <v>0</v>
      </c>
      <c r="J11" s="131">
        <v>0</v>
      </c>
      <c r="K11" s="131">
        <v>0</v>
      </c>
      <c r="L11" s="131">
        <v>0</v>
      </c>
      <c r="M11" s="131">
        <v>0</v>
      </c>
      <c r="N11" s="131">
        <v>0</v>
      </c>
      <c r="O11" s="132">
        <f>SUM(C11:N11)</f>
        <v>0</v>
      </c>
      <c r="P11" s="88">
        <f>C11-Расчеты!C10</f>
        <v>0</v>
      </c>
      <c r="Q11" s="133">
        <f>D11-Расчеты!D10</f>
        <v>0</v>
      </c>
      <c r="R11" s="133">
        <f>E11-Расчеты!E10</f>
        <v>0</v>
      </c>
      <c r="S11" s="133">
        <f>F11-Расчеты!F10</f>
        <v>0</v>
      </c>
      <c r="T11" s="133">
        <f>G11-Расчеты!G10</f>
        <v>0</v>
      </c>
      <c r="U11" s="133">
        <f>H11-Расчеты!H10</f>
        <v>0</v>
      </c>
      <c r="V11" s="133">
        <f>I11-Расчеты!I10</f>
        <v>0</v>
      </c>
      <c r="W11" s="133">
        <f>J11-Расчеты!J10</f>
        <v>0</v>
      </c>
      <c r="X11" s="133">
        <f>K11-Расчеты!K10</f>
        <v>0</v>
      </c>
      <c r="Y11" s="133">
        <f>L11-Расчеты!L10</f>
        <v>0</v>
      </c>
      <c r="Z11" s="133">
        <f>M11-Расчеты!M10</f>
        <v>0</v>
      </c>
      <c r="AA11" s="133">
        <f>N11-Расчеты!N10</f>
        <v>0</v>
      </c>
      <c r="AB11" s="134">
        <f>SUM(P11:AA11)</f>
        <v>0</v>
      </c>
      <c r="AC11" s="143"/>
      <c r="AD11" s="143"/>
      <c r="AE11" s="143"/>
      <c r="AF11" s="143"/>
      <c r="AG11" s="143"/>
      <c r="AH11" s="143"/>
      <c r="AI11" s="143"/>
      <c r="AJ11" s="143"/>
      <c r="AK11" s="143"/>
      <c r="AL11" s="143"/>
      <c r="AM11" s="143"/>
      <c r="AN11" s="143"/>
      <c r="AO11" s="143"/>
      <c r="AP11" s="34"/>
    </row>
    <row r="12" spans="2:45" ht="20" customHeight="1" outlineLevel="1">
      <c r="B12" s="135" t="s">
        <v>50</v>
      </c>
      <c r="C12" s="133">
        <v>0</v>
      </c>
      <c r="D12" s="133">
        <v>30.6</v>
      </c>
      <c r="E12" s="133">
        <v>54.9</v>
      </c>
      <c r="F12" s="133">
        <v>80.099999999999994</v>
      </c>
      <c r="G12" s="133">
        <v>105.9</v>
      </c>
      <c r="H12" s="133">
        <v>130.80000000000001</v>
      </c>
      <c r="I12" s="133">
        <v>158.1</v>
      </c>
      <c r="J12" s="133">
        <v>187.2</v>
      </c>
      <c r="K12" s="133">
        <v>216.9</v>
      </c>
      <c r="L12" s="133">
        <v>243.3</v>
      </c>
      <c r="M12" s="133">
        <v>270.89999999999998</v>
      </c>
      <c r="N12" s="133">
        <v>299.39999999999998</v>
      </c>
      <c r="O12" s="136">
        <f>SUM(C12:N12)</f>
        <v>1778.1</v>
      </c>
      <c r="P12" s="88">
        <f>C12-Расчеты!C11</f>
        <v>0</v>
      </c>
      <c r="Q12" s="133">
        <f>D12-Расчеты!D11</f>
        <v>0.60000000000000142</v>
      </c>
      <c r="R12" s="133">
        <f>E12-Расчеты!E11</f>
        <v>-5.6099999999999994</v>
      </c>
      <c r="S12" s="133">
        <f>F12-Расчеты!F11</f>
        <v>-11.438670000000002</v>
      </c>
      <c r="T12" s="133">
        <f>G12-Расчеты!G11</f>
        <v>-17.194827389999986</v>
      </c>
      <c r="U12" s="133">
        <f>H12-Расчеты!H11</f>
        <v>-24.387439455629959</v>
      </c>
      <c r="V12" s="133">
        <f>I12-Расчеты!I11</f>
        <v>-30.704771520498042</v>
      </c>
      <c r="W12" s="133">
        <f>J12-Расчеты!J11</f>
        <v>-36.819263031768003</v>
      </c>
      <c r="X12" s="133">
        <f>K12-Расчеты!K11</f>
        <v>-44.006795034738417</v>
      </c>
      <c r="Y12" s="133">
        <f>L12-Расчеты!L11</f>
        <v>-51.937986674572414</v>
      </c>
      <c r="Z12" s="133">
        <f>M12-Расчеты!M11</f>
        <v>-59.252808572283641</v>
      </c>
      <c r="AA12" s="133">
        <f>N12-Расчеты!N11</f>
        <v>-66.261182442255802</v>
      </c>
      <c r="AB12" s="134">
        <f>SUM(P12:AA12)</f>
        <v>-347.01374412174624</v>
      </c>
      <c r="AC12" s="143"/>
      <c r="AD12" s="143"/>
      <c r="AE12" s="143"/>
      <c r="AF12" s="143"/>
      <c r="AG12" s="143"/>
      <c r="AH12" s="143"/>
      <c r="AI12" s="143"/>
      <c r="AJ12" s="143"/>
      <c r="AK12" s="143"/>
      <c r="AL12" s="143"/>
      <c r="AM12" s="143"/>
      <c r="AN12" s="143"/>
      <c r="AO12" s="143"/>
      <c r="AP12" s="34"/>
    </row>
    <row r="13" spans="2:45" ht="20" customHeight="1" outlineLevel="1">
      <c r="B13" s="135" t="s">
        <v>51</v>
      </c>
      <c r="C13" s="133">
        <v>0</v>
      </c>
      <c r="D13" s="133">
        <v>21.533333333333331</v>
      </c>
      <c r="E13" s="133">
        <v>39.1</v>
      </c>
      <c r="F13" s="133">
        <v>56.666666666666664</v>
      </c>
      <c r="G13" s="133">
        <v>74.8</v>
      </c>
      <c r="H13" s="133">
        <v>92.36666666666666</v>
      </c>
      <c r="I13" s="133">
        <v>112.48333333333333</v>
      </c>
      <c r="J13" s="133">
        <v>132.6</v>
      </c>
      <c r="K13" s="133">
        <v>153.56666666666666</v>
      </c>
      <c r="L13" s="133">
        <v>171.98333333333332</v>
      </c>
      <c r="M13" s="133">
        <v>192.38333333333333</v>
      </c>
      <c r="N13" s="133">
        <v>212.21666666666667</v>
      </c>
      <c r="O13" s="136">
        <f t="shared" ref="O13:O21" si="2">SUM(C13:N13)</f>
        <v>1259.6999999999998</v>
      </c>
      <c r="P13" s="88">
        <f>C13-Расчеты!C12</f>
        <v>0</v>
      </c>
      <c r="Q13" s="133">
        <f>D13-Расчеты!D12</f>
        <v>0.28333333333333144</v>
      </c>
      <c r="R13" s="133">
        <f>E13-Расчеты!E12</f>
        <v>-3.7612499999999898</v>
      </c>
      <c r="S13" s="133">
        <f>F13-Расчеты!F12</f>
        <v>-8.1732245833333153</v>
      </c>
      <c r="T13" s="133">
        <f>G13-Расчеты!G12</f>
        <v>-12.392169401249987</v>
      </c>
      <c r="U13" s="133">
        <f>H13-Расчеты!H12</f>
        <v>-17.557769614404563</v>
      </c>
      <c r="V13" s="133">
        <f>I13-Расчеты!I12</f>
        <v>-21.25337982701943</v>
      </c>
      <c r="W13" s="133">
        <f>J13-Расчеты!J12</f>
        <v>-26.080311314168966</v>
      </c>
      <c r="X13" s="133">
        <f>K13-Расчеты!K12</f>
        <v>-31.242313149606304</v>
      </c>
      <c r="Y13" s="133">
        <f>L13-Расчеты!L12</f>
        <v>-37.143573894488696</v>
      </c>
      <c r="Z13" s="133">
        <f>M13-Расчеты!M12</f>
        <v>-41.474906072034145</v>
      </c>
      <c r="AA13" s="133">
        <f>N13-Расчеты!N12</f>
        <v>-46.793337563264487</v>
      </c>
      <c r="AB13" s="134">
        <f t="shared" ref="AB13:AB21" si="3">SUM(P13:AA13)</f>
        <v>-245.58890208623654</v>
      </c>
      <c r="AC13" s="143"/>
      <c r="AD13" s="143"/>
      <c r="AE13" s="143"/>
      <c r="AF13" s="143"/>
      <c r="AG13" s="143"/>
      <c r="AH13" s="143"/>
      <c r="AI13" s="143"/>
      <c r="AJ13" s="143"/>
      <c r="AK13" s="143"/>
      <c r="AL13" s="143"/>
      <c r="AM13" s="143"/>
      <c r="AN13" s="143"/>
      <c r="AO13" s="143"/>
      <c r="AP13" s="34"/>
    </row>
    <row r="14" spans="2:45" ht="20" customHeight="1" outlineLevel="1">
      <c r="B14" s="135" t="s">
        <v>52</v>
      </c>
      <c r="C14" s="133">
        <v>0</v>
      </c>
      <c r="D14" s="133">
        <v>14.133333333333335</v>
      </c>
      <c r="E14" s="133">
        <v>24.533333333333335</v>
      </c>
      <c r="F14" s="133">
        <v>36.266666666666673</v>
      </c>
      <c r="G14" s="133">
        <v>47.2</v>
      </c>
      <c r="H14" s="133">
        <v>59.20000000000001</v>
      </c>
      <c r="I14" s="133">
        <v>70.666666666666671</v>
      </c>
      <c r="J14" s="133">
        <v>83.733333333333348</v>
      </c>
      <c r="K14" s="133">
        <v>96.8</v>
      </c>
      <c r="L14" s="133">
        <v>107.73333333333335</v>
      </c>
      <c r="M14" s="133">
        <v>120.26666666666667</v>
      </c>
      <c r="N14" s="133">
        <v>133.6</v>
      </c>
      <c r="O14" s="136">
        <f t="shared" si="2"/>
        <v>794.13333333333333</v>
      </c>
      <c r="P14" s="88">
        <f>C14-Расчеты!C13</f>
        <v>0</v>
      </c>
      <c r="Q14" s="133">
        <f>D14-Расчеты!D13</f>
        <v>0.80000000000000071</v>
      </c>
      <c r="R14" s="133">
        <f>E14-Расчеты!E13</f>
        <v>-2.3599999999999959</v>
      </c>
      <c r="S14" s="133">
        <f>F14-Расчеты!F13</f>
        <v>-4.4171866666666588</v>
      </c>
      <c r="T14" s="133">
        <f>G14-Расчеты!G13</f>
        <v>-7.5088121733333324</v>
      </c>
      <c r="U14" s="133">
        <f>H14-Расчеты!H13</f>
        <v>-9.7721953136133166</v>
      </c>
      <c r="V14" s="133">
        <f>I14-Расчеты!I13</f>
        <v>-13.246565120221348</v>
      </c>
      <c r="W14" s="133">
        <f>J14-Расчеты!J13</f>
        <v>-15.830783569674651</v>
      </c>
      <c r="X14" s="133">
        <f>K14-Расчеты!K13</f>
        <v>-19.158575570994856</v>
      </c>
      <c r="Y14" s="133">
        <f>L14-Расчеты!L13</f>
        <v>-23.483549633143298</v>
      </c>
      <c r="Z14" s="133">
        <f>M14-Расчеты!M13</f>
        <v>-26.467914921014952</v>
      </c>
      <c r="AA14" s="133">
        <f>N14-Расчеты!N13</f>
        <v>-28.916081085447047</v>
      </c>
      <c r="AB14" s="134">
        <f t="shared" si="3"/>
        <v>-150.36166405410944</v>
      </c>
      <c r="AC14" s="143"/>
      <c r="AD14" s="143"/>
      <c r="AE14" s="143"/>
      <c r="AF14" s="143"/>
      <c r="AG14" s="143"/>
      <c r="AH14" s="143"/>
      <c r="AI14" s="143"/>
      <c r="AJ14" s="143"/>
      <c r="AK14" s="143"/>
      <c r="AL14" s="143"/>
      <c r="AM14" s="143"/>
      <c r="AN14" s="143"/>
      <c r="AO14" s="143"/>
      <c r="AP14" s="34"/>
    </row>
    <row r="15" spans="2:45" ht="20" customHeight="1" outlineLevel="1">
      <c r="B15" s="137" t="s">
        <v>53</v>
      </c>
      <c r="C15" s="138">
        <v>0</v>
      </c>
      <c r="D15" s="138">
        <v>4.25</v>
      </c>
      <c r="E15" s="138">
        <v>7</v>
      </c>
      <c r="F15" s="138">
        <v>10.5</v>
      </c>
      <c r="G15" s="138">
        <v>13.25</v>
      </c>
      <c r="H15" s="138">
        <v>16.5</v>
      </c>
      <c r="I15" s="138">
        <v>20</v>
      </c>
      <c r="J15" s="138">
        <v>24</v>
      </c>
      <c r="K15" s="138">
        <v>27.5</v>
      </c>
      <c r="L15" s="138">
        <v>30.75</v>
      </c>
      <c r="M15" s="138">
        <v>33.75</v>
      </c>
      <c r="N15" s="138">
        <v>38</v>
      </c>
      <c r="O15" s="139">
        <f t="shared" si="2"/>
        <v>225.5</v>
      </c>
      <c r="P15" s="88">
        <f>C15-Расчеты!C14</f>
        <v>0</v>
      </c>
      <c r="Q15" s="138">
        <f>D15-Расчеты!D14</f>
        <v>0.5</v>
      </c>
      <c r="R15" s="138">
        <f>E15-Расчеты!E14</f>
        <v>-0.56374999999999886</v>
      </c>
      <c r="S15" s="138">
        <f>F15-Расчеты!F14</f>
        <v>-0.94233374999999775</v>
      </c>
      <c r="T15" s="138">
        <f>G15-Расчеты!G14</f>
        <v>-2.1368534237499972</v>
      </c>
      <c r="U15" s="138">
        <f>H15-Расчеты!H14</f>
        <v>-2.8984299319537463</v>
      </c>
      <c r="V15" s="138">
        <f>I15-Расчеты!I14</f>
        <v>-3.6005964400622545</v>
      </c>
      <c r="W15" s="138">
        <f>J15-Расчеты!J14</f>
        <v>-4.0024078789709989</v>
      </c>
      <c r="X15" s="138">
        <f>K15-Расчеты!K14</f>
        <v>-5.1133493793422957</v>
      </c>
      <c r="Y15" s="138">
        <f>L15-Расчеты!L14</f>
        <v>-6.1547483343215461</v>
      </c>
      <c r="Z15" s="138">
        <f>M15-Расчеты!M14</f>
        <v>-7.5191010715354452</v>
      </c>
      <c r="AA15" s="138">
        <f>N15-Расчеты!N14</f>
        <v>-7.7076478052819795</v>
      </c>
      <c r="AB15" s="134">
        <f t="shared" si="3"/>
        <v>-40.139218015218262</v>
      </c>
      <c r="AC15" s="143"/>
      <c r="AD15" s="143"/>
      <c r="AE15" s="143"/>
      <c r="AF15" s="143"/>
      <c r="AG15" s="143"/>
      <c r="AH15" s="143"/>
      <c r="AI15" s="143"/>
      <c r="AJ15" s="143"/>
      <c r="AK15" s="143"/>
      <c r="AL15" s="143"/>
      <c r="AM15" s="143"/>
      <c r="AN15" s="143"/>
      <c r="AO15" s="143"/>
      <c r="AP15" s="34"/>
    </row>
    <row r="16" spans="2:45" ht="20" customHeight="1">
      <c r="B16" s="125" t="s">
        <v>22</v>
      </c>
      <c r="C16" s="126">
        <f>SUM(C17:C21)</f>
        <v>246.83333333333331</v>
      </c>
      <c r="D16" s="126">
        <f t="shared" ref="D16:N16" si="4">SUM(D17:D21)</f>
        <v>436.33333333333331</v>
      </c>
      <c r="E16" s="126">
        <f t="shared" si="4"/>
        <v>674.5</v>
      </c>
      <c r="F16" s="126">
        <f t="shared" si="4"/>
        <v>912.66666666666663</v>
      </c>
      <c r="G16" s="126">
        <f t="shared" si="4"/>
        <v>1093.3333333333333</v>
      </c>
      <c r="H16" s="126">
        <f t="shared" si="4"/>
        <v>1294.5</v>
      </c>
      <c r="I16" s="126">
        <f t="shared" si="4"/>
        <v>1496.5</v>
      </c>
      <c r="J16" s="126">
        <f t="shared" si="4"/>
        <v>1771.1666666666665</v>
      </c>
      <c r="K16" s="126">
        <f t="shared" si="4"/>
        <v>2057.1666666666665</v>
      </c>
      <c r="L16" s="126">
        <f t="shared" si="4"/>
        <v>2351.333333333333</v>
      </c>
      <c r="M16" s="126">
        <f t="shared" si="4"/>
        <v>2558.666666666667</v>
      </c>
      <c r="N16" s="126">
        <f t="shared" si="4"/>
        <v>2846.1666666666665</v>
      </c>
      <c r="O16" s="126">
        <f>SUM(C16:N16)</f>
        <v>17739.166666666668</v>
      </c>
      <c r="P16" s="142">
        <f>SUM(P17:P21)</f>
        <v>63.166666666666664</v>
      </c>
      <c r="Q16" s="143">
        <f t="shared" ref="Q16:AA16" si="5">SUM(Q17:Q21)</f>
        <v>65.326666666666682</v>
      </c>
      <c r="R16" s="143">
        <f t="shared" si="5"/>
        <v>112.40653333333333</v>
      </c>
      <c r="S16" s="143">
        <f t="shared" si="5"/>
        <v>155.66466399999996</v>
      </c>
      <c r="T16" s="143">
        <f t="shared" si="5"/>
        <v>137.52462394666662</v>
      </c>
      <c r="U16" s="143">
        <f t="shared" si="5"/>
        <v>129.82496453330123</v>
      </c>
      <c r="V16" s="143">
        <f t="shared" si="5"/>
        <v>112.39000235361949</v>
      </c>
      <c r="W16" s="143">
        <f t="shared" si="5"/>
        <v>156.5182977543127</v>
      </c>
      <c r="X16" s="143">
        <f t="shared" si="5"/>
        <v>227.32352477689642</v>
      </c>
      <c r="Y16" s="143">
        <f t="shared" si="5"/>
        <v>301.99152300659853</v>
      </c>
      <c r="Z16" s="143">
        <f t="shared" si="5"/>
        <v>285.43621453422816</v>
      </c>
      <c r="AA16" s="143">
        <f t="shared" si="5"/>
        <v>344.56979989241046</v>
      </c>
      <c r="AB16" s="134">
        <f t="shared" si="3"/>
        <v>2092.1434814647</v>
      </c>
      <c r="AC16" s="143"/>
      <c r="AD16" s="143"/>
      <c r="AE16" s="143"/>
      <c r="AF16" s="143"/>
      <c r="AG16" s="143"/>
      <c r="AH16" s="143"/>
      <c r="AI16" s="143"/>
      <c r="AJ16" s="143"/>
      <c r="AK16" s="143"/>
      <c r="AL16" s="143"/>
      <c r="AM16" s="143"/>
      <c r="AN16" s="143"/>
      <c r="AO16" s="143"/>
      <c r="AP16" s="34"/>
    </row>
    <row r="17" spans="2:73" ht="20" customHeight="1" outlineLevel="1">
      <c r="B17" s="117" t="s">
        <v>54</v>
      </c>
      <c r="C17" s="118">
        <v>0</v>
      </c>
      <c r="D17" s="118">
        <v>0</v>
      </c>
      <c r="E17" s="118">
        <v>0</v>
      </c>
      <c r="F17" s="118">
        <v>0</v>
      </c>
      <c r="G17" s="118">
        <v>0</v>
      </c>
      <c r="H17" s="118">
        <v>0</v>
      </c>
      <c r="I17" s="118">
        <v>0</v>
      </c>
      <c r="J17" s="118">
        <v>0</v>
      </c>
      <c r="K17" s="118">
        <v>0</v>
      </c>
      <c r="L17" s="118">
        <v>0</v>
      </c>
      <c r="M17" s="118">
        <v>0</v>
      </c>
      <c r="N17" s="118">
        <v>0</v>
      </c>
      <c r="O17" s="66">
        <f t="shared" si="2"/>
        <v>0</v>
      </c>
      <c r="P17" s="145">
        <f>C17-Расчеты!C16</f>
        <v>0</v>
      </c>
      <c r="Q17" s="131">
        <f>D17-Расчеты!D16</f>
        <v>0</v>
      </c>
      <c r="R17" s="131">
        <f>E17-Расчеты!E16</f>
        <v>0</v>
      </c>
      <c r="S17" s="131">
        <f>F17-Расчеты!F16</f>
        <v>0</v>
      </c>
      <c r="T17" s="131">
        <f>G17-Расчеты!G16</f>
        <v>0</v>
      </c>
      <c r="U17" s="131">
        <f>H17-Расчеты!H16</f>
        <v>0</v>
      </c>
      <c r="V17" s="131">
        <f>I17-Расчеты!I16</f>
        <v>0</v>
      </c>
      <c r="W17" s="131">
        <f>J17-Расчеты!J16</f>
        <v>0</v>
      </c>
      <c r="X17" s="131">
        <f>K17-Расчеты!K16</f>
        <v>0</v>
      </c>
      <c r="Y17" s="131">
        <f>L17-Расчеты!L16</f>
        <v>0</v>
      </c>
      <c r="Z17" s="131">
        <f>M17-Расчеты!M16</f>
        <v>0</v>
      </c>
      <c r="AA17" s="131">
        <f>N17-Расчеты!N16</f>
        <v>0</v>
      </c>
      <c r="AB17" s="146">
        <f t="shared" si="3"/>
        <v>0</v>
      </c>
      <c r="AC17" s="143"/>
      <c r="AD17" s="143"/>
      <c r="AE17" s="143"/>
      <c r="AF17" s="143"/>
      <c r="AG17" s="143"/>
      <c r="AH17" s="143"/>
      <c r="AI17" s="143"/>
      <c r="AJ17" s="143"/>
      <c r="AK17" s="143"/>
      <c r="AL17" s="143"/>
      <c r="AM17" s="143"/>
      <c r="AN17" s="143"/>
      <c r="AO17" s="143"/>
      <c r="AP17" s="34"/>
    </row>
    <row r="18" spans="2:73" ht="20" customHeight="1" outlineLevel="1">
      <c r="B18" s="147" t="s">
        <v>55</v>
      </c>
      <c r="C18" s="86">
        <v>25</v>
      </c>
      <c r="D18" s="86">
        <v>41.666666666666671</v>
      </c>
      <c r="E18" s="86">
        <v>58.333333333333336</v>
      </c>
      <c r="F18" s="86">
        <v>75</v>
      </c>
      <c r="G18" s="86">
        <v>83.333333333333343</v>
      </c>
      <c r="H18" s="86">
        <v>100</v>
      </c>
      <c r="I18" s="86">
        <v>108.33333333333334</v>
      </c>
      <c r="J18" s="86">
        <v>133.33333333333334</v>
      </c>
      <c r="K18" s="86">
        <v>141.66666666666669</v>
      </c>
      <c r="L18" s="86">
        <v>166.66666666666669</v>
      </c>
      <c r="M18" s="86">
        <v>191.66666666666669</v>
      </c>
      <c r="N18" s="86">
        <v>200</v>
      </c>
      <c r="O18" s="77">
        <f t="shared" si="2"/>
        <v>1325.0000000000002</v>
      </c>
      <c r="P18" s="88">
        <f>C18-Расчеты!C17</f>
        <v>15</v>
      </c>
      <c r="Q18" s="133">
        <f>D18-Расчеты!D17</f>
        <v>21.466666666666672</v>
      </c>
      <c r="R18" s="133">
        <f>E18-Расчеты!E17</f>
        <v>27.729333333333333</v>
      </c>
      <c r="S18" s="133">
        <f>F18-Расчеты!F17</f>
        <v>33.783919999999988</v>
      </c>
      <c r="T18" s="133">
        <f>G18-Расчеты!G17</f>
        <v>31.292931733333333</v>
      </c>
      <c r="U18" s="133">
        <f>H18-Расчеты!H17</f>
        <v>36.587566127039977</v>
      </c>
      <c r="V18" s="133">
        <f>I18-Расчеты!I17</f>
        <v>32.973442354401541</v>
      </c>
      <c r="W18" s="133">
        <f>J18-Расчеты!J17</f>
        <v>45.42144391886761</v>
      </c>
      <c r="X18" s="133">
        <f>K18-Расчеты!K17</f>
        <v>42.038183442178294</v>
      </c>
      <c r="Y18" s="133">
        <f>L18-Расчеты!L17</f>
        <v>55.087257755955193</v>
      </c>
      <c r="Z18" s="133">
        <f>M18-Расчеты!M17</f>
        <v>67.897313556007617</v>
      </c>
      <c r="AA18" s="133">
        <f>N18-Расчеты!N17</f>
        <v>63.796903805394436</v>
      </c>
      <c r="AB18" s="134">
        <f t="shared" si="3"/>
        <v>473.07496269317801</v>
      </c>
      <c r="AC18" s="143"/>
      <c r="AD18" s="143"/>
      <c r="AE18" s="143"/>
      <c r="AF18" s="143"/>
      <c r="AG18" s="143"/>
      <c r="AH18" s="143"/>
      <c r="AI18" s="143"/>
      <c r="AJ18" s="143"/>
      <c r="AK18" s="143"/>
      <c r="AL18" s="143"/>
      <c r="AM18" s="143"/>
      <c r="AN18" s="143"/>
      <c r="AO18" s="143"/>
      <c r="AP18" s="34"/>
    </row>
    <row r="19" spans="2:73" ht="20" customHeight="1" outlineLevel="1">
      <c r="B19" s="147" t="s">
        <v>56</v>
      </c>
      <c r="C19" s="86">
        <v>45.833333333333329</v>
      </c>
      <c r="D19" s="86">
        <v>91.666666666666657</v>
      </c>
      <c r="E19" s="86">
        <v>146.66666666666666</v>
      </c>
      <c r="F19" s="86">
        <v>201.66666666666666</v>
      </c>
      <c r="G19" s="86">
        <v>247.49999999999997</v>
      </c>
      <c r="H19" s="86">
        <v>275</v>
      </c>
      <c r="I19" s="86">
        <v>311.66666666666663</v>
      </c>
      <c r="J19" s="86">
        <v>375.83333333333331</v>
      </c>
      <c r="K19" s="86">
        <v>467.49999999999994</v>
      </c>
      <c r="L19" s="86">
        <v>531.66666666666663</v>
      </c>
      <c r="M19" s="86">
        <v>577.5</v>
      </c>
      <c r="N19" s="86">
        <v>641.66666666666663</v>
      </c>
      <c r="O19" s="77">
        <f t="shared" si="2"/>
        <v>3914.1666666666661</v>
      </c>
      <c r="P19" s="88">
        <f>C19-Расчеты!C18</f>
        <v>9.1666666666666643</v>
      </c>
      <c r="Q19" s="133">
        <f>D19-Расчеты!D18</f>
        <v>17.599999999999994</v>
      </c>
      <c r="R19" s="133">
        <f>E19-Расчеты!E18</f>
        <v>34.451999999999998</v>
      </c>
      <c r="S19" s="133">
        <f>F19-Расчеты!F18</f>
        <v>50.54104000000001</v>
      </c>
      <c r="T19" s="133">
        <f>G19-Расчеты!G18</f>
        <v>56.685194133333312</v>
      </c>
      <c r="U19" s="133">
        <f>H19-Расчеты!H18</f>
        <v>42.487742465813341</v>
      </c>
      <c r="V19" s="133">
        <f>I19-Расчеты!I18</f>
        <v>35.347066410583466</v>
      </c>
      <c r="W19" s="133">
        <f>J19-Расчеты!J18</f>
        <v>53.48973881362565</v>
      </c>
      <c r="X19" s="133">
        <f>K19-Расчеты!K18</f>
        <v>102.19556151020919</v>
      </c>
      <c r="Y19" s="133">
        <f>L19-Расчеты!L18</f>
        <v>122.5421673273911</v>
      </c>
      <c r="Z19" s="133">
        <f>M19-Расчеты!M18</f>
        <v>123.67903859425002</v>
      </c>
      <c r="AA19" s="133">
        <f>N19-Расчеты!N18</f>
        <v>142.25531395311276</v>
      </c>
      <c r="AB19" s="134">
        <f t="shared" si="3"/>
        <v>790.44152987498546</v>
      </c>
      <c r="AC19" s="143"/>
      <c r="AD19" s="143"/>
      <c r="AE19" s="143"/>
      <c r="AF19" s="143"/>
      <c r="AG19" s="143"/>
      <c r="AH19" s="143"/>
      <c r="AI19" s="143"/>
      <c r="AJ19" s="143"/>
      <c r="AK19" s="143"/>
      <c r="AL19" s="143"/>
      <c r="AM19" s="143"/>
      <c r="AN19" s="143"/>
      <c r="AO19" s="143"/>
      <c r="AP19" s="34"/>
    </row>
    <row r="20" spans="2:73" ht="20" customHeight="1" outlineLevel="1">
      <c r="B20" s="147" t="s">
        <v>57</v>
      </c>
      <c r="C20" s="86">
        <v>76</v>
      </c>
      <c r="D20" s="86">
        <v>133</v>
      </c>
      <c r="E20" s="86">
        <v>199.5</v>
      </c>
      <c r="F20" s="86">
        <v>266</v>
      </c>
      <c r="G20" s="86">
        <v>332.5</v>
      </c>
      <c r="H20" s="86">
        <v>389.5</v>
      </c>
      <c r="I20" s="86">
        <v>446.5</v>
      </c>
      <c r="J20" s="86">
        <v>532</v>
      </c>
      <c r="K20" s="86">
        <v>608</v>
      </c>
      <c r="L20" s="86">
        <v>703</v>
      </c>
      <c r="M20" s="86">
        <v>769.5</v>
      </c>
      <c r="N20" s="86">
        <v>864.5</v>
      </c>
      <c r="O20" s="77">
        <f t="shared" si="2"/>
        <v>5320</v>
      </c>
      <c r="P20" s="88">
        <f>C20-Расчеты!C19</f>
        <v>19</v>
      </c>
      <c r="Q20" s="133">
        <f>D20-Расчеты!D19</f>
        <v>17.860000000000014</v>
      </c>
      <c r="R20" s="133">
        <f>E20-Расчеты!E19</f>
        <v>25.057199999999995</v>
      </c>
      <c r="S20" s="133">
        <f>F20-Расчеты!F19</f>
        <v>31.068343999999996</v>
      </c>
      <c r="T20" s="133">
        <f>G20-Расчеты!G19</f>
        <v>35.869710879999957</v>
      </c>
      <c r="U20" s="133">
        <f>H20-Расчеты!H19</f>
        <v>28.049126924127904</v>
      </c>
      <c r="V20" s="133">
        <f>I20-Расчеты!I19</f>
        <v>16.948621420088784</v>
      </c>
      <c r="W20" s="133">
        <f>J20-Расчеты!J19</f>
        <v>30.902230337545291</v>
      </c>
      <c r="X20" s="133">
        <f>K20-Расчеты!K19</f>
        <v>40.11764562041617</v>
      </c>
      <c r="Y20" s="133">
        <f>L20-Расчеты!L19</f>
        <v>66.997369208944406</v>
      </c>
      <c r="Z20" s="133">
        <f>M20-Расчеты!M19</f>
        <v>64.014687269243154</v>
      </c>
      <c r="AA20" s="133">
        <f>N20-Расчеты!N19</f>
        <v>88.142351690748001</v>
      </c>
      <c r="AB20" s="134">
        <f t="shared" si="3"/>
        <v>464.02728735111367</v>
      </c>
      <c r="AC20" s="143"/>
      <c r="AD20" s="143"/>
      <c r="AE20" s="143"/>
      <c r="AF20" s="143"/>
      <c r="AG20" s="143"/>
      <c r="AH20" s="143"/>
      <c r="AI20" s="143"/>
      <c r="AJ20" s="143"/>
      <c r="AK20" s="143"/>
      <c r="AL20" s="143"/>
      <c r="AM20" s="143"/>
      <c r="AN20" s="143"/>
      <c r="AO20" s="143"/>
      <c r="AP20" s="34"/>
    </row>
    <row r="21" spans="2:73" ht="20" customHeight="1" outlineLevel="1" thickBot="1">
      <c r="B21" s="119" t="s">
        <v>58</v>
      </c>
      <c r="C21" s="120">
        <v>100</v>
      </c>
      <c r="D21" s="120">
        <v>170</v>
      </c>
      <c r="E21" s="120">
        <v>270</v>
      </c>
      <c r="F21" s="120">
        <v>370</v>
      </c>
      <c r="G21" s="120">
        <v>430</v>
      </c>
      <c r="H21" s="120">
        <v>530</v>
      </c>
      <c r="I21" s="120">
        <v>630</v>
      </c>
      <c r="J21" s="120">
        <v>730</v>
      </c>
      <c r="K21" s="120">
        <v>840</v>
      </c>
      <c r="L21" s="120">
        <v>950</v>
      </c>
      <c r="M21" s="120">
        <v>1020</v>
      </c>
      <c r="N21" s="120">
        <v>1140</v>
      </c>
      <c r="O21" s="122">
        <f t="shared" si="2"/>
        <v>7180</v>
      </c>
      <c r="P21" s="148">
        <f>C21-Расчеты!C20</f>
        <v>20</v>
      </c>
      <c r="Q21" s="149">
        <f>D21-Расчеты!D20</f>
        <v>8.4000000000000057</v>
      </c>
      <c r="R21" s="149">
        <f>E21-Расчеты!E20</f>
        <v>25.168000000000006</v>
      </c>
      <c r="S21" s="149">
        <f>F21-Расчеты!F20</f>
        <v>40.271359999999959</v>
      </c>
      <c r="T21" s="149">
        <f>G21-Расчеты!G20</f>
        <v>13.676787200000035</v>
      </c>
      <c r="U21" s="149">
        <f>H21-Расчеты!H20</f>
        <v>22.70052901631999</v>
      </c>
      <c r="V21" s="149">
        <f>I21-Расчеты!I20</f>
        <v>27.120872168545702</v>
      </c>
      <c r="W21" s="149">
        <f>J21-Расчеты!J20</f>
        <v>26.704884684274134</v>
      </c>
      <c r="X21" s="149">
        <f>K21-Расчеты!K20</f>
        <v>42.972134204092754</v>
      </c>
      <c r="Y21" s="149">
        <f>L21-Расчеты!L20</f>
        <v>57.36472871430783</v>
      </c>
      <c r="Z21" s="149">
        <f>M21-Расчеты!M20</f>
        <v>29.84517511472734</v>
      </c>
      <c r="AA21" s="149">
        <f>N21-Расчеты!N20</f>
        <v>50.37523044315526</v>
      </c>
      <c r="AB21" s="150">
        <f t="shared" si="3"/>
        <v>364.59970154542304</v>
      </c>
      <c r="AC21" s="143"/>
      <c r="AD21" s="143"/>
      <c r="AE21" s="143"/>
      <c r="AF21" s="143"/>
      <c r="AG21" s="143"/>
      <c r="AH21" s="143"/>
      <c r="AI21" s="143"/>
      <c r="AJ21" s="143"/>
      <c r="AK21" s="143"/>
      <c r="AL21" s="143"/>
      <c r="AM21" s="143"/>
      <c r="AN21" s="143"/>
      <c r="AO21" s="143"/>
      <c r="AP21" s="34"/>
    </row>
    <row r="22" spans="2:73" ht="20" customHeight="1">
      <c r="C22" s="11"/>
      <c r="AP22" s="301"/>
    </row>
    <row r="23" spans="2:73" ht="20" customHeight="1">
      <c r="B23" s="151" t="s">
        <v>59</v>
      </c>
      <c r="C23" s="151"/>
      <c r="D23" s="151"/>
      <c r="E23" s="151"/>
      <c r="F23" s="151"/>
      <c r="G23" s="151"/>
      <c r="H23" s="151"/>
      <c r="I23" s="151" t="s">
        <v>47</v>
      </c>
      <c r="J23" s="151"/>
      <c r="K23" s="151"/>
      <c r="L23" s="151"/>
      <c r="M23" s="151"/>
      <c r="N23" s="151"/>
      <c r="O23" s="151"/>
      <c r="P23" s="326" t="s">
        <v>48</v>
      </c>
      <c r="Q23" s="326"/>
      <c r="R23" s="326"/>
      <c r="S23" s="326"/>
      <c r="T23" s="326"/>
      <c r="U23" s="326"/>
      <c r="V23" s="326"/>
      <c r="W23" s="326"/>
      <c r="X23" s="326"/>
      <c r="Y23" s="326"/>
      <c r="Z23" s="326"/>
      <c r="AA23" s="326"/>
      <c r="AB23" s="326"/>
      <c r="AC23" s="251"/>
      <c r="AD23" s="251"/>
      <c r="AE23" s="251"/>
      <c r="AF23" s="251"/>
      <c r="AG23" s="251"/>
      <c r="AH23" s="251"/>
      <c r="AI23" s="251"/>
      <c r="AJ23" s="251"/>
      <c r="AK23" s="251"/>
      <c r="AL23" s="251"/>
      <c r="AM23" s="251"/>
      <c r="AN23" s="251"/>
      <c r="AO23" s="251"/>
      <c r="AP23" s="331" t="s">
        <v>239</v>
      </c>
      <c r="AR23" s="13" t="s">
        <v>18</v>
      </c>
      <c r="AS23" s="1" t="str">
        <f>IF(AR23="Нет", " ", "Ниже добавлены таблицы с дополнительными вводными, сформированными на основании фактических данных по оплатам. Проанализируйте их и сделайте выводы. При необходимости справа от таблиц, на пустом пространстве, сделайте дополнительные расчёты.")</f>
        <v xml:space="preserve"> </v>
      </c>
      <c r="AU23" s="4"/>
      <c r="AV23" s="4"/>
      <c r="AW23" s="4"/>
      <c r="AX23" s="4"/>
      <c r="AY23" s="4"/>
      <c r="AZ23" s="4"/>
      <c r="BA23" s="4"/>
      <c r="BB23" s="4"/>
      <c r="BC23" s="4"/>
      <c r="BD23" s="4"/>
      <c r="BE23" s="4"/>
      <c r="BF23" s="4"/>
      <c r="BG23" s="4"/>
      <c r="BI23" s="4"/>
      <c r="BJ23" s="4"/>
      <c r="BK23" s="4"/>
      <c r="BL23" s="4"/>
      <c r="BM23" s="4"/>
      <c r="BN23" s="4"/>
      <c r="BO23" s="4"/>
      <c r="BP23" s="4"/>
      <c r="BQ23" s="4"/>
      <c r="BR23" s="4"/>
      <c r="BS23" s="4"/>
      <c r="BT23" s="4"/>
      <c r="BU23" s="4"/>
    </row>
    <row r="24" spans="2:73" ht="20" customHeight="1" thickBot="1">
      <c r="B24" s="113"/>
      <c r="C24" s="114" t="s">
        <v>186</v>
      </c>
      <c r="D24" s="114" t="s">
        <v>187</v>
      </c>
      <c r="E24" s="114" t="s">
        <v>188</v>
      </c>
      <c r="F24" s="114" t="s">
        <v>189</v>
      </c>
      <c r="G24" s="248">
        <v>46143</v>
      </c>
      <c r="H24" s="114" t="s">
        <v>190</v>
      </c>
      <c r="I24" s="114" t="s">
        <v>191</v>
      </c>
      <c r="J24" s="114" t="s">
        <v>192</v>
      </c>
      <c r="K24" s="114" t="s">
        <v>193</v>
      </c>
      <c r="L24" s="114" t="s">
        <v>194</v>
      </c>
      <c r="M24" s="114" t="s">
        <v>195</v>
      </c>
      <c r="N24" s="114" t="s">
        <v>196</v>
      </c>
      <c r="O24" s="115">
        <v>2026</v>
      </c>
      <c r="P24" s="114" t="s">
        <v>186</v>
      </c>
      <c r="Q24" s="114" t="s">
        <v>187</v>
      </c>
      <c r="R24" s="114" t="s">
        <v>188</v>
      </c>
      <c r="S24" s="114" t="s">
        <v>189</v>
      </c>
      <c r="T24" s="248">
        <v>46143</v>
      </c>
      <c r="U24" s="114" t="s">
        <v>190</v>
      </c>
      <c r="V24" s="114" t="s">
        <v>191</v>
      </c>
      <c r="W24" s="114" t="s">
        <v>192</v>
      </c>
      <c r="X24" s="114" t="s">
        <v>193</v>
      </c>
      <c r="Y24" s="114" t="s">
        <v>194</v>
      </c>
      <c r="Z24" s="114" t="s">
        <v>195</v>
      </c>
      <c r="AA24" s="114" t="s">
        <v>196</v>
      </c>
      <c r="AB24" s="116">
        <v>2026</v>
      </c>
      <c r="AC24" s="123"/>
      <c r="AD24" s="123"/>
      <c r="AE24" s="123"/>
      <c r="AF24" s="123"/>
      <c r="AG24" s="123"/>
      <c r="AH24" s="123"/>
      <c r="AI24" s="123"/>
      <c r="AJ24" s="123"/>
      <c r="AK24" s="123"/>
      <c r="AL24" s="123"/>
      <c r="AM24" s="123"/>
      <c r="AN24" s="123"/>
      <c r="AO24" s="123"/>
      <c r="AP24" s="332"/>
      <c r="AR24" s="13" t="s">
        <v>18</v>
      </c>
      <c r="AS24" s="1" t="str">
        <f>IF(AR24="Нет", " ", "Было ли верно допущение о 100%-ой лояльности при выстраивании бюджетной модели? Сделайте вывод, что нужно сделать для минимизации отклонений в будущем?")</f>
        <v xml:space="preserve"> </v>
      </c>
      <c r="AU24" s="13"/>
      <c r="AV24" s="13"/>
      <c r="AW24" s="13"/>
      <c r="AX24" s="13"/>
      <c r="AY24" s="13"/>
      <c r="AZ24" s="13"/>
      <c r="BA24" s="13"/>
      <c r="BB24" s="13"/>
      <c r="BC24" s="13"/>
      <c r="BD24" s="13"/>
      <c r="BE24" s="13"/>
      <c r="BF24" s="13"/>
      <c r="BG24" s="25"/>
      <c r="BI24" s="13"/>
      <c r="BJ24" s="13"/>
      <c r="BK24" s="13"/>
      <c r="BL24" s="13"/>
      <c r="BM24" s="13"/>
      <c r="BN24" s="13"/>
      <c r="BO24" s="13"/>
      <c r="BP24" s="13"/>
      <c r="BQ24" s="13"/>
      <c r="BR24" s="13"/>
      <c r="BS24" s="13"/>
      <c r="BT24" s="13"/>
      <c r="BU24" s="25"/>
    </row>
    <row r="25" spans="2:73" ht="10.25" customHeight="1" thickBot="1">
      <c r="B25" s="123"/>
      <c r="C25" s="124"/>
      <c r="D25" s="124"/>
      <c r="E25" s="124"/>
      <c r="F25" s="124"/>
      <c r="G25" s="124"/>
      <c r="H25" s="124"/>
      <c r="I25" s="124"/>
      <c r="J25" s="124"/>
      <c r="K25" s="124"/>
      <c r="L25" s="124"/>
      <c r="M25" s="124"/>
      <c r="N25" s="124"/>
      <c r="O25" s="123"/>
      <c r="P25" s="124"/>
      <c r="Q25" s="124"/>
      <c r="R25" s="124"/>
      <c r="S25" s="124"/>
      <c r="T25" s="124"/>
      <c r="U25" s="124"/>
      <c r="V25" s="124"/>
      <c r="W25" s="124"/>
      <c r="X25" s="124"/>
      <c r="Y25" s="124"/>
      <c r="Z25" s="124"/>
      <c r="AA25" s="124"/>
      <c r="AB25" s="123"/>
      <c r="AC25" s="123"/>
      <c r="AD25" s="123"/>
      <c r="AE25" s="123"/>
      <c r="AF25" s="123"/>
      <c r="AG25" s="123"/>
      <c r="AH25" s="123"/>
      <c r="AI25" s="123"/>
      <c r="AJ25" s="123"/>
      <c r="AK25" s="123"/>
      <c r="AL25" s="123"/>
      <c r="AM25" s="123"/>
      <c r="AN25" s="123"/>
      <c r="AO25" s="123"/>
      <c r="AP25" s="332"/>
      <c r="AR25" s="13"/>
      <c r="AU25" s="13"/>
      <c r="AV25" s="13"/>
      <c r="AW25" s="13"/>
      <c r="AX25" s="13"/>
      <c r="AY25" s="13"/>
      <c r="AZ25" s="13"/>
      <c r="BA25" s="13"/>
      <c r="BB25" s="13"/>
      <c r="BC25" s="13"/>
      <c r="BD25" s="13"/>
      <c r="BE25" s="13"/>
      <c r="BF25" s="13"/>
      <c r="BG25" s="25"/>
      <c r="BI25" s="13"/>
      <c r="BJ25" s="13"/>
      <c r="BK25" s="13"/>
      <c r="BL25" s="13"/>
      <c r="BM25" s="13"/>
      <c r="BN25" s="13"/>
      <c r="BO25" s="13"/>
      <c r="BP25" s="13"/>
      <c r="BQ25" s="13"/>
      <c r="BR25" s="13"/>
      <c r="BS25" s="13"/>
      <c r="BT25" s="13"/>
      <c r="BU25" s="25"/>
    </row>
    <row r="26" spans="2:73" ht="20" customHeight="1">
      <c r="B26" s="125" t="s">
        <v>21</v>
      </c>
      <c r="C26" s="126"/>
      <c r="D26" s="126"/>
      <c r="E26" s="126"/>
      <c r="F26" s="126"/>
      <c r="G26" s="126"/>
      <c r="H26" s="126"/>
      <c r="I26" s="126"/>
      <c r="J26" s="126"/>
      <c r="K26" s="126"/>
      <c r="L26" s="126"/>
      <c r="M26" s="126"/>
      <c r="N26" s="126"/>
      <c r="O26" s="126"/>
      <c r="P26" s="127"/>
      <c r="Q26" s="128"/>
      <c r="R26" s="128"/>
      <c r="S26" s="128"/>
      <c r="T26" s="128"/>
      <c r="U26" s="128"/>
      <c r="V26" s="128"/>
      <c r="W26" s="128"/>
      <c r="X26" s="128"/>
      <c r="Y26" s="128"/>
      <c r="Z26" s="128"/>
      <c r="AA26" s="128"/>
      <c r="AB26" s="129"/>
      <c r="AC26" s="143"/>
      <c r="AD26" s="143"/>
      <c r="AE26" s="143"/>
      <c r="AF26" s="143"/>
      <c r="AG26" s="143"/>
      <c r="AH26" s="143"/>
      <c r="AI26" s="143"/>
      <c r="AJ26" s="143"/>
      <c r="AK26" s="143"/>
      <c r="AL26" s="143"/>
      <c r="AM26" s="143"/>
      <c r="AN26" s="143"/>
      <c r="AO26" s="143"/>
      <c r="AP26" s="332"/>
      <c r="AR26" s="13"/>
      <c r="AU26" s="7"/>
      <c r="AV26" s="7"/>
      <c r="AW26" s="7"/>
      <c r="AX26" s="7"/>
      <c r="AY26" s="7"/>
      <c r="AZ26" s="7"/>
      <c r="BA26" s="7"/>
      <c r="BB26" s="7"/>
      <c r="BC26" s="7"/>
      <c r="BD26" s="7"/>
      <c r="BE26" s="7"/>
      <c r="BF26" s="7"/>
      <c r="BG26" s="7"/>
      <c r="BI26" s="7"/>
      <c r="BJ26" s="7"/>
      <c r="BK26" s="7"/>
      <c r="BL26" s="7"/>
      <c r="BM26" s="7"/>
      <c r="BN26" s="7"/>
      <c r="BO26" s="7"/>
      <c r="BP26" s="7"/>
      <c r="BQ26" s="7"/>
      <c r="BR26" s="7"/>
      <c r="BS26" s="7"/>
      <c r="BT26" s="7"/>
      <c r="BU26" s="7"/>
    </row>
    <row r="27" spans="2:73" ht="20" customHeight="1" outlineLevel="1">
      <c r="B27" s="117" t="s">
        <v>49</v>
      </c>
      <c r="C27" s="118">
        <v>504</v>
      </c>
      <c r="D27" s="118">
        <v>507</v>
      </c>
      <c r="E27" s="118">
        <v>509</v>
      </c>
      <c r="F27" s="118">
        <v>514</v>
      </c>
      <c r="G27" s="118">
        <v>515</v>
      </c>
      <c r="H27" s="118">
        <v>525</v>
      </c>
      <c r="I27" s="118">
        <v>543</v>
      </c>
      <c r="J27" s="118">
        <v>567</v>
      </c>
      <c r="K27" s="118">
        <v>551</v>
      </c>
      <c r="L27" s="118">
        <v>561</v>
      </c>
      <c r="M27" s="118">
        <v>570</v>
      </c>
      <c r="N27" s="118">
        <v>580</v>
      </c>
      <c r="O27" s="66"/>
      <c r="P27" s="88">
        <f>C27-Расчеты!C26</f>
        <v>4</v>
      </c>
      <c r="Q27" s="133">
        <f>D27-Расчеты!D26</f>
        <v>-1.4999999999999432</v>
      </c>
      <c r="R27" s="133">
        <f>E27-Расчеты!E26</f>
        <v>-8.1444999999998799</v>
      </c>
      <c r="S27" s="133">
        <f>F27-Расчеты!F26</f>
        <v>-11.935956499999861</v>
      </c>
      <c r="T27" s="133">
        <f>G27-Расчеты!G26</f>
        <v>-19.876867760499863</v>
      </c>
      <c r="U27" s="133">
        <f>H27-Расчеты!H26</f>
        <v>-35.288867747801191</v>
      </c>
      <c r="V27" s="133">
        <f>I27-Расчеты!I26</f>
        <v>-43.90819185449925</v>
      </c>
      <c r="W27" s="133">
        <f>J27-Расчеты!J26</f>
        <v>-47.792200049506505</v>
      </c>
      <c r="X27" s="133">
        <f>K27-Расчеты!K26</f>
        <v>-21.186527330566491</v>
      </c>
      <c r="Y27" s="133">
        <f>L27-Расчеты!L26</f>
        <v>-20.913698295186123</v>
      </c>
      <c r="Z27" s="133">
        <f>M27-Расчеты!M26</f>
        <v>-21.80623116620427</v>
      </c>
      <c r="AA27" s="133">
        <f>N27-Расчеты!N26</f>
        <v>-21.866937096029687</v>
      </c>
      <c r="AB27" s="134">
        <f>AA27</f>
        <v>-21.866937096029687</v>
      </c>
      <c r="AC27" s="143"/>
      <c r="AD27" s="143"/>
      <c r="AE27" s="143"/>
      <c r="AF27" s="143"/>
      <c r="AG27" s="143"/>
      <c r="AH27" s="143"/>
      <c r="AI27" s="143"/>
      <c r="AJ27" s="143"/>
      <c r="AK27" s="143"/>
      <c r="AL27" s="143"/>
      <c r="AM27" s="143"/>
      <c r="AN27" s="143"/>
      <c r="AO27" s="143"/>
      <c r="AP27" s="332"/>
      <c r="AR27" s="13"/>
      <c r="AU27" s="8"/>
      <c r="AV27" s="17"/>
      <c r="AW27" s="17"/>
      <c r="AX27" s="17"/>
      <c r="AY27" s="17"/>
      <c r="AZ27" s="17"/>
      <c r="BA27" s="17"/>
      <c r="BB27" s="17"/>
      <c r="BC27" s="17"/>
      <c r="BD27" s="17"/>
      <c r="BE27" s="17"/>
      <c r="BF27" s="17"/>
      <c r="BG27" s="7"/>
      <c r="BI27" s="17"/>
      <c r="BJ27" s="17"/>
      <c r="BK27" s="17"/>
      <c r="BL27" s="17"/>
      <c r="BM27" s="17"/>
      <c r="BN27" s="17"/>
      <c r="BO27" s="17"/>
      <c r="BP27" s="17"/>
      <c r="BQ27" s="17"/>
      <c r="BR27" s="17"/>
      <c r="BS27" s="17"/>
      <c r="BT27" s="17"/>
      <c r="BU27" s="7"/>
    </row>
    <row r="28" spans="2:73" ht="20" customHeight="1" outlineLevel="1">
      <c r="B28" s="147" t="s">
        <v>50</v>
      </c>
      <c r="C28" s="86">
        <v>0</v>
      </c>
      <c r="D28" s="86">
        <v>102</v>
      </c>
      <c r="E28" s="86">
        <v>183</v>
      </c>
      <c r="F28" s="86">
        <v>267</v>
      </c>
      <c r="G28" s="86">
        <v>353</v>
      </c>
      <c r="H28" s="86">
        <v>436</v>
      </c>
      <c r="I28" s="86">
        <v>527</v>
      </c>
      <c r="J28" s="86">
        <v>624</v>
      </c>
      <c r="K28" s="86">
        <v>723</v>
      </c>
      <c r="L28" s="86">
        <v>811</v>
      </c>
      <c r="M28" s="86">
        <v>903</v>
      </c>
      <c r="N28" s="86">
        <v>998</v>
      </c>
      <c r="O28" s="77"/>
      <c r="P28" s="88">
        <f>C28-Расчеты!C27</f>
        <v>0</v>
      </c>
      <c r="Q28" s="133">
        <f>D28-Расчеты!D27</f>
        <v>2</v>
      </c>
      <c r="R28" s="133">
        <f>E28-Расчеты!E27</f>
        <v>-18.699999999999989</v>
      </c>
      <c r="S28" s="133">
        <f>F28-Расчеты!F27</f>
        <v>-38.128899999999987</v>
      </c>
      <c r="T28" s="133">
        <f>G28-Расчеты!G27</f>
        <v>-57.316091299999982</v>
      </c>
      <c r="U28" s="133">
        <f>H28-Расчеты!H27</f>
        <v>-81.291464852099921</v>
      </c>
      <c r="V28" s="133">
        <f>I28-Расчеты!I27</f>
        <v>-102.34923840166016</v>
      </c>
      <c r="W28" s="133">
        <f>J28-Расчеты!J27</f>
        <v>-122.73087677256001</v>
      </c>
      <c r="X28" s="133">
        <f>K28-Расчеты!K27</f>
        <v>-146.68931678246133</v>
      </c>
      <c r="Y28" s="133">
        <f>L28-Расчеты!L27</f>
        <v>-173.12662224857468</v>
      </c>
      <c r="Z28" s="133">
        <f>M28-Расчеты!M27</f>
        <v>-197.50936190761195</v>
      </c>
      <c r="AA28" s="133">
        <f>N28-Расчеты!N27</f>
        <v>-220.87060814085271</v>
      </c>
      <c r="AB28" s="134">
        <f>AA28</f>
        <v>-220.87060814085271</v>
      </c>
      <c r="AC28" s="143"/>
      <c r="AD28" s="143"/>
      <c r="AE28" s="143"/>
      <c r="AF28" s="143"/>
      <c r="AG28" s="143"/>
      <c r="AH28" s="143"/>
      <c r="AI28" s="143"/>
      <c r="AJ28" s="143"/>
      <c r="AK28" s="143"/>
      <c r="AL28" s="143"/>
      <c r="AM28" s="143"/>
      <c r="AN28" s="143"/>
      <c r="AO28" s="143"/>
      <c r="AP28" s="332"/>
      <c r="AR28" s="13"/>
      <c r="AU28" s="8"/>
      <c r="AV28" s="17"/>
      <c r="AW28" s="17"/>
      <c r="AX28" s="17"/>
      <c r="AY28" s="17"/>
      <c r="AZ28" s="17"/>
      <c r="BA28" s="17"/>
      <c r="BB28" s="17"/>
      <c r="BC28" s="17"/>
      <c r="BD28" s="17"/>
      <c r="BE28" s="17"/>
      <c r="BF28" s="17"/>
      <c r="BG28" s="7"/>
      <c r="BI28" s="8"/>
      <c r="BJ28" s="17"/>
      <c r="BK28" s="17"/>
      <c r="BL28" s="17"/>
      <c r="BM28" s="17"/>
      <c r="BN28" s="17"/>
      <c r="BO28" s="17"/>
      <c r="BP28" s="17"/>
      <c r="BQ28" s="17"/>
      <c r="BR28" s="17"/>
      <c r="BS28" s="17"/>
      <c r="BT28" s="17"/>
      <c r="BU28" s="7"/>
    </row>
    <row r="29" spans="2:73" ht="20" customHeight="1" outlineLevel="1">
      <c r="B29" s="147" t="s">
        <v>51</v>
      </c>
      <c r="C29" s="86">
        <v>0</v>
      </c>
      <c r="D29" s="86">
        <v>76</v>
      </c>
      <c r="E29" s="86">
        <v>138</v>
      </c>
      <c r="F29" s="86">
        <v>200</v>
      </c>
      <c r="G29" s="86">
        <v>264</v>
      </c>
      <c r="H29" s="86">
        <v>326</v>
      </c>
      <c r="I29" s="86">
        <v>397</v>
      </c>
      <c r="J29" s="86">
        <v>468</v>
      </c>
      <c r="K29" s="86">
        <v>542</v>
      </c>
      <c r="L29" s="86">
        <v>607</v>
      </c>
      <c r="M29" s="86">
        <v>679</v>
      </c>
      <c r="N29" s="86">
        <v>749</v>
      </c>
      <c r="O29" s="77"/>
      <c r="P29" s="88">
        <f>C29-Расчеты!C28</f>
        <v>0</v>
      </c>
      <c r="Q29" s="133">
        <f>D29-Расчеты!D28</f>
        <v>1</v>
      </c>
      <c r="R29" s="133">
        <f>E29-Расчеты!E28</f>
        <v>-13.274999999999977</v>
      </c>
      <c r="S29" s="133">
        <f>F29-Расчеты!F28</f>
        <v>-28.846674999999948</v>
      </c>
      <c r="T29" s="133">
        <f>G29-Расчеты!G28</f>
        <v>-43.737068474999944</v>
      </c>
      <c r="U29" s="133">
        <f>H29-Расчеты!H28</f>
        <v>-61.968598639074912</v>
      </c>
      <c r="V29" s="133">
        <f>I29-Расчеты!I28</f>
        <v>-75.011928801245062</v>
      </c>
      <c r="W29" s="133">
        <f>J29-Расчеты!J28</f>
        <v>-92.048157579419922</v>
      </c>
      <c r="X29" s="133">
        <f>K29-Расчеты!K28</f>
        <v>-110.26698758684586</v>
      </c>
      <c r="Y29" s="133">
        <f>L29-Расчеты!L28</f>
        <v>-131.09496668643078</v>
      </c>
      <c r="Z29" s="133">
        <f>M29-Расчеты!M28</f>
        <v>-146.38202143070873</v>
      </c>
      <c r="AA29" s="133">
        <f>N29-Расчеты!N28</f>
        <v>-165.15295610563942</v>
      </c>
      <c r="AB29" s="134">
        <f>AA29</f>
        <v>-165.15295610563942</v>
      </c>
      <c r="AC29" s="143"/>
      <c r="AD29" s="143"/>
      <c r="AE29" s="143"/>
      <c r="AF29" s="143"/>
      <c r="AG29" s="143"/>
      <c r="AH29" s="143"/>
      <c r="AI29" s="143"/>
      <c r="AJ29" s="143"/>
      <c r="AK29" s="143"/>
      <c r="AL29" s="143"/>
      <c r="AM29" s="143"/>
      <c r="AN29" s="143"/>
      <c r="AO29" s="143"/>
      <c r="AP29" s="332"/>
      <c r="AR29" s="13"/>
      <c r="AU29" s="8"/>
      <c r="AV29" s="17"/>
      <c r="AW29" s="17"/>
      <c r="AX29" s="17"/>
      <c r="AY29" s="17"/>
      <c r="AZ29" s="17"/>
      <c r="BA29" s="17"/>
      <c r="BB29" s="17"/>
      <c r="BC29" s="17"/>
      <c r="BD29" s="17"/>
      <c r="BE29" s="17"/>
      <c r="BF29" s="17"/>
      <c r="BG29" s="7"/>
      <c r="BI29" s="8"/>
      <c r="BJ29" s="17"/>
      <c r="BK29" s="17"/>
      <c r="BL29" s="17"/>
      <c r="BM29" s="17"/>
      <c r="BN29" s="17"/>
      <c r="BO29" s="17"/>
      <c r="BP29" s="17"/>
      <c r="BQ29" s="17"/>
      <c r="BR29" s="17"/>
      <c r="BS29" s="17"/>
      <c r="BT29" s="17"/>
      <c r="BU29" s="7"/>
    </row>
    <row r="30" spans="2:73" ht="20" customHeight="1" outlineLevel="1">
      <c r="B30" s="147" t="s">
        <v>52</v>
      </c>
      <c r="C30" s="86">
        <v>0</v>
      </c>
      <c r="D30" s="86">
        <v>53</v>
      </c>
      <c r="E30" s="86">
        <v>92</v>
      </c>
      <c r="F30" s="86">
        <v>136</v>
      </c>
      <c r="G30" s="86">
        <v>177</v>
      </c>
      <c r="H30" s="86">
        <v>222</v>
      </c>
      <c r="I30" s="86">
        <v>265</v>
      </c>
      <c r="J30" s="86">
        <v>314</v>
      </c>
      <c r="K30" s="86">
        <v>363</v>
      </c>
      <c r="L30" s="86">
        <v>404</v>
      </c>
      <c r="M30" s="86">
        <v>451</v>
      </c>
      <c r="N30" s="86">
        <v>501</v>
      </c>
      <c r="O30" s="77"/>
      <c r="P30" s="88">
        <f>C30-Расчеты!C29</f>
        <v>0</v>
      </c>
      <c r="Q30" s="133">
        <f>D30-Расчеты!D29</f>
        <v>3</v>
      </c>
      <c r="R30" s="133">
        <f>E30-Расчеты!E29</f>
        <v>-8.8499999999999943</v>
      </c>
      <c r="S30" s="133">
        <f>F30-Расчеты!F29</f>
        <v>-16.564449999999994</v>
      </c>
      <c r="T30" s="133">
        <f>G30-Расчеты!G29</f>
        <v>-28.158045649999991</v>
      </c>
      <c r="U30" s="133">
        <f>H30-Расчеты!H29</f>
        <v>-36.64573242604996</v>
      </c>
      <c r="V30" s="133">
        <f>I30-Расчеты!I29</f>
        <v>-49.67461920083008</v>
      </c>
      <c r="W30" s="133">
        <f>J30-Расчеты!J29</f>
        <v>-59.365438386280005</v>
      </c>
      <c r="X30" s="133">
        <f>K30-Расчеты!K29</f>
        <v>-71.844658391230666</v>
      </c>
      <c r="Y30" s="133">
        <f>L30-Расчеты!L29</f>
        <v>-88.063311124287338</v>
      </c>
      <c r="Z30" s="133">
        <f>M30-Расчеты!M29</f>
        <v>-99.254680953805973</v>
      </c>
      <c r="AA30" s="133">
        <f>N30-Расчеты!N29</f>
        <v>-108.43530407042635</v>
      </c>
      <c r="AB30" s="134">
        <f>AA30</f>
        <v>-108.43530407042635</v>
      </c>
      <c r="AC30" s="143"/>
      <c r="AD30" s="143"/>
      <c r="AE30" s="143"/>
      <c r="AF30" s="143"/>
      <c r="AG30" s="143"/>
      <c r="AH30" s="143"/>
      <c r="AI30" s="143"/>
      <c r="AJ30" s="143"/>
      <c r="AK30" s="143"/>
      <c r="AL30" s="143"/>
      <c r="AM30" s="143"/>
      <c r="AN30" s="143"/>
      <c r="AO30" s="143"/>
      <c r="AP30" s="332"/>
      <c r="AR30" s="13"/>
      <c r="AU30" s="8"/>
      <c r="AV30" s="17"/>
      <c r="AW30" s="17"/>
      <c r="AX30" s="17"/>
      <c r="AY30" s="17"/>
      <c r="AZ30" s="17"/>
      <c r="BA30" s="17"/>
      <c r="BB30" s="17"/>
      <c r="BC30" s="17"/>
      <c r="BD30" s="17"/>
      <c r="BE30" s="17"/>
      <c r="BF30" s="17"/>
      <c r="BG30" s="7"/>
      <c r="BI30" s="8"/>
      <c r="BJ30" s="17"/>
      <c r="BK30" s="17"/>
      <c r="BL30" s="17"/>
      <c r="BM30" s="17"/>
      <c r="BN30" s="17"/>
      <c r="BO30" s="17"/>
      <c r="BP30" s="17"/>
      <c r="BQ30" s="17"/>
      <c r="BR30" s="17"/>
      <c r="BS30" s="17"/>
      <c r="BT30" s="17"/>
      <c r="BU30" s="7"/>
    </row>
    <row r="31" spans="2:73" ht="20" customHeight="1" outlineLevel="1">
      <c r="B31" s="119" t="s">
        <v>53</v>
      </c>
      <c r="C31" s="120">
        <v>0</v>
      </c>
      <c r="D31" s="120">
        <v>17</v>
      </c>
      <c r="E31" s="120">
        <v>28</v>
      </c>
      <c r="F31" s="120">
        <v>42</v>
      </c>
      <c r="G31" s="120">
        <v>53</v>
      </c>
      <c r="H31" s="120">
        <v>66</v>
      </c>
      <c r="I31" s="120">
        <v>80</v>
      </c>
      <c r="J31" s="120">
        <v>96</v>
      </c>
      <c r="K31" s="120">
        <v>110</v>
      </c>
      <c r="L31" s="120">
        <v>123</v>
      </c>
      <c r="M31" s="120">
        <v>135</v>
      </c>
      <c r="N31" s="120">
        <v>152</v>
      </c>
      <c r="O31" s="122"/>
      <c r="P31" s="88">
        <f>C31-Расчеты!C30</f>
        <v>0</v>
      </c>
      <c r="Q31" s="138">
        <f>D31-Расчеты!D30</f>
        <v>2</v>
      </c>
      <c r="R31" s="138">
        <f>E31-Расчеты!E30</f>
        <v>-2.2549999999999955</v>
      </c>
      <c r="S31" s="138">
        <f>F31-Расчеты!F30</f>
        <v>-3.769334999999991</v>
      </c>
      <c r="T31" s="138">
        <f>G31-Расчеты!G30</f>
        <v>-8.5474136949999888</v>
      </c>
      <c r="U31" s="138">
        <f>H31-Расчеты!H30</f>
        <v>-11.593719727814985</v>
      </c>
      <c r="V31" s="138">
        <f>I31-Расчеты!I30</f>
        <v>-14.402385760249018</v>
      </c>
      <c r="W31" s="138">
        <f>J31-Расчеты!J30</f>
        <v>-16.009631515883996</v>
      </c>
      <c r="X31" s="138">
        <f>K31-Расчеты!K30</f>
        <v>-20.453397517369183</v>
      </c>
      <c r="Y31" s="138">
        <f>L31-Расчеты!L30</f>
        <v>-24.618993337286184</v>
      </c>
      <c r="Z31" s="138">
        <f>M31-Расчеты!M30</f>
        <v>-30.076404286141781</v>
      </c>
      <c r="AA31" s="138">
        <f>N31-Расчеты!N30</f>
        <v>-30.830591221127918</v>
      </c>
      <c r="AB31" s="141">
        <f>AA31</f>
        <v>-30.830591221127918</v>
      </c>
      <c r="AC31" s="143"/>
      <c r="AD31" s="143"/>
      <c r="AE31" s="143"/>
      <c r="AF31" s="143"/>
      <c r="AG31" s="143"/>
      <c r="AH31" s="143"/>
      <c r="AI31" s="143"/>
      <c r="AJ31" s="143"/>
      <c r="AK31" s="143"/>
      <c r="AL31" s="143"/>
      <c r="AM31" s="143"/>
      <c r="AN31" s="143"/>
      <c r="AO31" s="143"/>
      <c r="AP31" s="332"/>
      <c r="AU31" s="8"/>
      <c r="AV31" s="17"/>
      <c r="AW31" s="17"/>
      <c r="AX31" s="17"/>
      <c r="AY31" s="17"/>
      <c r="AZ31" s="17"/>
      <c r="BA31" s="17"/>
      <c r="BB31" s="17"/>
      <c r="BC31" s="17"/>
      <c r="BD31" s="17"/>
      <c r="BE31" s="17"/>
      <c r="BF31" s="17"/>
      <c r="BG31" s="7"/>
      <c r="BI31" s="8"/>
      <c r="BJ31" s="17"/>
      <c r="BK31" s="17"/>
      <c r="BL31" s="17"/>
      <c r="BM31" s="17"/>
      <c r="BN31" s="17"/>
      <c r="BO31" s="17"/>
      <c r="BP31" s="17"/>
      <c r="BQ31" s="17"/>
      <c r="BR31" s="17"/>
      <c r="BS31" s="17"/>
      <c r="BT31" s="17"/>
      <c r="BU31" s="7"/>
    </row>
    <row r="32" spans="2:73" ht="20" customHeight="1">
      <c r="B32" s="125" t="s">
        <v>22</v>
      </c>
      <c r="C32" s="126"/>
      <c r="D32" s="126"/>
      <c r="E32" s="126"/>
      <c r="F32" s="126"/>
      <c r="G32" s="126"/>
      <c r="H32" s="126"/>
      <c r="I32" s="126"/>
      <c r="J32" s="126"/>
      <c r="K32" s="126"/>
      <c r="L32" s="126"/>
      <c r="M32" s="126"/>
      <c r="N32" s="126"/>
      <c r="O32" s="126"/>
      <c r="P32" s="142"/>
      <c r="Q32" s="143"/>
      <c r="R32" s="143"/>
      <c r="S32" s="143"/>
      <c r="T32" s="143"/>
      <c r="U32" s="143"/>
      <c r="V32" s="143"/>
      <c r="W32" s="143"/>
      <c r="X32" s="143"/>
      <c r="Y32" s="143"/>
      <c r="Z32" s="143"/>
      <c r="AA32" s="143"/>
      <c r="AB32" s="144"/>
      <c r="AC32" s="143"/>
      <c r="AD32" s="143"/>
      <c r="AE32" s="143"/>
      <c r="AF32" s="143"/>
      <c r="AG32" s="143"/>
      <c r="AH32" s="143"/>
      <c r="AI32" s="143"/>
      <c r="AJ32" s="143"/>
      <c r="AK32" s="143"/>
      <c r="AL32" s="143"/>
      <c r="AM32" s="143"/>
      <c r="AN32" s="143"/>
      <c r="AO32" s="143"/>
      <c r="AP32" s="332"/>
      <c r="AU32" s="7"/>
      <c r="AV32" s="7"/>
      <c r="AW32" s="7"/>
      <c r="AX32" s="7"/>
      <c r="AY32" s="7"/>
      <c r="AZ32" s="7"/>
      <c r="BA32" s="7"/>
      <c r="BB32" s="7"/>
      <c r="BC32" s="7"/>
      <c r="BD32" s="7"/>
      <c r="BE32" s="7"/>
      <c r="BF32" s="7"/>
      <c r="BG32" s="7"/>
      <c r="BI32" s="7"/>
      <c r="BJ32" s="7"/>
      <c r="BK32" s="7"/>
      <c r="BL32" s="7"/>
      <c r="BM32" s="7"/>
      <c r="BN32" s="7"/>
      <c r="BO32" s="7"/>
      <c r="BP32" s="7"/>
      <c r="BQ32" s="7"/>
      <c r="BR32" s="7"/>
      <c r="BS32" s="7"/>
      <c r="BT32" s="7"/>
      <c r="BU32" s="7"/>
    </row>
    <row r="33" spans="2:75" ht="20" customHeight="1" outlineLevel="1">
      <c r="B33" s="117" t="s">
        <v>54</v>
      </c>
      <c r="C33" s="152">
        <v>97</v>
      </c>
      <c r="D33" s="118">
        <v>100</v>
      </c>
      <c r="E33" s="118">
        <v>103</v>
      </c>
      <c r="F33" s="118">
        <v>105</v>
      </c>
      <c r="G33" s="118">
        <v>106</v>
      </c>
      <c r="H33" s="118">
        <v>113</v>
      </c>
      <c r="I33" s="118">
        <v>115</v>
      </c>
      <c r="J33" s="118">
        <v>117</v>
      </c>
      <c r="K33" s="118">
        <v>111</v>
      </c>
      <c r="L33" s="118">
        <v>113</v>
      </c>
      <c r="M33" s="118">
        <v>104</v>
      </c>
      <c r="N33" s="118">
        <v>81</v>
      </c>
      <c r="O33" s="66"/>
      <c r="P33" s="145">
        <f>C33-Расчеты!C32</f>
        <v>57</v>
      </c>
      <c r="Q33" s="131">
        <f>D33-Расчеты!D32</f>
        <v>59.2</v>
      </c>
      <c r="R33" s="131">
        <f>E33-Расчеты!E32</f>
        <v>61.384</v>
      </c>
      <c r="S33" s="131">
        <f>F33-Расчеты!F32</f>
        <v>62.551679999999998</v>
      </c>
      <c r="T33" s="131">
        <f>G33-Расчеты!G32</f>
        <v>62.702713599999996</v>
      </c>
      <c r="U33" s="131">
        <f>H33-Расчеты!H32</f>
        <v>67.511870908159992</v>
      </c>
      <c r="V33" s="131">
        <f>I33-Расчеты!I32</f>
        <v>67.210171576112884</v>
      </c>
      <c r="W33" s="131">
        <f>J33-Расчеты!J32</f>
        <v>66.792006257864188</v>
      </c>
      <c r="X33" s="131">
        <f>K33-Расчеты!K32</f>
        <v>64.133624759909367</v>
      </c>
      <c r="Y33" s="131">
        <f>L33-Расчеты!L32</f>
        <v>65.196297255107567</v>
      </c>
      <c r="Z33" s="131">
        <f>M33-Расчеты!M32</f>
        <v>55.240223200209712</v>
      </c>
      <c r="AA33" s="131">
        <f>N33-Расчеты!N32</f>
        <v>31.265027664213903</v>
      </c>
      <c r="AB33" s="146">
        <f>AA33</f>
        <v>31.265027664213903</v>
      </c>
      <c r="AC33" s="143"/>
      <c r="AD33" s="143"/>
      <c r="AE33" s="143"/>
      <c r="AF33" s="143"/>
      <c r="AG33" s="143"/>
      <c r="AH33" s="143"/>
      <c r="AI33" s="143"/>
      <c r="AJ33" s="143"/>
      <c r="AK33" s="143"/>
      <c r="AL33" s="143"/>
      <c r="AM33" s="143"/>
      <c r="AN33" s="143"/>
      <c r="AO33" s="143"/>
      <c r="AP33" s="332"/>
      <c r="AU33" s="17"/>
      <c r="AV33" s="17"/>
      <c r="AW33" s="17"/>
      <c r="AX33" s="17"/>
      <c r="AY33" s="17"/>
      <c r="AZ33" s="17"/>
      <c r="BA33" s="17"/>
      <c r="BB33" s="17"/>
      <c r="BC33" s="17"/>
      <c r="BD33" s="17"/>
      <c r="BE33" s="17"/>
      <c r="BF33" s="17"/>
      <c r="BG33" s="7"/>
      <c r="BI33" s="8"/>
      <c r="BJ33" s="17"/>
      <c r="BK33" s="17"/>
      <c r="BL33" s="17"/>
      <c r="BM33" s="17"/>
      <c r="BN33" s="17"/>
      <c r="BO33" s="17"/>
      <c r="BP33" s="17"/>
      <c r="BQ33" s="17"/>
      <c r="BR33" s="17"/>
      <c r="BS33" s="17"/>
      <c r="BT33" s="17"/>
      <c r="BU33" s="7"/>
    </row>
    <row r="34" spans="2:75" ht="20" customHeight="1" outlineLevel="1">
      <c r="B34" s="147" t="s">
        <v>55</v>
      </c>
      <c r="C34" s="86">
        <v>3</v>
      </c>
      <c r="D34" s="86">
        <v>5</v>
      </c>
      <c r="E34" s="86">
        <v>7</v>
      </c>
      <c r="F34" s="86">
        <v>9</v>
      </c>
      <c r="G34" s="86">
        <v>10</v>
      </c>
      <c r="H34" s="86">
        <v>12</v>
      </c>
      <c r="I34" s="86">
        <v>13</v>
      </c>
      <c r="J34" s="86">
        <v>16</v>
      </c>
      <c r="K34" s="86">
        <v>17</v>
      </c>
      <c r="L34" s="86">
        <v>20</v>
      </c>
      <c r="M34" s="86">
        <v>23</v>
      </c>
      <c r="N34" s="86">
        <v>24</v>
      </c>
      <c r="O34" s="77"/>
      <c r="P34" s="88">
        <f>C34-Расчеты!C33</f>
        <v>1.8</v>
      </c>
      <c r="Q34" s="133">
        <f>D34-Расчеты!D33</f>
        <v>2.5760000000000001</v>
      </c>
      <c r="R34" s="133">
        <f>E34-Расчеты!E33</f>
        <v>3.3275199999999998</v>
      </c>
      <c r="S34" s="133">
        <f>F34-Расчеты!F33</f>
        <v>4.0540703999999996</v>
      </c>
      <c r="T34" s="133">
        <f>G34-Расчеты!G33</f>
        <v>3.755151807999999</v>
      </c>
      <c r="U34" s="133">
        <f>H34-Расчеты!H33</f>
        <v>4.3905079352447984</v>
      </c>
      <c r="V34" s="133">
        <f>I34-Расчеты!I33</f>
        <v>3.9568130825281855</v>
      </c>
      <c r="W34" s="133">
        <f>J34-Расчеты!J33</f>
        <v>5.4505732702641119</v>
      </c>
      <c r="X34" s="133">
        <f>K34-Расчеты!K33</f>
        <v>5.0445820130613939</v>
      </c>
      <c r="Y34" s="133">
        <f>L34-Расчеты!L33</f>
        <v>6.6104709307146212</v>
      </c>
      <c r="Z34" s="133">
        <f>M34-Расчеты!M33</f>
        <v>8.1476776267209132</v>
      </c>
      <c r="AA34" s="133">
        <f>N34-Расчеты!N33</f>
        <v>7.6556284566473316</v>
      </c>
      <c r="AB34" s="146">
        <f>AA34</f>
        <v>7.6556284566473316</v>
      </c>
      <c r="AC34" s="143"/>
      <c r="AD34" s="143"/>
      <c r="AE34" s="143"/>
      <c r="AF34" s="143"/>
      <c r="AG34" s="143"/>
      <c r="AH34" s="143"/>
      <c r="AI34" s="143"/>
      <c r="AJ34" s="143"/>
      <c r="AK34" s="143"/>
      <c r="AL34" s="143"/>
      <c r="AM34" s="143"/>
      <c r="AN34" s="143"/>
      <c r="AO34" s="143"/>
      <c r="AP34" s="332"/>
      <c r="AU34" s="17"/>
      <c r="AV34" s="17"/>
      <c r="AW34" s="17"/>
      <c r="AX34" s="17"/>
      <c r="AY34" s="17"/>
      <c r="AZ34" s="17"/>
      <c r="BA34" s="17"/>
      <c r="BB34" s="17"/>
      <c r="BC34" s="17"/>
      <c r="BD34" s="17"/>
      <c r="BE34" s="17"/>
      <c r="BF34" s="17"/>
      <c r="BG34" s="7"/>
      <c r="BI34" s="8"/>
      <c r="BJ34" s="17"/>
      <c r="BK34" s="17"/>
      <c r="BL34" s="17"/>
      <c r="BM34" s="17"/>
      <c r="BN34" s="17"/>
      <c r="BO34" s="17"/>
      <c r="BP34" s="17"/>
      <c r="BQ34" s="17"/>
      <c r="BR34" s="17"/>
      <c r="BS34" s="17"/>
      <c r="BT34" s="17"/>
      <c r="BU34" s="7"/>
    </row>
    <row r="35" spans="2:75" ht="20" customHeight="1" outlineLevel="1">
      <c r="B35" s="147" t="s">
        <v>56</v>
      </c>
      <c r="C35" s="86">
        <v>5</v>
      </c>
      <c r="D35" s="86">
        <v>10</v>
      </c>
      <c r="E35" s="86">
        <v>16</v>
      </c>
      <c r="F35" s="86">
        <v>22</v>
      </c>
      <c r="G35" s="86">
        <v>27</v>
      </c>
      <c r="H35" s="86">
        <v>30</v>
      </c>
      <c r="I35" s="86">
        <v>34</v>
      </c>
      <c r="J35" s="86">
        <v>41</v>
      </c>
      <c r="K35" s="86">
        <v>51</v>
      </c>
      <c r="L35" s="86">
        <v>58</v>
      </c>
      <c r="M35" s="86">
        <v>63</v>
      </c>
      <c r="N35" s="86">
        <v>70</v>
      </c>
      <c r="O35" s="77"/>
      <c r="P35" s="88">
        <f>C35-Расчеты!C34</f>
        <v>1</v>
      </c>
      <c r="Q35" s="133">
        <f>D35-Расчеты!D34</f>
        <v>1.92</v>
      </c>
      <c r="R35" s="133">
        <f>E35-Расчеты!E34</f>
        <v>3.7584</v>
      </c>
      <c r="S35" s="133">
        <f>F35-Расчеты!F34</f>
        <v>5.5135679999999994</v>
      </c>
      <c r="T35" s="133">
        <f>G35-Расчеты!G34</f>
        <v>6.1838393600000003</v>
      </c>
      <c r="U35" s="133">
        <f>H35-Расчеты!H34</f>
        <v>4.6350264508159995</v>
      </c>
      <c r="V35" s="133">
        <f>I35-Расчеты!I34</f>
        <v>3.8560436084272887</v>
      </c>
      <c r="W35" s="133">
        <f>J35-Расчеты!J34</f>
        <v>5.8352442342137039</v>
      </c>
      <c r="X35" s="133">
        <f>K35-Расчеты!K34</f>
        <v>11.148606710204639</v>
      </c>
      <c r="Y35" s="133">
        <f>L35-Расчеты!L34</f>
        <v>13.368236435715396</v>
      </c>
      <c r="Z35" s="133">
        <f>M35-Расчеты!M34</f>
        <v>13.492258755736366</v>
      </c>
      <c r="AA35" s="133">
        <f>N35-Расчеты!N34</f>
        <v>15.518761522157753</v>
      </c>
      <c r="AB35" s="146">
        <f>AA35</f>
        <v>15.518761522157753</v>
      </c>
      <c r="AC35" s="143"/>
      <c r="AD35" s="143"/>
      <c r="AE35" s="143"/>
      <c r="AF35" s="143"/>
      <c r="AG35" s="143"/>
      <c r="AH35" s="143"/>
      <c r="AI35" s="143"/>
      <c r="AJ35" s="143"/>
      <c r="AK35" s="143"/>
      <c r="AL35" s="143"/>
      <c r="AM35" s="143"/>
      <c r="AN35" s="143"/>
      <c r="AO35" s="143"/>
      <c r="AP35" s="332"/>
      <c r="AU35" s="17"/>
      <c r="AV35" s="17"/>
      <c r="AW35" s="17"/>
      <c r="AX35" s="17"/>
      <c r="AY35" s="17"/>
      <c r="AZ35" s="17"/>
      <c r="BA35" s="17"/>
      <c r="BB35" s="17"/>
      <c r="BC35" s="17"/>
      <c r="BD35" s="17"/>
      <c r="BE35" s="17"/>
      <c r="BF35" s="17"/>
      <c r="BG35" s="7"/>
      <c r="BI35" s="8"/>
      <c r="BJ35" s="17"/>
      <c r="BK35" s="17"/>
      <c r="BL35" s="17"/>
      <c r="BM35" s="17"/>
      <c r="BN35" s="17"/>
      <c r="BO35" s="17"/>
      <c r="BP35" s="17"/>
      <c r="BQ35" s="17"/>
      <c r="BR35" s="17"/>
      <c r="BS35" s="17"/>
      <c r="BT35" s="17"/>
      <c r="BU35" s="7"/>
    </row>
    <row r="36" spans="2:75" ht="20" customHeight="1" outlineLevel="1">
      <c r="B36" s="147" t="s">
        <v>57</v>
      </c>
      <c r="C36" s="86">
        <v>8</v>
      </c>
      <c r="D36" s="86">
        <v>14</v>
      </c>
      <c r="E36" s="86">
        <v>21</v>
      </c>
      <c r="F36" s="86">
        <v>28</v>
      </c>
      <c r="G36" s="86">
        <v>35</v>
      </c>
      <c r="H36" s="86">
        <v>41</v>
      </c>
      <c r="I36" s="86">
        <v>47</v>
      </c>
      <c r="J36" s="86">
        <v>56</v>
      </c>
      <c r="K36" s="86">
        <v>64</v>
      </c>
      <c r="L36" s="86">
        <v>74</v>
      </c>
      <c r="M36" s="86">
        <v>81</v>
      </c>
      <c r="N36" s="86">
        <v>91</v>
      </c>
      <c r="O36" s="77"/>
      <c r="P36" s="88">
        <f>C36-Расчеты!C35</f>
        <v>2</v>
      </c>
      <c r="Q36" s="133">
        <f>D36-Расчеты!D35</f>
        <v>1.8800000000000008</v>
      </c>
      <c r="R36" s="133">
        <f>E36-Расчеты!E35</f>
        <v>2.6375999999999991</v>
      </c>
      <c r="S36" s="133">
        <f>F36-Расчеты!F35</f>
        <v>3.270351999999999</v>
      </c>
      <c r="T36" s="133">
        <f>G36-Расчеты!G35</f>
        <v>3.775759039999997</v>
      </c>
      <c r="U36" s="133">
        <f>H36-Расчеты!H35</f>
        <v>2.9525396762239922</v>
      </c>
      <c r="V36" s="133">
        <f>I36-Расчеты!I35</f>
        <v>1.7840654126409277</v>
      </c>
      <c r="W36" s="133">
        <f>J36-Расчеты!J35</f>
        <v>3.2528663513205558</v>
      </c>
      <c r="X36" s="133">
        <f>K36-Расчеты!K35</f>
        <v>4.2229100653069622</v>
      </c>
      <c r="Y36" s="133">
        <f>L36-Расчеты!L35</f>
        <v>7.0523546535730901</v>
      </c>
      <c r="Z36" s="133">
        <f>M36-Расчеты!M35</f>
        <v>6.7383881336045448</v>
      </c>
      <c r="AA36" s="133">
        <f>N36-Расчеты!N35</f>
        <v>9.2781422832366331</v>
      </c>
      <c r="AB36" s="146">
        <f>AA36</f>
        <v>9.2781422832366331</v>
      </c>
      <c r="AC36" s="143"/>
      <c r="AD36" s="143"/>
      <c r="AE36" s="143"/>
      <c r="AF36" s="143"/>
      <c r="AG36" s="143"/>
      <c r="AH36" s="143"/>
      <c r="AI36" s="143"/>
      <c r="AJ36" s="143"/>
      <c r="AK36" s="143"/>
      <c r="AL36" s="143"/>
      <c r="AM36" s="143"/>
      <c r="AN36" s="143"/>
      <c r="AO36" s="143"/>
      <c r="AP36" s="332"/>
      <c r="AU36" s="17"/>
      <c r="AV36" s="17"/>
      <c r="AW36" s="17"/>
      <c r="AX36" s="17"/>
      <c r="AY36" s="17"/>
      <c r="AZ36" s="17"/>
      <c r="BA36" s="17"/>
      <c r="BB36" s="17"/>
      <c r="BC36" s="17"/>
      <c r="BD36" s="17"/>
      <c r="BE36" s="17"/>
      <c r="BF36" s="17"/>
      <c r="BG36" s="7"/>
      <c r="BI36" s="8"/>
      <c r="BJ36" s="17"/>
      <c r="BK36" s="17"/>
      <c r="BL36" s="17"/>
      <c r="BM36" s="17"/>
      <c r="BN36" s="17"/>
      <c r="BO36" s="17"/>
      <c r="BP36" s="17"/>
      <c r="BQ36" s="17"/>
      <c r="BR36" s="17"/>
      <c r="BS36" s="17"/>
      <c r="BT36" s="17"/>
      <c r="BU36" s="7"/>
    </row>
    <row r="37" spans="2:75" ht="20" customHeight="1" outlineLevel="1" thickBot="1">
      <c r="B37" s="119" t="s">
        <v>58</v>
      </c>
      <c r="C37" s="120">
        <v>10</v>
      </c>
      <c r="D37" s="120">
        <v>17</v>
      </c>
      <c r="E37" s="120">
        <v>27</v>
      </c>
      <c r="F37" s="120">
        <v>37</v>
      </c>
      <c r="G37" s="120">
        <v>43</v>
      </c>
      <c r="H37" s="120">
        <v>53</v>
      </c>
      <c r="I37" s="120">
        <v>63</v>
      </c>
      <c r="J37" s="120">
        <v>73</v>
      </c>
      <c r="K37" s="120">
        <v>84</v>
      </c>
      <c r="L37" s="120">
        <v>95</v>
      </c>
      <c r="M37" s="120">
        <v>102</v>
      </c>
      <c r="N37" s="120">
        <v>114</v>
      </c>
      <c r="O37" s="122"/>
      <c r="P37" s="148">
        <f>C37-Расчеты!C36</f>
        <v>2</v>
      </c>
      <c r="Q37" s="149">
        <f>D37-Расчеты!D36</f>
        <v>0.83999999999999986</v>
      </c>
      <c r="R37" s="149">
        <f>E37-Расчеты!E36</f>
        <v>2.5167999999999999</v>
      </c>
      <c r="S37" s="149">
        <f>F37-Расчеты!F36</f>
        <v>4.0271359999999987</v>
      </c>
      <c r="T37" s="149">
        <f>G37-Расчеты!G36</f>
        <v>1.3676787200000007</v>
      </c>
      <c r="U37" s="149">
        <f>H37-Расчеты!H36</f>
        <v>2.270052901631999</v>
      </c>
      <c r="V37" s="149">
        <f>I37-Расчеты!I36</f>
        <v>2.7120872168545773</v>
      </c>
      <c r="W37" s="149">
        <f>J37-Расчеты!J36</f>
        <v>2.6704884684274077</v>
      </c>
      <c r="X37" s="149">
        <f>K37-Расчеты!K36</f>
        <v>4.2972134204092782</v>
      </c>
      <c r="Y37" s="149">
        <f>L37-Расчеты!L36</f>
        <v>5.7364728714307915</v>
      </c>
      <c r="Z37" s="149">
        <f>M37-Расчеты!M36</f>
        <v>2.9845175114727311</v>
      </c>
      <c r="AA37" s="149">
        <f>N37-Расчеты!N36</f>
        <v>5.0375230443155061</v>
      </c>
      <c r="AB37" s="150">
        <f>AA37</f>
        <v>5.0375230443155061</v>
      </c>
      <c r="AC37" s="143"/>
      <c r="AD37" s="143"/>
      <c r="AE37" s="143"/>
      <c r="AF37" s="143"/>
      <c r="AG37" s="143"/>
      <c r="AH37" s="143"/>
      <c r="AI37" s="143"/>
      <c r="AJ37" s="143"/>
      <c r="AK37" s="143"/>
      <c r="AL37" s="143"/>
      <c r="AM37" s="143"/>
      <c r="AN37" s="143"/>
      <c r="AO37" s="143"/>
      <c r="AP37" s="332"/>
      <c r="AU37" s="17"/>
      <c r="AV37" s="17"/>
      <c r="AW37" s="17"/>
      <c r="AX37" s="17"/>
      <c r="AY37" s="17"/>
      <c r="AZ37" s="17"/>
      <c r="BA37" s="17"/>
      <c r="BB37" s="17"/>
      <c r="BC37" s="17"/>
      <c r="BD37" s="17"/>
      <c r="BE37" s="17"/>
      <c r="BF37" s="17"/>
      <c r="BG37" s="7"/>
      <c r="BI37" s="8"/>
      <c r="BJ37" s="17"/>
      <c r="BK37" s="17"/>
      <c r="BL37" s="17"/>
      <c r="BM37" s="17"/>
      <c r="BN37" s="17"/>
      <c r="BO37" s="17"/>
      <c r="BP37" s="17"/>
      <c r="BQ37" s="17"/>
      <c r="BR37" s="17"/>
      <c r="BS37" s="17"/>
      <c r="BT37" s="17"/>
      <c r="BU37" s="7"/>
    </row>
    <row r="38" spans="2:75" ht="20" customHeight="1" thickBot="1">
      <c r="C38" s="11"/>
      <c r="D38" s="11"/>
      <c r="E38" s="11"/>
      <c r="F38" s="11"/>
      <c r="G38" s="11"/>
      <c r="H38" s="11"/>
      <c r="I38" s="11"/>
      <c r="J38" s="11"/>
      <c r="K38" s="11"/>
      <c r="L38" s="11"/>
      <c r="M38" s="11"/>
      <c r="N38" s="11"/>
      <c r="P38" s="11"/>
      <c r="Q38" s="11"/>
      <c r="R38" s="11"/>
      <c r="S38" s="11"/>
      <c r="T38" s="11"/>
      <c r="U38" s="11"/>
      <c r="V38" s="11"/>
      <c r="W38" s="11"/>
      <c r="X38" s="11"/>
      <c r="Y38" s="11"/>
      <c r="Z38" s="11"/>
      <c r="AA38" s="11"/>
      <c r="AP38" s="301"/>
      <c r="BQ38" s="26"/>
      <c r="BW38" s="24"/>
    </row>
    <row r="39" spans="2:75" ht="20" customHeight="1">
      <c r="B39" s="151" t="s">
        <v>60</v>
      </c>
      <c r="C39" s="151"/>
      <c r="D39" s="151"/>
      <c r="E39" s="151"/>
      <c r="F39" s="151"/>
      <c r="G39" s="151"/>
      <c r="H39" s="151"/>
      <c r="I39" s="151" t="s">
        <v>47</v>
      </c>
      <c r="J39" s="151"/>
      <c r="K39" s="151"/>
      <c r="L39" s="151"/>
      <c r="M39" s="151"/>
      <c r="N39" s="151"/>
      <c r="O39" s="151"/>
      <c r="P39" s="326" t="s">
        <v>48</v>
      </c>
      <c r="Q39" s="326"/>
      <c r="R39" s="326"/>
      <c r="S39" s="326"/>
      <c r="T39" s="326"/>
      <c r="U39" s="326"/>
      <c r="V39" s="326"/>
      <c r="W39" s="326"/>
      <c r="X39" s="326"/>
      <c r="Y39" s="326"/>
      <c r="Z39" s="326"/>
      <c r="AA39" s="326"/>
      <c r="AB39" s="326"/>
      <c r="AC39" s="322" t="s">
        <v>218</v>
      </c>
      <c r="AD39" s="323"/>
      <c r="AE39" s="323"/>
      <c r="AF39" s="323"/>
      <c r="AG39" s="323"/>
      <c r="AH39" s="323"/>
      <c r="AI39" s="323"/>
      <c r="AJ39" s="323"/>
      <c r="AK39" s="323"/>
      <c r="AL39" s="323"/>
      <c r="AM39" s="323"/>
      <c r="AN39" s="323"/>
      <c r="AO39" s="324"/>
      <c r="AP39" s="331" t="s">
        <v>240</v>
      </c>
      <c r="AQ39" s="22"/>
      <c r="AR39" s="13" t="s">
        <v>18</v>
      </c>
      <c r="AS39" s="1" t="str">
        <f>IF(AR39="Нет", " ", "Сделайте расчёт фактического уровня проникновения продаж по новым клиентам как Количество платных клиентов / Количество бесплатных * 100%. Сравните с плановым уровнем.")</f>
        <v xml:space="preserve"> </v>
      </c>
      <c r="AU39" s="4"/>
      <c r="AV39" s="4"/>
      <c r="AW39" s="4"/>
      <c r="AX39" s="4"/>
      <c r="AY39" s="4"/>
      <c r="AZ39" s="4"/>
      <c r="BA39" s="4"/>
      <c r="BB39" s="4"/>
      <c r="BC39" s="4"/>
      <c r="BD39" s="4"/>
      <c r="BE39" s="4"/>
      <c r="BF39" s="4"/>
      <c r="BG39" s="4"/>
      <c r="BI39" s="327"/>
      <c r="BJ39" s="327"/>
      <c r="BK39" s="327"/>
      <c r="BL39" s="327"/>
      <c r="BM39" s="327"/>
      <c r="BN39" s="327"/>
      <c r="BO39" s="327"/>
      <c r="BP39" s="327"/>
      <c r="BQ39" s="327"/>
      <c r="BR39" s="327"/>
      <c r="BS39" s="327"/>
      <c r="BT39" s="327"/>
      <c r="BU39" s="327"/>
    </row>
    <row r="40" spans="2:75" ht="20" customHeight="1" thickBot="1">
      <c r="B40" s="113"/>
      <c r="C40" s="114" t="s">
        <v>186</v>
      </c>
      <c r="D40" s="114" t="s">
        <v>187</v>
      </c>
      <c r="E40" s="114" t="s">
        <v>188</v>
      </c>
      <c r="F40" s="114" t="s">
        <v>189</v>
      </c>
      <c r="G40" s="248">
        <v>46143</v>
      </c>
      <c r="H40" s="114" t="s">
        <v>190</v>
      </c>
      <c r="I40" s="114" t="s">
        <v>191</v>
      </c>
      <c r="J40" s="114" t="s">
        <v>192</v>
      </c>
      <c r="K40" s="114" t="s">
        <v>193</v>
      </c>
      <c r="L40" s="114" t="s">
        <v>194</v>
      </c>
      <c r="M40" s="114" t="s">
        <v>195</v>
      </c>
      <c r="N40" s="114" t="s">
        <v>196</v>
      </c>
      <c r="O40" s="115">
        <v>2026</v>
      </c>
      <c r="P40" s="114" t="s">
        <v>186</v>
      </c>
      <c r="Q40" s="114" t="s">
        <v>187</v>
      </c>
      <c r="R40" s="114" t="s">
        <v>188</v>
      </c>
      <c r="S40" s="114" t="s">
        <v>189</v>
      </c>
      <c r="T40" s="248">
        <v>46143</v>
      </c>
      <c r="U40" s="114" t="s">
        <v>190</v>
      </c>
      <c r="V40" s="114" t="s">
        <v>191</v>
      </c>
      <c r="W40" s="114" t="s">
        <v>192</v>
      </c>
      <c r="X40" s="114" t="s">
        <v>193</v>
      </c>
      <c r="Y40" s="114" t="s">
        <v>194</v>
      </c>
      <c r="Z40" s="114" t="s">
        <v>195</v>
      </c>
      <c r="AA40" s="114" t="s">
        <v>196</v>
      </c>
      <c r="AB40" s="116">
        <v>2026</v>
      </c>
      <c r="AC40" s="269" t="s">
        <v>186</v>
      </c>
      <c r="AD40" s="114" t="s">
        <v>187</v>
      </c>
      <c r="AE40" s="114" t="s">
        <v>188</v>
      </c>
      <c r="AF40" s="114" t="s">
        <v>189</v>
      </c>
      <c r="AG40" s="248">
        <v>46143</v>
      </c>
      <c r="AH40" s="114" t="s">
        <v>190</v>
      </c>
      <c r="AI40" s="114" t="s">
        <v>191</v>
      </c>
      <c r="AJ40" s="114" t="s">
        <v>192</v>
      </c>
      <c r="AK40" s="114" t="s">
        <v>193</v>
      </c>
      <c r="AL40" s="114" t="s">
        <v>194</v>
      </c>
      <c r="AM40" s="114" t="s">
        <v>195</v>
      </c>
      <c r="AN40" s="114" t="s">
        <v>196</v>
      </c>
      <c r="AO40" s="270"/>
      <c r="AP40" s="331"/>
      <c r="AQ40" s="247"/>
      <c r="AR40" s="13" t="s">
        <v>18</v>
      </c>
      <c r="AS40" s="1" t="str">
        <f>IF(AR40="Нет", " ", "Проверьте, как соотносится уровень проникновения продаж и количество продлений у Community? Сделайте вывод, что можно рекомендовать для изменения ситуации?")</f>
        <v xml:space="preserve"> </v>
      </c>
      <c r="AU40" s="13"/>
      <c r="AV40" s="13"/>
      <c r="AW40" s="13"/>
      <c r="AX40" s="13"/>
      <c r="AY40" s="13"/>
      <c r="AZ40" s="13"/>
      <c r="BA40" s="13"/>
      <c r="BB40" s="13"/>
      <c r="BC40" s="13"/>
      <c r="BD40" s="13"/>
      <c r="BE40" s="13"/>
      <c r="BF40" s="13"/>
      <c r="BG40" s="25"/>
      <c r="BI40" s="13"/>
      <c r="BJ40" s="13"/>
      <c r="BK40" s="13"/>
      <c r="BL40" s="13"/>
      <c r="BM40" s="13"/>
      <c r="BN40" s="13"/>
      <c r="BO40" s="13"/>
      <c r="BP40" s="13"/>
      <c r="BQ40" s="13"/>
      <c r="BR40" s="13"/>
      <c r="BS40" s="13"/>
      <c r="BT40" s="13"/>
      <c r="BU40" s="29"/>
    </row>
    <row r="41" spans="2:75" ht="10.25" customHeight="1">
      <c r="B41" s="123"/>
      <c r="C41" s="124"/>
      <c r="D41" s="124"/>
      <c r="E41" s="124"/>
      <c r="F41" s="124"/>
      <c r="G41" s="124"/>
      <c r="H41" s="124"/>
      <c r="I41" s="124"/>
      <c r="J41" s="124"/>
      <c r="K41" s="124"/>
      <c r="L41" s="124"/>
      <c r="M41" s="124"/>
      <c r="N41" s="124"/>
      <c r="O41" s="123"/>
      <c r="P41" s="124"/>
      <c r="Q41" s="124"/>
      <c r="R41" s="124"/>
      <c r="S41" s="124"/>
      <c r="T41" s="124"/>
      <c r="U41" s="124"/>
      <c r="V41" s="124"/>
      <c r="W41" s="124"/>
      <c r="X41" s="124"/>
      <c r="Y41" s="124"/>
      <c r="Z41" s="124"/>
      <c r="AA41" s="124"/>
      <c r="AB41" s="123"/>
      <c r="AC41" s="271"/>
      <c r="AD41" s="123"/>
      <c r="AE41" s="123"/>
      <c r="AF41" s="123"/>
      <c r="AG41" s="123"/>
      <c r="AH41" s="123"/>
      <c r="AI41" s="123"/>
      <c r="AJ41" s="123"/>
      <c r="AK41" s="123"/>
      <c r="AL41" s="123"/>
      <c r="AM41" s="123"/>
      <c r="AN41" s="123"/>
      <c r="AO41" s="272"/>
      <c r="AP41" s="331"/>
      <c r="AQ41" s="247"/>
      <c r="AR41" s="13"/>
      <c r="AU41" s="13"/>
      <c r="AV41" s="13"/>
      <c r="AW41" s="13"/>
      <c r="AX41" s="13"/>
      <c r="AY41" s="13"/>
      <c r="AZ41" s="13"/>
      <c r="BA41" s="13"/>
      <c r="BB41" s="13"/>
      <c r="BC41" s="13"/>
      <c r="BD41" s="13"/>
      <c r="BE41" s="13"/>
      <c r="BF41" s="13"/>
      <c r="BG41" s="25"/>
      <c r="BI41" s="13"/>
      <c r="BJ41" s="13"/>
      <c r="BK41" s="13"/>
      <c r="BL41" s="13"/>
      <c r="BM41" s="13"/>
      <c r="BN41" s="13"/>
      <c r="BO41" s="13"/>
      <c r="BP41" s="13"/>
      <c r="BQ41" s="13"/>
      <c r="BR41" s="13"/>
      <c r="BS41" s="13"/>
      <c r="BT41" s="13"/>
      <c r="BU41" s="29"/>
    </row>
    <row r="42" spans="2:75" ht="20" customHeight="1">
      <c r="B42" s="125" t="s">
        <v>21</v>
      </c>
      <c r="C42" s="126"/>
      <c r="D42" s="126"/>
      <c r="E42" s="126"/>
      <c r="F42" s="126"/>
      <c r="G42" s="126"/>
      <c r="H42" s="126"/>
      <c r="I42" s="126"/>
      <c r="J42" s="126"/>
      <c r="K42" s="126"/>
      <c r="L42" s="126"/>
      <c r="M42" s="126"/>
      <c r="N42" s="126"/>
      <c r="O42" s="126"/>
      <c r="P42" s="126"/>
      <c r="Q42" s="126"/>
      <c r="R42" s="126"/>
      <c r="S42" s="126"/>
      <c r="T42" s="126"/>
      <c r="U42" s="126"/>
      <c r="V42" s="126"/>
      <c r="W42" s="126"/>
      <c r="X42" s="126"/>
      <c r="Y42" s="126"/>
      <c r="Z42" s="126"/>
      <c r="AA42" s="126"/>
      <c r="AB42" s="126"/>
      <c r="AC42" s="302" t="s">
        <v>21</v>
      </c>
      <c r="AD42" s="126"/>
      <c r="AE42" s="126"/>
      <c r="AF42" s="126"/>
      <c r="AG42" s="126"/>
      <c r="AH42" s="126"/>
      <c r="AI42" s="126"/>
      <c r="AJ42" s="126"/>
      <c r="AK42" s="126"/>
      <c r="AL42" s="126"/>
      <c r="AM42" s="126"/>
      <c r="AN42" s="126"/>
      <c r="AO42" s="268"/>
      <c r="AP42" s="331"/>
      <c r="AQ42" s="247"/>
      <c r="AR42" s="13" t="s">
        <v>18</v>
      </c>
      <c r="AS42" s="1" t="str">
        <f>IF(AR42="Нет", " ", "Проверьте, как соотносится уровень проникновения продаж и количество продлений у Education? Сделайте вывод, что можно рекомендовать для изменения ситуации?")</f>
        <v xml:space="preserve"> </v>
      </c>
      <c r="AU42" s="7"/>
      <c r="AV42" s="7"/>
      <c r="AW42" s="7"/>
      <c r="AX42" s="7"/>
      <c r="AY42" s="7"/>
      <c r="AZ42" s="7"/>
      <c r="BA42" s="7"/>
      <c r="BB42" s="7"/>
      <c r="BC42" s="7"/>
      <c r="BD42" s="7"/>
      <c r="BE42" s="7"/>
      <c r="BF42" s="7"/>
      <c r="BG42" s="7"/>
      <c r="BI42" s="7"/>
      <c r="BJ42" s="7"/>
      <c r="BK42" s="7"/>
      <c r="BL42" s="7"/>
      <c r="BM42" s="7"/>
      <c r="BN42" s="7"/>
      <c r="BO42" s="7"/>
      <c r="BP42" s="7"/>
      <c r="BQ42" s="7"/>
      <c r="BR42" s="7"/>
      <c r="BS42" s="7"/>
      <c r="BT42" s="7"/>
      <c r="BU42" s="7"/>
    </row>
    <row r="43" spans="2:75" ht="20" customHeight="1" outlineLevel="1">
      <c r="B43" s="117" t="s">
        <v>49</v>
      </c>
      <c r="C43" s="118">
        <v>504</v>
      </c>
      <c r="D43" s="118">
        <v>507</v>
      </c>
      <c r="E43" s="118">
        <v>509</v>
      </c>
      <c r="F43" s="118">
        <v>514</v>
      </c>
      <c r="G43" s="118">
        <v>515</v>
      </c>
      <c r="H43" s="118">
        <v>525</v>
      </c>
      <c r="I43" s="118">
        <v>543</v>
      </c>
      <c r="J43" s="118">
        <v>567</v>
      </c>
      <c r="K43" s="118">
        <v>551</v>
      </c>
      <c r="L43" s="118">
        <v>561</v>
      </c>
      <c r="M43" s="118">
        <v>570</v>
      </c>
      <c r="N43" s="118">
        <v>580</v>
      </c>
      <c r="O43" s="65"/>
      <c r="P43" s="118"/>
      <c r="Q43" s="118"/>
      <c r="R43" s="118"/>
      <c r="S43" s="118"/>
      <c r="T43" s="118"/>
      <c r="U43" s="118"/>
      <c r="V43" s="118"/>
      <c r="W43" s="118"/>
      <c r="X43" s="118"/>
      <c r="Y43" s="118"/>
      <c r="Z43" s="118"/>
      <c r="AA43" s="118"/>
      <c r="AB43" s="66"/>
      <c r="AC43" s="273">
        <v>0</v>
      </c>
      <c r="AD43" s="118">
        <v>0</v>
      </c>
      <c r="AE43" s="118">
        <v>0</v>
      </c>
      <c r="AF43" s="118">
        <v>0</v>
      </c>
      <c r="AG43" s="118">
        <v>0</v>
      </c>
      <c r="AH43" s="118">
        <v>0</v>
      </c>
      <c r="AI43" s="118">
        <v>0</v>
      </c>
      <c r="AJ43" s="118">
        <v>0</v>
      </c>
      <c r="AK43" s="118">
        <v>0</v>
      </c>
      <c r="AL43" s="118">
        <v>0</v>
      </c>
      <c r="AM43" s="118">
        <v>0</v>
      </c>
      <c r="AN43" s="118">
        <v>0</v>
      </c>
      <c r="AO43" s="265"/>
      <c r="AP43" s="331"/>
      <c r="AQ43" s="247"/>
      <c r="AR43" s="13" t="s">
        <v>18</v>
      </c>
      <c r="AS43" s="1" t="str">
        <f>IF(AR43="Нет", " ", "Рассчитайте ежемесячный темп прироста новых клиентов на бесплатных продуктах как Количество клиентов в текущем месяце / Количествоклиентов в предыдущем месяце - 1. Сравните с планом по сезонности.")</f>
        <v xml:space="preserve"> </v>
      </c>
      <c r="AU43" s="8"/>
      <c r="AV43" s="17"/>
      <c r="AW43" s="17"/>
      <c r="AX43" s="17"/>
      <c r="AY43" s="17"/>
      <c r="AZ43" s="17"/>
      <c r="BA43" s="17"/>
      <c r="BB43" s="17"/>
      <c r="BC43" s="17"/>
      <c r="BD43" s="17"/>
      <c r="BE43" s="17"/>
      <c r="BF43" s="17"/>
      <c r="BG43" s="7"/>
      <c r="BI43" s="17"/>
      <c r="BJ43" s="17"/>
      <c r="BK43" s="17"/>
      <c r="BL43" s="17"/>
      <c r="BM43" s="17"/>
      <c r="BN43" s="17"/>
      <c r="BO43" s="17"/>
      <c r="BP43" s="17"/>
      <c r="BQ43" s="17"/>
      <c r="BR43" s="17"/>
      <c r="BS43" s="17"/>
      <c r="BT43" s="17"/>
      <c r="BU43" s="30"/>
    </row>
    <row r="44" spans="2:75" ht="20" customHeight="1" outlineLevel="1">
      <c r="B44" s="147" t="s">
        <v>50</v>
      </c>
      <c r="C44" s="86">
        <v>0</v>
      </c>
      <c r="D44" s="86">
        <v>102</v>
      </c>
      <c r="E44" s="86">
        <v>103</v>
      </c>
      <c r="F44" s="86">
        <v>105</v>
      </c>
      <c r="G44" s="86">
        <v>108</v>
      </c>
      <c r="H44" s="86">
        <v>107</v>
      </c>
      <c r="I44" s="86">
        <v>113</v>
      </c>
      <c r="J44" s="86">
        <v>120</v>
      </c>
      <c r="K44" s="86">
        <v>125</v>
      </c>
      <c r="L44" s="86">
        <v>115</v>
      </c>
      <c r="M44" s="86">
        <v>115</v>
      </c>
      <c r="N44" s="86">
        <v>117</v>
      </c>
      <c r="O44" s="76"/>
      <c r="P44" s="86"/>
      <c r="Q44" s="86"/>
      <c r="R44" s="86"/>
      <c r="S44" s="86"/>
      <c r="T44" s="86"/>
      <c r="U44" s="86"/>
      <c r="V44" s="86"/>
      <c r="W44" s="86"/>
      <c r="X44" s="86"/>
      <c r="Y44" s="86"/>
      <c r="Z44" s="86"/>
      <c r="AA44" s="86"/>
      <c r="AB44" s="77"/>
      <c r="AC44" s="274">
        <v>0</v>
      </c>
      <c r="AD44" s="278">
        <f>D44/C43</f>
        <v>0.20238095238095238</v>
      </c>
      <c r="AE44" s="278">
        <f>E44/D43</f>
        <v>0.20315581854043394</v>
      </c>
      <c r="AF44" s="281">
        <f t="shared" ref="AF44:AM44" si="6">F44/E43</f>
        <v>0.206286836935167</v>
      </c>
      <c r="AG44" s="281">
        <f t="shared" si="6"/>
        <v>0.21011673151750973</v>
      </c>
      <c r="AH44" s="281">
        <f t="shared" si="6"/>
        <v>0.20776699029126214</v>
      </c>
      <c r="AI44" s="281">
        <f t="shared" si="6"/>
        <v>0.21523809523809523</v>
      </c>
      <c r="AJ44" s="281">
        <f t="shared" si="6"/>
        <v>0.22099447513812154</v>
      </c>
      <c r="AK44" s="281">
        <f t="shared" si="6"/>
        <v>0.22045855379188711</v>
      </c>
      <c r="AL44" s="281">
        <f t="shared" si="6"/>
        <v>0.20871143375680581</v>
      </c>
      <c r="AM44" s="281">
        <f t="shared" si="6"/>
        <v>0.20499108734402852</v>
      </c>
      <c r="AN44" s="281">
        <f>N44/M43</f>
        <v>0.20526315789473684</v>
      </c>
      <c r="AO44" s="266"/>
      <c r="AP44" s="331"/>
      <c r="AQ44" s="247"/>
      <c r="AR44" s="13" t="s">
        <v>18</v>
      </c>
      <c r="AS44" s="1" t="str">
        <f>IF(AR44="Нет", " ", "Сделайте вывод по предыдущему расчёту, что можно изменить в модели для повышения точности планирования?")</f>
        <v xml:space="preserve"> </v>
      </c>
      <c r="AU44" s="8"/>
      <c r="AV44" s="17"/>
      <c r="AW44" s="17"/>
      <c r="AX44" s="17"/>
      <c r="AY44" s="17"/>
      <c r="AZ44" s="17"/>
      <c r="BA44" s="17"/>
      <c r="BB44" s="17"/>
      <c r="BC44" s="17"/>
      <c r="BD44" s="17"/>
      <c r="BE44" s="17"/>
      <c r="BF44" s="17"/>
      <c r="BG44" s="31"/>
      <c r="BH44" s="32"/>
      <c r="BI44" s="8"/>
      <c r="BJ44" s="17"/>
      <c r="BK44" s="17"/>
      <c r="BL44" s="17"/>
      <c r="BM44" s="17"/>
      <c r="BN44" s="17"/>
      <c r="BO44" s="17"/>
      <c r="BP44" s="17"/>
      <c r="BQ44" s="17"/>
      <c r="BR44" s="17"/>
      <c r="BS44" s="17"/>
      <c r="BT44" s="17"/>
      <c r="BU44" s="7"/>
    </row>
    <row r="45" spans="2:75" ht="20" customHeight="1" outlineLevel="1">
      <c r="B45" s="147" t="s">
        <v>51</v>
      </c>
      <c r="C45" s="86">
        <v>0</v>
      </c>
      <c r="D45" s="86">
        <v>76</v>
      </c>
      <c r="E45" s="86">
        <v>78</v>
      </c>
      <c r="F45" s="86">
        <v>78</v>
      </c>
      <c r="G45" s="86">
        <v>80</v>
      </c>
      <c r="H45" s="86">
        <v>79</v>
      </c>
      <c r="I45" s="86">
        <v>86</v>
      </c>
      <c r="J45" s="86">
        <v>90</v>
      </c>
      <c r="K45" s="86">
        <v>93</v>
      </c>
      <c r="L45" s="86">
        <v>85</v>
      </c>
      <c r="M45" s="86">
        <v>88</v>
      </c>
      <c r="N45" s="86">
        <v>88</v>
      </c>
      <c r="O45" s="76"/>
      <c r="P45" s="86"/>
      <c r="Q45" s="86"/>
      <c r="R45" s="86"/>
      <c r="S45" s="86"/>
      <c r="T45" s="86"/>
      <c r="U45" s="86"/>
      <c r="V45" s="86"/>
      <c r="W45" s="86"/>
      <c r="X45" s="86"/>
      <c r="Y45" s="86"/>
      <c r="Z45" s="86"/>
      <c r="AA45" s="86"/>
      <c r="AB45" s="77"/>
      <c r="AC45" s="274">
        <v>0</v>
      </c>
      <c r="AD45" s="278">
        <f>D45/C43</f>
        <v>0.15079365079365079</v>
      </c>
      <c r="AE45" s="281">
        <f t="shared" ref="AE45:AN45" si="7">E45/D43</f>
        <v>0.15384615384615385</v>
      </c>
      <c r="AF45" s="281">
        <f t="shared" si="7"/>
        <v>0.15324165029469547</v>
      </c>
      <c r="AG45" s="281">
        <f t="shared" si="7"/>
        <v>0.1556420233463035</v>
      </c>
      <c r="AH45" s="281">
        <f t="shared" si="7"/>
        <v>0.15339805825242719</v>
      </c>
      <c r="AI45" s="281">
        <f t="shared" si="7"/>
        <v>0.16380952380952382</v>
      </c>
      <c r="AJ45" s="281">
        <f t="shared" si="7"/>
        <v>0.16574585635359115</v>
      </c>
      <c r="AK45" s="281">
        <f t="shared" si="7"/>
        <v>0.16402116402116401</v>
      </c>
      <c r="AL45" s="281">
        <f t="shared" si="7"/>
        <v>0.15426497277676951</v>
      </c>
      <c r="AM45" s="281">
        <f t="shared" si="7"/>
        <v>0.15686274509803921</v>
      </c>
      <c r="AN45" s="281">
        <f t="shared" si="7"/>
        <v>0.15438596491228071</v>
      </c>
      <c r="AO45" s="266"/>
      <c r="AP45" s="331"/>
      <c r="AQ45" s="247"/>
      <c r="AR45" s="247"/>
      <c r="AS45" s="27"/>
      <c r="AU45" s="8"/>
      <c r="AV45" s="17"/>
      <c r="AW45" s="17"/>
      <c r="AX45" s="17"/>
      <c r="AY45" s="17"/>
      <c r="AZ45" s="17"/>
      <c r="BA45" s="17"/>
      <c r="BB45" s="17"/>
      <c r="BC45" s="17"/>
      <c r="BD45" s="17"/>
      <c r="BE45" s="17"/>
      <c r="BF45" s="17"/>
      <c r="BG45" s="31"/>
      <c r="BH45" s="32"/>
      <c r="BI45" s="8"/>
      <c r="BJ45" s="17"/>
      <c r="BK45" s="17"/>
      <c r="BL45" s="17"/>
      <c r="BM45" s="17"/>
      <c r="BN45" s="17"/>
      <c r="BO45" s="17"/>
      <c r="BP45" s="17"/>
      <c r="BQ45" s="17"/>
      <c r="BR45" s="17"/>
      <c r="BS45" s="17"/>
      <c r="BT45" s="17"/>
      <c r="BU45" s="7"/>
    </row>
    <row r="46" spans="2:75" ht="20" customHeight="1" outlineLevel="1">
      <c r="B46" s="147" t="s">
        <v>52</v>
      </c>
      <c r="C46" s="86">
        <v>0</v>
      </c>
      <c r="D46" s="86">
        <v>53</v>
      </c>
      <c r="E46" s="86">
        <v>52</v>
      </c>
      <c r="F46" s="86">
        <v>55</v>
      </c>
      <c r="G46" s="86">
        <v>54</v>
      </c>
      <c r="H46" s="86">
        <v>57</v>
      </c>
      <c r="I46" s="86">
        <v>58</v>
      </c>
      <c r="J46" s="86">
        <v>62</v>
      </c>
      <c r="K46" s="86">
        <v>64</v>
      </c>
      <c r="L46" s="86">
        <v>56</v>
      </c>
      <c r="M46" s="86">
        <v>57</v>
      </c>
      <c r="N46" s="86">
        <v>60</v>
      </c>
      <c r="O46" s="76"/>
      <c r="P46" s="86"/>
      <c r="Q46" s="86"/>
      <c r="R46" s="86"/>
      <c r="S46" s="86"/>
      <c r="T46" s="86"/>
      <c r="U46" s="86"/>
      <c r="V46" s="86"/>
      <c r="W46" s="86"/>
      <c r="X46" s="86"/>
      <c r="Y46" s="86"/>
      <c r="Z46" s="86"/>
      <c r="AA46" s="86"/>
      <c r="AB46" s="77"/>
      <c r="AC46" s="274">
        <v>0</v>
      </c>
      <c r="AD46" s="278">
        <f>D46/C43</f>
        <v>0.10515873015873016</v>
      </c>
      <c r="AE46" s="281">
        <f t="shared" ref="AE46:AN46" si="8">E46/D43</f>
        <v>0.10256410256410256</v>
      </c>
      <c r="AF46" s="281">
        <f t="shared" si="8"/>
        <v>0.10805500982318271</v>
      </c>
      <c r="AG46" s="281">
        <f t="shared" si="8"/>
        <v>0.10505836575875487</v>
      </c>
      <c r="AH46" s="281">
        <f t="shared" si="8"/>
        <v>0.11067961165048544</v>
      </c>
      <c r="AI46" s="281">
        <f t="shared" si="8"/>
        <v>0.11047619047619048</v>
      </c>
      <c r="AJ46" s="281">
        <f t="shared" si="8"/>
        <v>0.1141804788213628</v>
      </c>
      <c r="AK46" s="281">
        <f t="shared" si="8"/>
        <v>0.1128747795414462</v>
      </c>
      <c r="AL46" s="281">
        <f t="shared" si="8"/>
        <v>0.10163339382940109</v>
      </c>
      <c r="AM46" s="281">
        <f t="shared" si="8"/>
        <v>0.10160427807486631</v>
      </c>
      <c r="AN46" s="281">
        <f t="shared" si="8"/>
        <v>0.10526315789473684</v>
      </c>
      <c r="AO46" s="266"/>
      <c r="AP46" s="331"/>
      <c r="AQ46" s="247"/>
      <c r="AR46" s="247"/>
      <c r="AU46" s="8"/>
      <c r="AV46" s="17"/>
      <c r="AW46" s="17"/>
      <c r="AX46" s="17"/>
      <c r="AY46" s="17"/>
      <c r="AZ46" s="17"/>
      <c r="BA46" s="17"/>
      <c r="BB46" s="17"/>
      <c r="BC46" s="17"/>
      <c r="BD46" s="17"/>
      <c r="BE46" s="17"/>
      <c r="BF46" s="17"/>
      <c r="BG46" s="31"/>
      <c r="BH46" s="32"/>
      <c r="BI46" s="8"/>
      <c r="BJ46" s="17"/>
      <c r="BK46" s="17"/>
      <c r="BL46" s="17"/>
      <c r="BM46" s="17"/>
      <c r="BN46" s="17"/>
      <c r="BO46" s="17"/>
      <c r="BP46" s="17"/>
      <c r="BQ46" s="17"/>
      <c r="BR46" s="17"/>
      <c r="BS46" s="17"/>
      <c r="BT46" s="17"/>
      <c r="BU46" s="7"/>
    </row>
    <row r="47" spans="2:75" ht="20" customHeight="1" outlineLevel="1">
      <c r="B47" s="119" t="s">
        <v>53</v>
      </c>
      <c r="C47" s="120">
        <v>0</v>
      </c>
      <c r="D47" s="120">
        <v>17</v>
      </c>
      <c r="E47" s="120">
        <v>16</v>
      </c>
      <c r="F47" s="120">
        <v>17</v>
      </c>
      <c r="G47" s="120">
        <v>16</v>
      </c>
      <c r="H47" s="120">
        <v>16</v>
      </c>
      <c r="I47" s="120">
        <v>17</v>
      </c>
      <c r="J47" s="120">
        <v>20</v>
      </c>
      <c r="K47" s="120">
        <v>20</v>
      </c>
      <c r="L47" s="120">
        <v>18</v>
      </c>
      <c r="M47" s="120">
        <v>16</v>
      </c>
      <c r="N47" s="120">
        <v>19</v>
      </c>
      <c r="O47" s="121"/>
      <c r="P47" s="120"/>
      <c r="Q47" s="120"/>
      <c r="R47" s="120"/>
      <c r="S47" s="120"/>
      <c r="T47" s="120"/>
      <c r="U47" s="120"/>
      <c r="V47" s="120"/>
      <c r="W47" s="120"/>
      <c r="X47" s="120"/>
      <c r="Y47" s="120"/>
      <c r="Z47" s="120"/>
      <c r="AA47" s="120"/>
      <c r="AB47" s="122"/>
      <c r="AC47" s="275">
        <v>0</v>
      </c>
      <c r="AD47" s="282">
        <f>D47/C43</f>
        <v>3.3730158730158728E-2</v>
      </c>
      <c r="AE47" s="202">
        <f t="shared" ref="AE47:AN47" si="9">E47/D43</f>
        <v>3.1558185404339252E-2</v>
      </c>
      <c r="AF47" s="202">
        <f t="shared" si="9"/>
        <v>3.3398821218074658E-2</v>
      </c>
      <c r="AG47" s="202">
        <f t="shared" si="9"/>
        <v>3.1128404669260701E-2</v>
      </c>
      <c r="AH47" s="202">
        <f t="shared" si="9"/>
        <v>3.1067961165048542E-2</v>
      </c>
      <c r="AI47" s="202">
        <f t="shared" si="9"/>
        <v>3.2380952380952378E-2</v>
      </c>
      <c r="AJ47" s="202">
        <f t="shared" si="9"/>
        <v>3.6832412523020261E-2</v>
      </c>
      <c r="AK47" s="202">
        <f t="shared" si="9"/>
        <v>3.5273368606701938E-2</v>
      </c>
      <c r="AL47" s="202">
        <f t="shared" si="9"/>
        <v>3.2667876588021776E-2</v>
      </c>
      <c r="AM47" s="202">
        <f t="shared" si="9"/>
        <v>2.8520499108734401E-2</v>
      </c>
      <c r="AN47" s="202">
        <f t="shared" si="9"/>
        <v>3.3333333333333333E-2</v>
      </c>
      <c r="AO47" s="267"/>
      <c r="AP47" s="331"/>
      <c r="AQ47" s="247"/>
      <c r="AR47" s="247"/>
      <c r="AS47" s="247"/>
      <c r="AU47" s="8"/>
      <c r="AV47" s="17"/>
      <c r="AW47" s="17"/>
      <c r="AX47" s="17"/>
      <c r="AY47" s="17"/>
      <c r="AZ47" s="17"/>
      <c r="BA47" s="17"/>
      <c r="BB47" s="17"/>
      <c r="BC47" s="17"/>
      <c r="BD47" s="17"/>
      <c r="BE47" s="17"/>
      <c r="BF47" s="17"/>
      <c r="BG47" s="31"/>
      <c r="BH47" s="32"/>
      <c r="BI47" s="8"/>
      <c r="BJ47" s="17"/>
      <c r="BK47" s="17"/>
      <c r="BL47" s="17"/>
      <c r="BM47" s="17"/>
      <c r="BN47" s="17"/>
      <c r="BO47" s="17"/>
      <c r="BP47" s="17"/>
      <c r="BQ47" s="17"/>
      <c r="BR47" s="17"/>
      <c r="BS47" s="17"/>
      <c r="BT47" s="17"/>
      <c r="BU47" s="7"/>
    </row>
    <row r="48" spans="2:75" ht="20" customHeight="1">
      <c r="B48" s="125" t="s">
        <v>22</v>
      </c>
      <c r="C48" s="126"/>
      <c r="D48" s="126"/>
      <c r="E48" s="126"/>
      <c r="F48" s="126"/>
      <c r="G48" s="126"/>
      <c r="H48" s="126"/>
      <c r="I48" s="126"/>
      <c r="J48" s="126"/>
      <c r="K48" s="126"/>
      <c r="L48" s="126"/>
      <c r="M48" s="126"/>
      <c r="N48" s="126"/>
      <c r="O48" s="126"/>
      <c r="P48" s="126"/>
      <c r="Q48" s="126"/>
      <c r="R48" s="126"/>
      <c r="S48" s="126"/>
      <c r="T48" s="126"/>
      <c r="U48" s="126"/>
      <c r="V48" s="126"/>
      <c r="W48" s="126"/>
      <c r="X48" s="126"/>
      <c r="Y48" s="126"/>
      <c r="Z48" s="126"/>
      <c r="AA48" s="126"/>
      <c r="AB48" s="126"/>
      <c r="AC48" s="302" t="s">
        <v>22</v>
      </c>
      <c r="AD48" s="126"/>
      <c r="AE48" s="126"/>
      <c r="AF48" s="126"/>
      <c r="AG48" s="126"/>
      <c r="AH48" s="126"/>
      <c r="AI48" s="126"/>
      <c r="AJ48" s="126"/>
      <c r="AK48" s="126"/>
      <c r="AL48" s="126"/>
      <c r="AM48" s="126"/>
      <c r="AN48" s="126"/>
      <c r="AO48" s="268"/>
      <c r="AP48" s="331"/>
      <c r="AQ48" s="247"/>
      <c r="AR48" s="247"/>
      <c r="AS48" s="247"/>
      <c r="AU48" s="7"/>
      <c r="AV48" s="7"/>
      <c r="AW48" s="7"/>
      <c r="AX48" s="7"/>
      <c r="AY48" s="7"/>
      <c r="AZ48" s="7"/>
      <c r="BA48" s="7"/>
      <c r="BB48" s="7"/>
      <c r="BC48" s="7"/>
      <c r="BD48" s="7"/>
      <c r="BE48" s="7"/>
      <c r="BF48" s="7"/>
      <c r="BG48" s="7"/>
      <c r="BI48" s="7"/>
      <c r="BJ48" s="7"/>
      <c r="BK48" s="7"/>
      <c r="BL48" s="7"/>
      <c r="BM48" s="7"/>
      <c r="BN48" s="7"/>
      <c r="BO48" s="7"/>
      <c r="BP48" s="7"/>
      <c r="BQ48" s="7"/>
      <c r="BR48" s="7"/>
      <c r="BS48" s="7"/>
      <c r="BT48" s="7"/>
      <c r="BU48" s="7"/>
    </row>
    <row r="49" spans="2:73" ht="20" customHeight="1" outlineLevel="1">
      <c r="B49" s="117" t="s">
        <v>54</v>
      </c>
      <c r="C49" s="118">
        <v>97</v>
      </c>
      <c r="D49" s="118">
        <v>100</v>
      </c>
      <c r="E49" s="118">
        <v>103</v>
      </c>
      <c r="F49" s="118">
        <v>105</v>
      </c>
      <c r="G49" s="118">
        <v>106</v>
      </c>
      <c r="H49" s="118">
        <v>113</v>
      </c>
      <c r="I49" s="118">
        <v>115</v>
      </c>
      <c r="J49" s="118">
        <v>117</v>
      </c>
      <c r="K49" s="118">
        <v>111</v>
      </c>
      <c r="L49" s="118">
        <v>113</v>
      </c>
      <c r="M49" s="118">
        <v>104</v>
      </c>
      <c r="N49" s="118">
        <v>81</v>
      </c>
      <c r="O49" s="65"/>
      <c r="P49" s="118"/>
      <c r="Q49" s="118"/>
      <c r="R49" s="118"/>
      <c r="S49" s="118"/>
      <c r="T49" s="118"/>
      <c r="U49" s="118"/>
      <c r="V49" s="118"/>
      <c r="W49" s="118"/>
      <c r="X49" s="118"/>
      <c r="Y49" s="118"/>
      <c r="Z49" s="118"/>
      <c r="AA49" s="118"/>
      <c r="AB49" s="66"/>
      <c r="AC49" s="273">
        <v>0</v>
      </c>
      <c r="AD49" s="293">
        <v>0</v>
      </c>
      <c r="AE49" s="118">
        <v>0</v>
      </c>
      <c r="AF49" s="118">
        <v>0</v>
      </c>
      <c r="AG49" s="118">
        <v>0</v>
      </c>
      <c r="AH49" s="118">
        <v>0</v>
      </c>
      <c r="AI49" s="118">
        <v>0</v>
      </c>
      <c r="AJ49" s="118">
        <v>0</v>
      </c>
      <c r="AK49" s="118">
        <v>0</v>
      </c>
      <c r="AL49" s="118">
        <v>0</v>
      </c>
      <c r="AM49" s="118">
        <v>0</v>
      </c>
      <c r="AN49" s="118">
        <v>0</v>
      </c>
      <c r="AO49" s="265"/>
      <c r="AP49" s="331"/>
      <c r="AQ49" s="247"/>
      <c r="AR49" s="247"/>
      <c r="AS49" s="247"/>
      <c r="AU49" s="8"/>
      <c r="AV49" s="17"/>
      <c r="AW49" s="17"/>
      <c r="AX49" s="17"/>
      <c r="AY49" s="17"/>
      <c r="AZ49" s="17"/>
      <c r="BA49" s="17"/>
      <c r="BB49" s="17"/>
      <c r="BC49" s="17"/>
      <c r="BD49" s="17"/>
      <c r="BE49" s="17"/>
      <c r="BF49" s="17"/>
      <c r="BG49" s="7"/>
      <c r="BI49" s="8"/>
      <c r="BJ49" s="17"/>
      <c r="BK49" s="17"/>
      <c r="BL49" s="17"/>
      <c r="BM49" s="17"/>
      <c r="BN49" s="17"/>
      <c r="BO49" s="17"/>
      <c r="BP49" s="17"/>
      <c r="BQ49" s="17"/>
      <c r="BR49" s="17"/>
      <c r="BS49" s="17"/>
      <c r="BT49" s="17"/>
      <c r="BU49" s="30"/>
    </row>
    <row r="50" spans="2:73" ht="20" customHeight="1" outlineLevel="1">
      <c r="B50" s="147" t="s">
        <v>55</v>
      </c>
      <c r="C50" s="86">
        <v>3</v>
      </c>
      <c r="D50" s="86">
        <v>3</v>
      </c>
      <c r="E50" s="86">
        <v>3</v>
      </c>
      <c r="F50" s="86">
        <v>3</v>
      </c>
      <c r="G50" s="86">
        <v>3</v>
      </c>
      <c r="H50" s="86">
        <v>3</v>
      </c>
      <c r="I50" s="86">
        <v>3</v>
      </c>
      <c r="J50" s="86">
        <v>3</v>
      </c>
      <c r="K50" s="86">
        <v>3</v>
      </c>
      <c r="L50" s="86">
        <v>3</v>
      </c>
      <c r="M50" s="86">
        <v>3</v>
      </c>
      <c r="N50" s="86">
        <v>3</v>
      </c>
      <c r="O50" s="76"/>
      <c r="P50" s="86"/>
      <c r="Q50" s="86"/>
      <c r="R50" s="86"/>
      <c r="S50" s="86"/>
      <c r="T50" s="86"/>
      <c r="U50" s="86"/>
      <c r="V50" s="86"/>
      <c r="W50" s="86"/>
      <c r="X50" s="86"/>
      <c r="Y50" s="86"/>
      <c r="Z50" s="86"/>
      <c r="AA50" s="86"/>
      <c r="AB50" s="77"/>
      <c r="AC50" s="274">
        <f t="shared" ref="AC50:AC53" si="10">C50</f>
        <v>3</v>
      </c>
      <c r="AD50" s="278">
        <f>D50/C49</f>
        <v>3.0927835051546393E-2</v>
      </c>
      <c r="AE50" s="281">
        <f t="shared" ref="AE50:AN50" si="11">E50/D49</f>
        <v>0.03</v>
      </c>
      <c r="AF50" s="281">
        <f t="shared" si="11"/>
        <v>2.9126213592233011E-2</v>
      </c>
      <c r="AG50" s="281">
        <f t="shared" si="11"/>
        <v>2.8571428571428571E-2</v>
      </c>
      <c r="AH50" s="281">
        <f t="shared" si="11"/>
        <v>2.8301886792452831E-2</v>
      </c>
      <c r="AI50" s="281">
        <f t="shared" si="11"/>
        <v>2.6548672566371681E-2</v>
      </c>
      <c r="AJ50" s="281">
        <f t="shared" si="11"/>
        <v>2.6086956521739129E-2</v>
      </c>
      <c r="AK50" s="281">
        <f t="shared" si="11"/>
        <v>2.564102564102564E-2</v>
      </c>
      <c r="AL50" s="281">
        <f t="shared" si="11"/>
        <v>2.7027027027027029E-2</v>
      </c>
      <c r="AM50" s="281">
        <f t="shared" si="11"/>
        <v>2.6548672566371681E-2</v>
      </c>
      <c r="AN50" s="281">
        <f t="shared" si="11"/>
        <v>2.8846153846153848E-2</v>
      </c>
      <c r="AO50" s="266"/>
      <c r="AP50" s="331"/>
      <c r="AQ50" s="247"/>
      <c r="AR50" s="247"/>
      <c r="AS50" s="247"/>
      <c r="AU50" s="17"/>
      <c r="AV50" s="17"/>
      <c r="AW50" s="17"/>
      <c r="AX50" s="17"/>
      <c r="AY50" s="17"/>
      <c r="AZ50" s="17"/>
      <c r="BA50" s="17"/>
      <c r="BB50" s="17"/>
      <c r="BC50" s="17"/>
      <c r="BD50" s="17"/>
      <c r="BE50" s="17"/>
      <c r="BF50" s="17"/>
      <c r="BG50" s="31"/>
      <c r="BH50" s="32"/>
      <c r="BI50" s="8"/>
      <c r="BJ50" s="17"/>
      <c r="BK50" s="17"/>
      <c r="BL50" s="17"/>
      <c r="BM50" s="17"/>
      <c r="BN50" s="17"/>
      <c r="BO50" s="17"/>
      <c r="BP50" s="17"/>
      <c r="BQ50" s="17"/>
      <c r="BR50" s="17"/>
      <c r="BS50" s="17"/>
      <c r="BT50" s="17"/>
      <c r="BU50" s="7"/>
    </row>
    <row r="51" spans="2:73" ht="20" customHeight="1" outlineLevel="1">
      <c r="B51" s="147" t="s">
        <v>56</v>
      </c>
      <c r="C51" s="86">
        <v>5</v>
      </c>
      <c r="D51" s="86">
        <v>6</v>
      </c>
      <c r="E51" s="86">
        <v>7</v>
      </c>
      <c r="F51" s="86">
        <v>7</v>
      </c>
      <c r="G51" s="86">
        <v>7</v>
      </c>
      <c r="H51" s="86">
        <v>7</v>
      </c>
      <c r="I51" s="86">
        <v>7</v>
      </c>
      <c r="J51" s="86">
        <v>7</v>
      </c>
      <c r="K51" s="86">
        <v>10</v>
      </c>
      <c r="L51" s="86">
        <v>7</v>
      </c>
      <c r="M51" s="86">
        <v>7</v>
      </c>
      <c r="N51" s="86">
        <v>7</v>
      </c>
      <c r="O51" s="76"/>
      <c r="P51" s="86"/>
      <c r="Q51" s="86"/>
      <c r="R51" s="86"/>
      <c r="S51" s="86"/>
      <c r="T51" s="86"/>
      <c r="U51" s="86"/>
      <c r="V51" s="86"/>
      <c r="W51" s="86"/>
      <c r="X51" s="86"/>
      <c r="Y51" s="86"/>
      <c r="Z51" s="86"/>
      <c r="AA51" s="86"/>
      <c r="AB51" s="77"/>
      <c r="AC51" s="274">
        <f t="shared" si="10"/>
        <v>5</v>
      </c>
      <c r="AD51" s="278">
        <f>D51/C49</f>
        <v>6.1855670103092786E-2</v>
      </c>
      <c r="AE51" s="281">
        <f t="shared" ref="AE51:AN51" si="12">E51/D49</f>
        <v>7.0000000000000007E-2</v>
      </c>
      <c r="AF51" s="281">
        <f t="shared" si="12"/>
        <v>6.7961165048543687E-2</v>
      </c>
      <c r="AG51" s="281">
        <f t="shared" si="12"/>
        <v>6.6666666666666666E-2</v>
      </c>
      <c r="AH51" s="281">
        <f t="shared" si="12"/>
        <v>6.6037735849056603E-2</v>
      </c>
      <c r="AI51" s="281">
        <f t="shared" si="12"/>
        <v>6.1946902654867256E-2</v>
      </c>
      <c r="AJ51" s="281">
        <f t="shared" si="12"/>
        <v>6.0869565217391307E-2</v>
      </c>
      <c r="AK51" s="281">
        <f t="shared" si="12"/>
        <v>8.5470085470085472E-2</v>
      </c>
      <c r="AL51" s="281">
        <f t="shared" si="12"/>
        <v>6.3063063063063057E-2</v>
      </c>
      <c r="AM51" s="281">
        <f t="shared" si="12"/>
        <v>6.1946902654867256E-2</v>
      </c>
      <c r="AN51" s="281">
        <f t="shared" si="12"/>
        <v>6.7307692307692304E-2</v>
      </c>
      <c r="AO51" s="266"/>
      <c r="AP51" s="331"/>
      <c r="AQ51" s="247"/>
      <c r="AR51" s="247"/>
      <c r="AS51" s="247"/>
      <c r="AU51" s="17"/>
      <c r="AV51" s="17"/>
      <c r="AW51" s="17"/>
      <c r="AX51" s="17"/>
      <c r="AY51" s="17"/>
      <c r="AZ51" s="17"/>
      <c r="BA51" s="17"/>
      <c r="BB51" s="17"/>
      <c r="BC51" s="17"/>
      <c r="BD51" s="17"/>
      <c r="BE51" s="17"/>
      <c r="BF51" s="17"/>
      <c r="BG51" s="31"/>
      <c r="BH51" s="32"/>
      <c r="BI51" s="8"/>
      <c r="BJ51" s="17"/>
      <c r="BK51" s="17"/>
      <c r="BL51" s="17"/>
      <c r="BM51" s="17"/>
      <c r="BN51" s="17"/>
      <c r="BO51" s="17"/>
      <c r="BP51" s="17"/>
      <c r="BQ51" s="17"/>
      <c r="BR51" s="17"/>
      <c r="BS51" s="17"/>
      <c r="BT51" s="17"/>
      <c r="BU51" s="7"/>
    </row>
    <row r="52" spans="2:73" ht="20" customHeight="1" outlineLevel="1">
      <c r="B52" s="147" t="s">
        <v>57</v>
      </c>
      <c r="C52" s="86">
        <v>8</v>
      </c>
      <c r="D52" s="86">
        <v>8</v>
      </c>
      <c r="E52" s="86">
        <v>8</v>
      </c>
      <c r="F52" s="86">
        <v>8</v>
      </c>
      <c r="G52" s="86">
        <v>9</v>
      </c>
      <c r="H52" s="86">
        <v>9</v>
      </c>
      <c r="I52" s="86">
        <v>9</v>
      </c>
      <c r="J52" s="86">
        <v>9</v>
      </c>
      <c r="K52" s="86">
        <v>9</v>
      </c>
      <c r="L52" s="86">
        <v>10</v>
      </c>
      <c r="M52" s="86">
        <v>10</v>
      </c>
      <c r="N52" s="86">
        <v>11</v>
      </c>
      <c r="O52" s="76"/>
      <c r="P52" s="86"/>
      <c r="Q52" s="86"/>
      <c r="R52" s="86"/>
      <c r="S52" s="86"/>
      <c r="T52" s="86"/>
      <c r="U52" s="86"/>
      <c r="V52" s="86"/>
      <c r="W52" s="86"/>
      <c r="X52" s="86"/>
      <c r="Y52" s="86"/>
      <c r="Z52" s="86"/>
      <c r="AA52" s="86"/>
      <c r="AB52" s="77"/>
      <c r="AC52" s="274">
        <f t="shared" si="10"/>
        <v>8</v>
      </c>
      <c r="AD52" s="278">
        <f>D52/C49</f>
        <v>8.247422680412371E-2</v>
      </c>
      <c r="AE52" s="281">
        <f t="shared" ref="AE52:AN52" si="13">E52/D49</f>
        <v>0.08</v>
      </c>
      <c r="AF52" s="281">
        <f t="shared" si="13"/>
        <v>7.7669902912621352E-2</v>
      </c>
      <c r="AG52" s="281">
        <f t="shared" si="13"/>
        <v>8.5714285714285715E-2</v>
      </c>
      <c r="AH52" s="281">
        <f t="shared" si="13"/>
        <v>8.4905660377358486E-2</v>
      </c>
      <c r="AI52" s="281">
        <f t="shared" si="13"/>
        <v>7.9646017699115043E-2</v>
      </c>
      <c r="AJ52" s="281">
        <f t="shared" si="13"/>
        <v>7.8260869565217397E-2</v>
      </c>
      <c r="AK52" s="281">
        <f t="shared" si="13"/>
        <v>7.6923076923076927E-2</v>
      </c>
      <c r="AL52" s="281">
        <f t="shared" si="13"/>
        <v>9.0090090090090086E-2</v>
      </c>
      <c r="AM52" s="281">
        <f t="shared" si="13"/>
        <v>8.8495575221238937E-2</v>
      </c>
      <c r="AN52" s="281">
        <f t="shared" si="13"/>
        <v>0.10576923076923077</v>
      </c>
      <c r="AO52" s="266"/>
      <c r="AP52" s="331"/>
      <c r="AQ52" s="247"/>
      <c r="AR52" s="247"/>
      <c r="AS52" s="247"/>
      <c r="AU52" s="17"/>
      <c r="AV52" s="17"/>
      <c r="AW52" s="17"/>
      <c r="AX52" s="17"/>
      <c r="AY52" s="17"/>
      <c r="AZ52" s="17"/>
      <c r="BA52" s="17"/>
      <c r="BB52" s="17"/>
      <c r="BC52" s="17"/>
      <c r="BD52" s="17"/>
      <c r="BE52" s="17"/>
      <c r="BF52" s="17"/>
      <c r="BG52" s="31"/>
      <c r="BH52" s="32"/>
      <c r="BI52" s="8"/>
      <c r="BJ52" s="17"/>
      <c r="BK52" s="17"/>
      <c r="BL52" s="17"/>
      <c r="BM52" s="17"/>
      <c r="BN52" s="17"/>
      <c r="BO52" s="17"/>
      <c r="BP52" s="17"/>
      <c r="BQ52" s="17"/>
      <c r="BR52" s="17"/>
      <c r="BS52" s="17"/>
      <c r="BT52" s="17"/>
      <c r="BU52" s="7"/>
    </row>
    <row r="53" spans="2:73" ht="20" customHeight="1" outlineLevel="1" thickBot="1">
      <c r="B53" s="119" t="s">
        <v>58</v>
      </c>
      <c r="C53" s="120">
        <v>10</v>
      </c>
      <c r="D53" s="120">
        <v>10</v>
      </c>
      <c r="E53" s="120">
        <v>10</v>
      </c>
      <c r="F53" s="120">
        <v>11</v>
      </c>
      <c r="G53" s="120">
        <v>11</v>
      </c>
      <c r="H53" s="120">
        <v>11</v>
      </c>
      <c r="I53" s="120">
        <v>12</v>
      </c>
      <c r="J53" s="120">
        <v>12</v>
      </c>
      <c r="K53" s="120">
        <v>12</v>
      </c>
      <c r="L53" s="120">
        <v>12</v>
      </c>
      <c r="M53" s="120">
        <v>13</v>
      </c>
      <c r="N53" s="120">
        <v>13</v>
      </c>
      <c r="O53" s="121"/>
      <c r="P53" s="120"/>
      <c r="Q53" s="120"/>
      <c r="R53" s="120"/>
      <c r="S53" s="120"/>
      <c r="T53" s="120"/>
      <c r="U53" s="120"/>
      <c r="V53" s="120"/>
      <c r="W53" s="120"/>
      <c r="X53" s="120"/>
      <c r="Y53" s="120"/>
      <c r="Z53" s="120"/>
      <c r="AA53" s="120"/>
      <c r="AB53" s="122"/>
      <c r="AC53" s="276">
        <f t="shared" si="10"/>
        <v>10</v>
      </c>
      <c r="AD53" s="284">
        <f>D53/C49</f>
        <v>0.10309278350515463</v>
      </c>
      <c r="AE53" s="285">
        <f t="shared" ref="AE53:AN53" si="14">E53/D49</f>
        <v>0.1</v>
      </c>
      <c r="AF53" s="285">
        <f t="shared" si="14"/>
        <v>0.10679611650485436</v>
      </c>
      <c r="AG53" s="285">
        <f t="shared" si="14"/>
        <v>0.10476190476190476</v>
      </c>
      <c r="AH53" s="285">
        <f t="shared" si="14"/>
        <v>0.10377358490566038</v>
      </c>
      <c r="AI53" s="285">
        <f t="shared" si="14"/>
        <v>0.10619469026548672</v>
      </c>
      <c r="AJ53" s="285">
        <f t="shared" si="14"/>
        <v>0.10434782608695652</v>
      </c>
      <c r="AK53" s="285">
        <f t="shared" si="14"/>
        <v>0.10256410256410256</v>
      </c>
      <c r="AL53" s="285">
        <f t="shared" si="14"/>
        <v>0.10810810810810811</v>
      </c>
      <c r="AM53" s="285">
        <f t="shared" si="14"/>
        <v>0.11504424778761062</v>
      </c>
      <c r="AN53" s="285">
        <f t="shared" si="14"/>
        <v>0.125</v>
      </c>
      <c r="AO53" s="277"/>
      <c r="AP53" s="331"/>
      <c r="AQ53" s="247"/>
      <c r="AR53" s="247"/>
      <c r="AS53" s="247"/>
      <c r="AU53" s="17"/>
      <c r="AV53" s="17"/>
      <c r="AW53" s="17"/>
      <c r="AX53" s="17"/>
      <c r="AY53" s="17"/>
      <c r="AZ53" s="17"/>
      <c r="BA53" s="17"/>
      <c r="BB53" s="17"/>
      <c r="BC53" s="17"/>
      <c r="BD53" s="17"/>
      <c r="BE53" s="17"/>
      <c r="BF53" s="17"/>
      <c r="BG53" s="31"/>
      <c r="BH53" s="32"/>
      <c r="BI53" s="8"/>
      <c r="BJ53" s="17"/>
      <c r="BK53" s="17"/>
      <c r="BL53" s="17"/>
      <c r="BM53" s="17"/>
      <c r="BN53" s="17"/>
      <c r="BO53" s="17"/>
      <c r="BP53" s="17"/>
      <c r="BQ53" s="17"/>
      <c r="BR53" s="17"/>
      <c r="BS53" s="17"/>
      <c r="BT53" s="17"/>
      <c r="BU53" s="7"/>
    </row>
    <row r="54" spans="2:73" ht="20" customHeight="1" thickBot="1">
      <c r="C54" s="11"/>
      <c r="D54" s="11"/>
      <c r="E54" s="11"/>
      <c r="F54" s="11"/>
      <c r="G54" s="11"/>
      <c r="H54" s="11"/>
      <c r="I54" s="11"/>
      <c r="J54" s="11"/>
      <c r="K54" s="11"/>
      <c r="L54" s="11"/>
      <c r="M54" s="11"/>
      <c r="N54" s="11"/>
      <c r="AP54" s="34"/>
    </row>
    <row r="55" spans="2:73" ht="20" customHeight="1">
      <c r="B55" s="151" t="s">
        <v>61</v>
      </c>
      <c r="C55" s="151"/>
      <c r="D55" s="151"/>
      <c r="E55" s="151"/>
      <c r="F55" s="151"/>
      <c r="G55" s="151"/>
      <c r="H55" s="151"/>
      <c r="I55" s="151" t="s">
        <v>47</v>
      </c>
      <c r="J55" s="151"/>
      <c r="K55" s="151"/>
      <c r="L55" s="151"/>
      <c r="M55" s="151"/>
      <c r="N55" s="151"/>
      <c r="O55" s="151"/>
      <c r="P55" s="326" t="s">
        <v>48</v>
      </c>
      <c r="Q55" s="326"/>
      <c r="R55" s="326"/>
      <c r="S55" s="326"/>
      <c r="T55" s="326"/>
      <c r="U55" s="326"/>
      <c r="V55" s="326"/>
      <c r="W55" s="326"/>
      <c r="X55" s="326"/>
      <c r="Y55" s="326"/>
      <c r="Z55" s="326"/>
      <c r="AA55" s="326"/>
      <c r="AB55" s="326"/>
      <c r="AC55" s="322" t="s">
        <v>219</v>
      </c>
      <c r="AD55" s="323"/>
      <c r="AE55" s="323"/>
      <c r="AF55" s="323"/>
      <c r="AG55" s="323"/>
      <c r="AH55" s="323"/>
      <c r="AI55" s="323"/>
      <c r="AJ55" s="323"/>
      <c r="AK55" s="323"/>
      <c r="AL55" s="323"/>
      <c r="AM55" s="323"/>
      <c r="AN55" s="323"/>
      <c r="AO55" s="324"/>
      <c r="AP55" s="331"/>
      <c r="AR55" s="13"/>
    </row>
    <row r="56" spans="2:73" ht="20" customHeight="1" thickBot="1">
      <c r="B56" s="113"/>
      <c r="C56" s="114" t="s">
        <v>186</v>
      </c>
      <c r="D56" s="114" t="s">
        <v>187</v>
      </c>
      <c r="E56" s="114" t="s">
        <v>188</v>
      </c>
      <c r="F56" s="114" t="s">
        <v>189</v>
      </c>
      <c r="G56" s="248">
        <v>46143</v>
      </c>
      <c r="H56" s="114" t="s">
        <v>190</v>
      </c>
      <c r="I56" s="114" t="s">
        <v>191</v>
      </c>
      <c r="J56" s="114" t="s">
        <v>192</v>
      </c>
      <c r="K56" s="114" t="s">
        <v>193</v>
      </c>
      <c r="L56" s="114" t="s">
        <v>194</v>
      </c>
      <c r="M56" s="114" t="s">
        <v>195</v>
      </c>
      <c r="N56" s="114" t="s">
        <v>196</v>
      </c>
      <c r="O56" s="115">
        <v>2026</v>
      </c>
      <c r="P56" s="114" t="s">
        <v>186</v>
      </c>
      <c r="Q56" s="114" t="s">
        <v>187</v>
      </c>
      <c r="R56" s="114" t="s">
        <v>188</v>
      </c>
      <c r="S56" s="114" t="s">
        <v>189</v>
      </c>
      <c r="T56" s="248">
        <v>46143</v>
      </c>
      <c r="U56" s="114" t="s">
        <v>190</v>
      </c>
      <c r="V56" s="114" t="s">
        <v>191</v>
      </c>
      <c r="W56" s="114" t="s">
        <v>192</v>
      </c>
      <c r="X56" s="114" t="s">
        <v>193</v>
      </c>
      <c r="Y56" s="114" t="s">
        <v>194</v>
      </c>
      <c r="Z56" s="114" t="s">
        <v>195</v>
      </c>
      <c r="AA56" s="114" t="s">
        <v>196</v>
      </c>
      <c r="AB56" s="116">
        <v>2026</v>
      </c>
      <c r="AC56" s="269" t="s">
        <v>186</v>
      </c>
      <c r="AD56" s="114" t="s">
        <v>187</v>
      </c>
      <c r="AE56" s="114" t="s">
        <v>188</v>
      </c>
      <c r="AF56" s="114" t="s">
        <v>189</v>
      </c>
      <c r="AG56" s="248">
        <v>46143</v>
      </c>
      <c r="AH56" s="114" t="s">
        <v>190</v>
      </c>
      <c r="AI56" s="114" t="s">
        <v>191</v>
      </c>
      <c r="AJ56" s="114" t="s">
        <v>192</v>
      </c>
      <c r="AK56" s="114" t="s">
        <v>193</v>
      </c>
      <c r="AL56" s="114" t="s">
        <v>194</v>
      </c>
      <c r="AM56" s="114" t="s">
        <v>195</v>
      </c>
      <c r="AN56" s="114" t="s">
        <v>196</v>
      </c>
      <c r="AO56" s="279"/>
      <c r="AP56" s="332"/>
      <c r="AR56" s="13"/>
    </row>
    <row r="57" spans="2:73" ht="10.25" customHeight="1">
      <c r="B57" s="123"/>
      <c r="C57" s="123"/>
      <c r="D57" s="123"/>
      <c r="E57" s="123"/>
      <c r="F57" s="123"/>
      <c r="G57" s="123"/>
      <c r="H57" s="123"/>
      <c r="I57" s="123"/>
      <c r="J57" s="123"/>
      <c r="K57" s="123"/>
      <c r="L57" s="123"/>
      <c r="M57" s="123"/>
      <c r="N57" s="123"/>
      <c r="O57" s="123"/>
      <c r="P57" s="123"/>
      <c r="Q57" s="123"/>
      <c r="R57" s="123"/>
      <c r="S57" s="123"/>
      <c r="T57" s="123"/>
      <c r="U57" s="123"/>
      <c r="V57" s="123"/>
      <c r="W57" s="123"/>
      <c r="X57" s="123"/>
      <c r="Y57" s="123"/>
      <c r="Z57" s="123"/>
      <c r="AA57" s="123"/>
      <c r="AB57" s="123"/>
      <c r="AC57" s="271"/>
      <c r="AD57" s="123"/>
      <c r="AE57" s="123"/>
      <c r="AF57" s="123"/>
      <c r="AG57" s="123"/>
      <c r="AH57" s="123"/>
      <c r="AI57" s="123"/>
      <c r="AJ57" s="123"/>
      <c r="AK57" s="123"/>
      <c r="AL57" s="123"/>
      <c r="AM57" s="123"/>
      <c r="AN57" s="123"/>
      <c r="AO57" s="272"/>
      <c r="AP57" s="332"/>
      <c r="AR57" s="13"/>
    </row>
    <row r="58" spans="2:73" ht="20" customHeight="1">
      <c r="B58" s="125" t="s">
        <v>21</v>
      </c>
      <c r="C58" s="126"/>
      <c r="D58" s="126"/>
      <c r="E58" s="126"/>
      <c r="F58" s="126"/>
      <c r="G58" s="126"/>
      <c r="H58" s="126"/>
      <c r="I58" s="126"/>
      <c r="J58" s="126"/>
      <c r="K58" s="126"/>
      <c r="L58" s="126"/>
      <c r="M58" s="126"/>
      <c r="N58" s="126"/>
      <c r="O58" s="126"/>
      <c r="P58" s="126"/>
      <c r="Q58" s="126"/>
      <c r="R58" s="126"/>
      <c r="S58" s="126"/>
      <c r="T58" s="126"/>
      <c r="U58" s="126"/>
      <c r="V58" s="126"/>
      <c r="W58" s="126"/>
      <c r="X58" s="126"/>
      <c r="Y58" s="126"/>
      <c r="Z58" s="126"/>
      <c r="AA58" s="126"/>
      <c r="AB58" s="126"/>
      <c r="AC58" s="302" t="s">
        <v>237</v>
      </c>
      <c r="AD58" s="126"/>
      <c r="AE58" s="126"/>
      <c r="AF58" s="126"/>
      <c r="AG58" s="126"/>
      <c r="AH58" s="126"/>
      <c r="AI58" s="126"/>
      <c r="AJ58" s="126"/>
      <c r="AK58" s="126"/>
      <c r="AL58" s="126"/>
      <c r="AM58" s="126"/>
      <c r="AN58" s="126"/>
      <c r="AO58" s="268"/>
      <c r="AP58" s="332"/>
      <c r="AR58" s="13"/>
    </row>
    <row r="59" spans="2:73" ht="20" customHeight="1" outlineLevel="1">
      <c r="B59" s="117" t="s">
        <v>50</v>
      </c>
      <c r="C59" s="118">
        <v>0</v>
      </c>
      <c r="D59" s="118">
        <v>0</v>
      </c>
      <c r="E59" s="118">
        <v>80</v>
      </c>
      <c r="F59" s="118">
        <v>162</v>
      </c>
      <c r="G59" s="118">
        <v>245</v>
      </c>
      <c r="H59" s="118">
        <v>329</v>
      </c>
      <c r="I59" s="118">
        <v>414</v>
      </c>
      <c r="J59" s="118">
        <v>504</v>
      </c>
      <c r="K59" s="118">
        <v>598</v>
      </c>
      <c r="L59" s="118">
        <v>696</v>
      </c>
      <c r="M59" s="118">
        <v>788</v>
      </c>
      <c r="N59" s="118">
        <v>881</v>
      </c>
      <c r="O59" s="65"/>
      <c r="P59" s="118"/>
      <c r="Q59" s="118"/>
      <c r="R59" s="118"/>
      <c r="S59" s="118"/>
      <c r="T59" s="118"/>
      <c r="U59" s="118"/>
      <c r="V59" s="118"/>
      <c r="W59" s="118"/>
      <c r="X59" s="118"/>
      <c r="Y59" s="118"/>
      <c r="Z59" s="118"/>
      <c r="AA59" s="118"/>
      <c r="AB59" s="66"/>
      <c r="AC59" s="273">
        <v>0</v>
      </c>
      <c r="AD59" s="280">
        <f>D43/C43-1</f>
        <v>5.9523809523809312E-3</v>
      </c>
      <c r="AE59" s="280">
        <f t="shared" ref="AE59:AN59" si="15">E43/D43-1</f>
        <v>3.9447731755424265E-3</v>
      </c>
      <c r="AF59" s="280">
        <f t="shared" si="15"/>
        <v>9.8231827111985304E-3</v>
      </c>
      <c r="AG59" s="283">
        <f t="shared" si="15"/>
        <v>1.9455252918287869E-3</v>
      </c>
      <c r="AH59" s="283">
        <f t="shared" si="15"/>
        <v>1.9417475728155331E-2</v>
      </c>
      <c r="AI59" s="283">
        <f t="shared" si="15"/>
        <v>3.4285714285714253E-2</v>
      </c>
      <c r="AJ59" s="283">
        <f t="shared" si="15"/>
        <v>4.4198895027624419E-2</v>
      </c>
      <c r="AK59" s="283">
        <f t="shared" si="15"/>
        <v>-2.821869488536155E-2</v>
      </c>
      <c r="AL59" s="283">
        <f t="shared" si="15"/>
        <v>1.8148820326678861E-2</v>
      </c>
      <c r="AM59" s="283">
        <f t="shared" si="15"/>
        <v>1.6042780748663166E-2</v>
      </c>
      <c r="AN59" s="283">
        <f t="shared" si="15"/>
        <v>1.7543859649122862E-2</v>
      </c>
      <c r="AO59" s="265"/>
      <c r="AP59" s="332"/>
      <c r="AR59" s="13"/>
      <c r="AS59" s="8"/>
      <c r="AT59" s="8"/>
      <c r="AU59" s="8"/>
      <c r="AV59" s="8"/>
      <c r="AW59" s="23"/>
      <c r="AX59" s="8"/>
      <c r="AY59" s="8"/>
      <c r="AZ59" s="8"/>
      <c r="BA59" s="8"/>
      <c r="BB59" s="8"/>
    </row>
    <row r="60" spans="2:73" ht="20" customHeight="1" outlineLevel="1">
      <c r="B60" s="147" t="s">
        <v>51</v>
      </c>
      <c r="C60" s="86">
        <v>0</v>
      </c>
      <c r="D60" s="86">
        <v>0</v>
      </c>
      <c r="E60" s="86">
        <v>60</v>
      </c>
      <c r="F60" s="86">
        <v>122</v>
      </c>
      <c r="G60" s="86">
        <v>184</v>
      </c>
      <c r="H60" s="86">
        <v>247</v>
      </c>
      <c r="I60" s="86">
        <v>311</v>
      </c>
      <c r="J60" s="86">
        <v>378</v>
      </c>
      <c r="K60" s="86">
        <v>449</v>
      </c>
      <c r="L60" s="86">
        <v>522</v>
      </c>
      <c r="M60" s="86">
        <v>591</v>
      </c>
      <c r="N60" s="86">
        <v>661</v>
      </c>
      <c r="O60" s="76"/>
      <c r="P60" s="86"/>
      <c r="Q60" s="86"/>
      <c r="R60" s="86"/>
      <c r="S60" s="86"/>
      <c r="T60" s="86"/>
      <c r="U60" s="86"/>
      <c r="V60" s="86"/>
      <c r="W60" s="86"/>
      <c r="X60" s="86"/>
      <c r="Y60" s="86"/>
      <c r="Z60" s="86"/>
      <c r="AA60" s="86"/>
      <c r="AB60" s="77"/>
      <c r="AC60" s="274"/>
      <c r="AD60" s="86"/>
      <c r="AE60" s="86"/>
      <c r="AF60" s="86"/>
      <c r="AG60" s="86"/>
      <c r="AH60" s="86"/>
      <c r="AI60" s="86"/>
      <c r="AJ60" s="86"/>
      <c r="AK60" s="86"/>
      <c r="AL60" s="86"/>
      <c r="AM60" s="86"/>
      <c r="AN60" s="86"/>
      <c r="AO60" s="266"/>
      <c r="AP60" s="332"/>
      <c r="AR60" s="13"/>
      <c r="AS60" s="8"/>
      <c r="AT60" s="8"/>
      <c r="AU60" s="8"/>
      <c r="AV60" s="8"/>
      <c r="AW60" s="8"/>
      <c r="AX60" s="8"/>
      <c r="AY60" s="8"/>
      <c r="AZ60" s="8"/>
      <c r="BA60" s="8"/>
      <c r="BB60" s="8"/>
    </row>
    <row r="61" spans="2:73" ht="20" customHeight="1" outlineLevel="1">
      <c r="B61" s="147" t="s">
        <v>52</v>
      </c>
      <c r="C61" s="86">
        <v>0</v>
      </c>
      <c r="D61" s="86">
        <v>0</v>
      </c>
      <c r="E61" s="86">
        <v>40</v>
      </c>
      <c r="F61" s="86">
        <v>81</v>
      </c>
      <c r="G61" s="86">
        <v>123</v>
      </c>
      <c r="H61" s="86">
        <v>165</v>
      </c>
      <c r="I61" s="86">
        <v>207</v>
      </c>
      <c r="J61" s="86">
        <v>252</v>
      </c>
      <c r="K61" s="86">
        <v>299</v>
      </c>
      <c r="L61" s="86">
        <v>348</v>
      </c>
      <c r="M61" s="86">
        <v>394</v>
      </c>
      <c r="N61" s="86">
        <v>441</v>
      </c>
      <c r="O61" s="76"/>
      <c r="P61" s="86"/>
      <c r="Q61" s="86"/>
      <c r="R61" s="86"/>
      <c r="S61" s="86"/>
      <c r="T61" s="86"/>
      <c r="U61" s="86"/>
      <c r="V61" s="86"/>
      <c r="W61" s="86"/>
      <c r="X61" s="86"/>
      <c r="Y61" s="86"/>
      <c r="Z61" s="86"/>
      <c r="AA61" s="86"/>
      <c r="AB61" s="77"/>
      <c r="AC61" s="274"/>
      <c r="AD61" s="86"/>
      <c r="AE61" s="86"/>
      <c r="AF61" s="86"/>
      <c r="AG61" s="86"/>
      <c r="AH61" s="86"/>
      <c r="AI61" s="86"/>
      <c r="AJ61" s="86"/>
      <c r="AK61" s="86"/>
      <c r="AL61" s="86"/>
      <c r="AM61" s="86"/>
      <c r="AN61" s="86"/>
      <c r="AO61" s="266"/>
      <c r="AP61" s="332"/>
      <c r="AR61" s="13"/>
      <c r="AS61" s="8"/>
      <c r="AT61" s="8"/>
      <c r="AU61" s="8"/>
      <c r="AV61" s="8"/>
      <c r="AW61" s="8"/>
      <c r="AX61" s="8"/>
      <c r="AY61" s="8"/>
      <c r="AZ61" s="8"/>
      <c r="BA61" s="8"/>
      <c r="BB61" s="8"/>
    </row>
    <row r="62" spans="2:73" ht="20" customHeight="1" outlineLevel="1">
      <c r="B62" s="119" t="s">
        <v>53</v>
      </c>
      <c r="C62" s="120">
        <v>0</v>
      </c>
      <c r="D62" s="120">
        <v>0</v>
      </c>
      <c r="E62" s="120">
        <v>12</v>
      </c>
      <c r="F62" s="120">
        <v>25</v>
      </c>
      <c r="G62" s="120">
        <v>37</v>
      </c>
      <c r="H62" s="120">
        <v>50</v>
      </c>
      <c r="I62" s="120">
        <v>63</v>
      </c>
      <c r="J62" s="120">
        <v>76</v>
      </c>
      <c r="K62" s="120">
        <v>90</v>
      </c>
      <c r="L62" s="120">
        <v>105</v>
      </c>
      <c r="M62" s="120">
        <v>119</v>
      </c>
      <c r="N62" s="120">
        <v>133</v>
      </c>
      <c r="O62" s="121"/>
      <c r="P62" s="120"/>
      <c r="Q62" s="120"/>
      <c r="R62" s="120"/>
      <c r="S62" s="120"/>
      <c r="T62" s="120"/>
      <c r="U62" s="120"/>
      <c r="V62" s="120"/>
      <c r="W62" s="120"/>
      <c r="X62" s="120"/>
      <c r="Y62" s="120"/>
      <c r="Z62" s="120"/>
      <c r="AA62" s="120"/>
      <c r="AB62" s="122"/>
      <c r="AC62" s="274"/>
      <c r="AD62" s="86"/>
      <c r="AE62" s="86"/>
      <c r="AF62" s="86"/>
      <c r="AG62" s="86"/>
      <c r="AH62" s="86"/>
      <c r="AI62" s="86"/>
      <c r="AJ62" s="86"/>
      <c r="AK62" s="86"/>
      <c r="AL62" s="86"/>
      <c r="AM62" s="86"/>
      <c r="AN62" s="86"/>
      <c r="AO62" s="266"/>
      <c r="AP62" s="332"/>
      <c r="AS62" s="8"/>
      <c r="AT62" s="8"/>
      <c r="AU62" s="8"/>
      <c r="AV62" s="8"/>
      <c r="AW62" s="8"/>
      <c r="AX62" s="8"/>
      <c r="AY62" s="8"/>
      <c r="AZ62" s="8"/>
      <c r="BA62" s="8"/>
      <c r="BB62" s="8"/>
    </row>
    <row r="63" spans="2:73" ht="20" customHeight="1">
      <c r="B63" s="125" t="s">
        <v>22</v>
      </c>
      <c r="C63" s="126"/>
      <c r="D63" s="126"/>
      <c r="E63" s="126"/>
      <c r="F63" s="126"/>
      <c r="G63" s="126"/>
      <c r="H63" s="126"/>
      <c r="I63" s="126"/>
      <c r="J63" s="126"/>
      <c r="K63" s="126"/>
      <c r="L63" s="126"/>
      <c r="M63" s="126"/>
      <c r="N63" s="126"/>
      <c r="O63" s="126"/>
      <c r="P63" s="126"/>
      <c r="Q63" s="126"/>
      <c r="R63" s="126"/>
      <c r="S63" s="126"/>
      <c r="T63" s="126"/>
      <c r="U63" s="126"/>
      <c r="V63" s="126"/>
      <c r="W63" s="126"/>
      <c r="X63" s="126"/>
      <c r="Y63" s="126"/>
      <c r="Z63" s="126"/>
      <c r="AA63" s="126"/>
      <c r="AB63" s="126"/>
      <c r="AC63" s="303" t="s">
        <v>238</v>
      </c>
      <c r="AD63" s="126"/>
      <c r="AE63" s="126"/>
      <c r="AF63" s="126"/>
      <c r="AG63" s="126"/>
      <c r="AH63" s="126"/>
      <c r="AI63" s="126"/>
      <c r="AJ63" s="126"/>
      <c r="AK63" s="126"/>
      <c r="AL63" s="126"/>
      <c r="AM63" s="126"/>
      <c r="AN63" s="126"/>
      <c r="AO63" s="268"/>
      <c r="AP63" s="332"/>
    </row>
    <row r="64" spans="2:73" ht="20" customHeight="1" outlineLevel="1">
      <c r="B64" s="117" t="s">
        <v>55</v>
      </c>
      <c r="C64" s="118">
        <v>0</v>
      </c>
      <c r="D64" s="118">
        <v>2</v>
      </c>
      <c r="E64" s="118">
        <v>4</v>
      </c>
      <c r="F64" s="118">
        <v>6</v>
      </c>
      <c r="G64" s="118">
        <v>7</v>
      </c>
      <c r="H64" s="118">
        <v>9</v>
      </c>
      <c r="I64" s="118">
        <v>10</v>
      </c>
      <c r="J64" s="118">
        <v>13</v>
      </c>
      <c r="K64" s="118">
        <v>14</v>
      </c>
      <c r="L64" s="118">
        <v>17</v>
      </c>
      <c r="M64" s="118">
        <v>20</v>
      </c>
      <c r="N64" s="118">
        <v>21</v>
      </c>
      <c r="O64" s="65"/>
      <c r="P64" s="154"/>
      <c r="Q64" s="154"/>
      <c r="R64" s="155"/>
      <c r="S64" s="155"/>
      <c r="T64" s="155"/>
      <c r="U64" s="155"/>
      <c r="V64" s="155"/>
      <c r="W64" s="155"/>
      <c r="X64" s="155"/>
      <c r="Y64" s="155"/>
      <c r="Z64" s="155"/>
      <c r="AA64" s="155"/>
      <c r="AB64" s="156"/>
      <c r="AC64" s="273">
        <v>0</v>
      </c>
      <c r="AD64" s="280">
        <f>D49/C49-1</f>
        <v>3.0927835051546282E-2</v>
      </c>
      <c r="AE64" s="283">
        <f t="shared" ref="AE64:AN64" si="16">E49/D49-1</f>
        <v>3.0000000000000027E-2</v>
      </c>
      <c r="AF64" s="283">
        <f t="shared" si="16"/>
        <v>1.9417475728155331E-2</v>
      </c>
      <c r="AG64" s="283">
        <f t="shared" si="16"/>
        <v>9.52380952380949E-3</v>
      </c>
      <c r="AH64" s="283">
        <f>H49/G49-1</f>
        <v>6.60377358490567E-2</v>
      </c>
      <c r="AI64" s="283">
        <f t="shared" si="16"/>
        <v>1.7699115044247815E-2</v>
      </c>
      <c r="AJ64" s="283">
        <f t="shared" si="16"/>
        <v>1.7391304347825987E-2</v>
      </c>
      <c r="AK64" s="283">
        <f t="shared" si="16"/>
        <v>-5.1282051282051322E-2</v>
      </c>
      <c r="AL64" s="283">
        <f t="shared" si="16"/>
        <v>1.8018018018018056E-2</v>
      </c>
      <c r="AM64" s="283">
        <f t="shared" si="16"/>
        <v>-7.9646017699115057E-2</v>
      </c>
      <c r="AN64" s="283">
        <f t="shared" si="16"/>
        <v>-0.22115384615384615</v>
      </c>
      <c r="AO64" s="265"/>
      <c r="AP64" s="332"/>
      <c r="AS64"/>
    </row>
    <row r="65" spans="2:45" ht="20" customHeight="1" outlineLevel="1">
      <c r="B65" s="147" t="s">
        <v>56</v>
      </c>
      <c r="C65" s="86">
        <v>0</v>
      </c>
      <c r="D65" s="86">
        <v>4</v>
      </c>
      <c r="E65" s="86">
        <v>9</v>
      </c>
      <c r="F65" s="86">
        <v>15</v>
      </c>
      <c r="G65" s="86">
        <v>20</v>
      </c>
      <c r="H65" s="86">
        <v>23</v>
      </c>
      <c r="I65" s="86">
        <v>27</v>
      </c>
      <c r="J65" s="86">
        <v>34</v>
      </c>
      <c r="K65" s="86">
        <v>41</v>
      </c>
      <c r="L65" s="86">
        <v>51</v>
      </c>
      <c r="M65" s="86">
        <v>56</v>
      </c>
      <c r="N65" s="86">
        <v>63</v>
      </c>
      <c r="O65" s="76"/>
      <c r="P65" s="157"/>
      <c r="Q65" s="157"/>
      <c r="R65" s="158"/>
      <c r="S65" s="158"/>
      <c r="T65" s="158"/>
      <c r="U65" s="158"/>
      <c r="V65" s="158"/>
      <c r="W65" s="158"/>
      <c r="X65" s="158"/>
      <c r="Y65" s="158"/>
      <c r="Z65" s="158"/>
      <c r="AA65" s="158"/>
      <c r="AB65" s="87"/>
      <c r="AC65" s="273"/>
      <c r="AD65" s="280"/>
      <c r="AE65" s="283"/>
      <c r="AF65" s="283"/>
      <c r="AG65" s="283"/>
      <c r="AH65" s="283"/>
      <c r="AI65" s="283"/>
      <c r="AJ65" s="283"/>
      <c r="AK65" s="283"/>
      <c r="AL65" s="283"/>
      <c r="AM65" s="283"/>
      <c r="AN65" s="283"/>
      <c r="AO65" s="265"/>
      <c r="AP65" s="332"/>
      <c r="AS65"/>
    </row>
    <row r="66" spans="2:45" ht="20" customHeight="1" outlineLevel="1">
      <c r="B66" s="147" t="s">
        <v>57</v>
      </c>
      <c r="C66" s="86">
        <v>0</v>
      </c>
      <c r="D66" s="86">
        <v>6</v>
      </c>
      <c r="E66" s="86">
        <v>13</v>
      </c>
      <c r="F66" s="86">
        <v>20</v>
      </c>
      <c r="G66" s="86">
        <v>26</v>
      </c>
      <c r="H66" s="86">
        <v>32</v>
      </c>
      <c r="I66" s="86">
        <v>38</v>
      </c>
      <c r="J66" s="86">
        <v>47</v>
      </c>
      <c r="K66" s="86">
        <v>55</v>
      </c>
      <c r="L66" s="86">
        <v>64</v>
      </c>
      <c r="M66" s="86">
        <v>71</v>
      </c>
      <c r="N66" s="86">
        <v>80</v>
      </c>
      <c r="O66" s="76"/>
      <c r="P66" s="157"/>
      <c r="Q66" s="157"/>
      <c r="R66" s="158"/>
      <c r="S66" s="158"/>
      <c r="T66" s="158"/>
      <c r="U66" s="158"/>
      <c r="V66" s="158"/>
      <c r="W66" s="158"/>
      <c r="X66" s="158"/>
      <c r="Y66" s="158"/>
      <c r="Z66" s="158"/>
      <c r="AA66" s="158"/>
      <c r="AB66" s="87"/>
      <c r="AC66" s="274"/>
      <c r="AD66" s="86"/>
      <c r="AE66" s="86"/>
      <c r="AF66" s="86"/>
      <c r="AG66" s="86"/>
      <c r="AH66" s="86"/>
      <c r="AI66" s="86"/>
      <c r="AJ66" s="86"/>
      <c r="AK66" s="86"/>
      <c r="AL66" s="86"/>
      <c r="AM66" s="86"/>
      <c r="AN66" s="86"/>
      <c r="AO66" s="266"/>
      <c r="AP66" s="332"/>
      <c r="AS66"/>
    </row>
    <row r="67" spans="2:45" ht="20" customHeight="1" outlineLevel="1">
      <c r="B67" s="119" t="s">
        <v>58</v>
      </c>
      <c r="C67" s="120">
        <v>0</v>
      </c>
      <c r="D67" s="120">
        <v>7</v>
      </c>
      <c r="E67" s="120">
        <v>17</v>
      </c>
      <c r="F67" s="120">
        <v>26</v>
      </c>
      <c r="G67" s="120">
        <v>32</v>
      </c>
      <c r="H67" s="120">
        <v>42</v>
      </c>
      <c r="I67" s="120">
        <v>51</v>
      </c>
      <c r="J67" s="120">
        <v>61</v>
      </c>
      <c r="K67" s="120">
        <v>72</v>
      </c>
      <c r="L67" s="120">
        <v>83</v>
      </c>
      <c r="M67" s="120">
        <v>89</v>
      </c>
      <c r="N67" s="120">
        <v>101</v>
      </c>
      <c r="O67" s="121"/>
      <c r="P67" s="159"/>
      <c r="Q67" s="159"/>
      <c r="R67" s="160"/>
      <c r="S67" s="160"/>
      <c r="T67" s="160"/>
      <c r="U67" s="160"/>
      <c r="V67" s="160"/>
      <c r="W67" s="160"/>
      <c r="X67" s="160"/>
      <c r="Y67" s="160"/>
      <c r="Z67" s="160"/>
      <c r="AA67" s="160"/>
      <c r="AB67" s="161"/>
      <c r="AC67" s="274"/>
      <c r="AD67" s="86"/>
      <c r="AE67" s="86"/>
      <c r="AF67" s="86"/>
      <c r="AG67" s="86"/>
      <c r="AH67" s="86"/>
      <c r="AI67" s="86"/>
      <c r="AJ67" s="86"/>
      <c r="AK67" s="86"/>
      <c r="AL67" s="86"/>
      <c r="AM67" s="86"/>
      <c r="AN67" s="86"/>
      <c r="AO67" s="266"/>
      <c r="AP67" s="332"/>
      <c r="AS67"/>
    </row>
    <row r="68" spans="2:45" ht="20" customHeight="1">
      <c r="O68" s="7"/>
      <c r="AB68" s="7"/>
      <c r="AC68" s="274"/>
      <c r="AD68" s="86"/>
      <c r="AE68" s="86"/>
      <c r="AF68" s="86"/>
      <c r="AG68" s="86"/>
      <c r="AH68" s="86"/>
      <c r="AI68" s="86"/>
      <c r="AJ68" s="86"/>
      <c r="AK68" s="86"/>
      <c r="AL68" s="86"/>
      <c r="AM68" s="86"/>
      <c r="AN68" s="86"/>
      <c r="AO68" s="266"/>
      <c r="AP68" s="34"/>
    </row>
    <row r="69" spans="2:45" ht="20" customHeight="1">
      <c r="B69" s="151" t="s">
        <v>62</v>
      </c>
      <c r="C69" s="151"/>
      <c r="D69" s="151"/>
      <c r="E69" s="151"/>
      <c r="F69" s="151"/>
      <c r="G69" s="151"/>
      <c r="H69" s="151"/>
      <c r="I69" s="151" t="s">
        <v>47</v>
      </c>
      <c r="J69" s="151"/>
      <c r="K69" s="151"/>
      <c r="L69" s="151"/>
      <c r="M69" s="151"/>
      <c r="N69" s="151"/>
      <c r="O69" s="151"/>
      <c r="P69" s="326" t="s">
        <v>48</v>
      </c>
      <c r="Q69" s="326"/>
      <c r="R69" s="326"/>
      <c r="S69" s="326"/>
      <c r="T69" s="326"/>
      <c r="U69" s="326"/>
      <c r="V69" s="326"/>
      <c r="W69" s="326"/>
      <c r="X69" s="326"/>
      <c r="Y69" s="326"/>
      <c r="Z69" s="326"/>
      <c r="AA69" s="326"/>
      <c r="AB69" s="326"/>
      <c r="AC69" s="251"/>
      <c r="AD69" s="251"/>
      <c r="AE69" s="251"/>
      <c r="AF69" s="251"/>
      <c r="AG69" s="251"/>
      <c r="AH69" s="251"/>
      <c r="AI69" s="251"/>
      <c r="AJ69" s="251"/>
      <c r="AK69" s="251"/>
      <c r="AL69" s="251"/>
      <c r="AM69" s="251"/>
      <c r="AN69" s="251"/>
      <c r="AO69" s="251"/>
      <c r="AP69" s="328"/>
      <c r="AR69" s="13"/>
    </row>
    <row r="70" spans="2:45" ht="20" customHeight="1" thickBot="1">
      <c r="B70" s="113"/>
      <c r="C70" s="114" t="s">
        <v>186</v>
      </c>
      <c r="D70" s="114" t="s">
        <v>187</v>
      </c>
      <c r="E70" s="114" t="s">
        <v>188</v>
      </c>
      <c r="F70" s="114" t="s">
        <v>189</v>
      </c>
      <c r="G70" s="248">
        <v>46143</v>
      </c>
      <c r="H70" s="114" t="s">
        <v>190</v>
      </c>
      <c r="I70" s="114" t="s">
        <v>191</v>
      </c>
      <c r="J70" s="114" t="s">
        <v>192</v>
      </c>
      <c r="K70" s="114" t="s">
        <v>193</v>
      </c>
      <c r="L70" s="114" t="s">
        <v>194</v>
      </c>
      <c r="M70" s="114" t="s">
        <v>195</v>
      </c>
      <c r="N70" s="114" t="s">
        <v>196</v>
      </c>
      <c r="O70" s="115">
        <v>2026</v>
      </c>
      <c r="P70" s="114" t="s">
        <v>186</v>
      </c>
      <c r="Q70" s="114" t="s">
        <v>187</v>
      </c>
      <c r="R70" s="114" t="s">
        <v>188</v>
      </c>
      <c r="S70" s="114" t="s">
        <v>189</v>
      </c>
      <c r="T70" s="248">
        <v>46143</v>
      </c>
      <c r="U70" s="114" t="s">
        <v>190</v>
      </c>
      <c r="V70" s="114" t="s">
        <v>191</v>
      </c>
      <c r="W70" s="114" t="s">
        <v>192</v>
      </c>
      <c r="X70" s="114" t="s">
        <v>193</v>
      </c>
      <c r="Y70" s="114" t="s">
        <v>194</v>
      </c>
      <c r="Z70" s="114" t="s">
        <v>195</v>
      </c>
      <c r="AA70" s="114" t="s">
        <v>196</v>
      </c>
      <c r="AB70" s="116">
        <v>2026</v>
      </c>
      <c r="AC70" s="123"/>
      <c r="AD70" s="123"/>
      <c r="AE70" s="123"/>
      <c r="AF70" s="123"/>
      <c r="AG70" s="123"/>
      <c r="AH70" s="123"/>
      <c r="AI70" s="123"/>
      <c r="AJ70" s="123"/>
      <c r="AK70" s="123"/>
      <c r="AL70" s="123"/>
      <c r="AM70" s="123"/>
      <c r="AN70" s="123"/>
      <c r="AO70" s="123"/>
      <c r="AP70" s="329"/>
    </row>
    <row r="71" spans="2:45" ht="10.25" customHeight="1" thickBot="1">
      <c r="B71" s="123"/>
      <c r="C71" s="123"/>
      <c r="D71" s="123"/>
      <c r="E71" s="123"/>
      <c r="F71" s="123"/>
      <c r="G71" s="123"/>
      <c r="H71" s="123"/>
      <c r="I71" s="123"/>
      <c r="J71" s="123"/>
      <c r="K71" s="123"/>
      <c r="L71" s="123"/>
      <c r="M71" s="123"/>
      <c r="N71" s="123"/>
      <c r="O71" s="123"/>
      <c r="P71" s="123"/>
      <c r="Q71" s="123"/>
      <c r="R71" s="123"/>
      <c r="S71" s="123"/>
      <c r="T71" s="123"/>
      <c r="U71" s="123"/>
      <c r="V71" s="123"/>
      <c r="W71" s="123"/>
      <c r="X71" s="123"/>
      <c r="Y71" s="123"/>
      <c r="Z71" s="123"/>
      <c r="AA71" s="123"/>
      <c r="AB71" s="123"/>
      <c r="AC71" s="123"/>
      <c r="AD71" s="123"/>
      <c r="AE71" s="123"/>
      <c r="AF71" s="123"/>
      <c r="AG71" s="123"/>
      <c r="AH71" s="123"/>
      <c r="AI71" s="123"/>
      <c r="AJ71" s="123"/>
      <c r="AK71" s="123"/>
      <c r="AL71" s="123"/>
      <c r="AM71" s="123"/>
      <c r="AN71" s="123"/>
      <c r="AO71" s="123"/>
      <c r="AP71" s="329"/>
    </row>
    <row r="72" spans="2:45" ht="20" customHeight="1">
      <c r="B72" s="125" t="s">
        <v>21</v>
      </c>
      <c r="C72" s="126"/>
      <c r="D72" s="126"/>
      <c r="E72" s="126"/>
      <c r="F72" s="126"/>
      <c r="G72" s="126"/>
      <c r="H72" s="126"/>
      <c r="I72" s="126"/>
      <c r="J72" s="126"/>
      <c r="K72" s="126"/>
      <c r="L72" s="126"/>
      <c r="M72" s="126"/>
      <c r="N72" s="126"/>
      <c r="O72" s="126"/>
      <c r="P72" s="162"/>
      <c r="Q72" s="163"/>
      <c r="R72" s="163"/>
      <c r="S72" s="163"/>
      <c r="T72" s="163"/>
      <c r="U72" s="163"/>
      <c r="V72" s="163"/>
      <c r="W72" s="163"/>
      <c r="X72" s="163"/>
      <c r="Y72" s="163"/>
      <c r="Z72" s="163"/>
      <c r="AA72" s="163"/>
      <c r="AB72" s="164"/>
      <c r="AC72" s="143"/>
      <c r="AD72" s="143"/>
      <c r="AE72" s="143"/>
      <c r="AF72" s="143"/>
      <c r="AG72" s="143"/>
      <c r="AH72" s="143"/>
      <c r="AI72" s="143"/>
      <c r="AJ72" s="143"/>
      <c r="AK72" s="143"/>
      <c r="AL72" s="143"/>
      <c r="AM72" s="143"/>
      <c r="AN72" s="143"/>
      <c r="AO72" s="143"/>
      <c r="AP72" s="329"/>
      <c r="AR72" s="20"/>
    </row>
    <row r="73" spans="2:45" ht="20" customHeight="1" outlineLevel="1">
      <c r="B73" s="117" t="s">
        <v>49</v>
      </c>
      <c r="C73" s="118">
        <v>0</v>
      </c>
      <c r="D73" s="118">
        <v>0</v>
      </c>
      <c r="E73" s="118">
        <v>0</v>
      </c>
      <c r="F73" s="118">
        <v>0</v>
      </c>
      <c r="G73" s="118">
        <v>0</v>
      </c>
      <c r="H73" s="118">
        <v>0</v>
      </c>
      <c r="I73" s="118">
        <v>0</v>
      </c>
      <c r="J73" s="118">
        <v>0</v>
      </c>
      <c r="K73" s="118">
        <v>0</v>
      </c>
      <c r="L73" s="118">
        <v>0</v>
      </c>
      <c r="M73" s="118">
        <v>0</v>
      </c>
      <c r="N73" s="118">
        <v>0</v>
      </c>
      <c r="O73" s="66"/>
      <c r="P73" s="145">
        <f>C73-Расчеты!C42</f>
        <v>0</v>
      </c>
      <c r="Q73" s="131">
        <f>D73-Расчеты!D42</f>
        <v>0</v>
      </c>
      <c r="R73" s="131">
        <f>E73-Расчеты!E42</f>
        <v>0</v>
      </c>
      <c r="S73" s="131">
        <f>F73-Расчеты!F42</f>
        <v>0</v>
      </c>
      <c r="T73" s="131">
        <f>G73-Расчеты!G42</f>
        <v>0</v>
      </c>
      <c r="U73" s="131">
        <f>H73-Расчеты!H42</f>
        <v>0</v>
      </c>
      <c r="V73" s="131">
        <f>I73-Расчеты!I42</f>
        <v>0</v>
      </c>
      <c r="W73" s="131">
        <f>J73-Расчеты!J42</f>
        <v>0</v>
      </c>
      <c r="X73" s="131">
        <f>K73-Расчеты!K42</f>
        <v>0</v>
      </c>
      <c r="Y73" s="131">
        <f>L73-Расчеты!L42</f>
        <v>0</v>
      </c>
      <c r="Z73" s="131">
        <f>M73-Расчеты!M42</f>
        <v>0</v>
      </c>
      <c r="AA73" s="131">
        <f>N73-Расчеты!N42</f>
        <v>0</v>
      </c>
      <c r="AB73" s="146">
        <f>SUM(P73:AA73)</f>
        <v>0</v>
      </c>
      <c r="AC73" s="143"/>
      <c r="AD73" s="143"/>
      <c r="AE73" s="143"/>
      <c r="AF73" s="143"/>
      <c r="AG73" s="143"/>
      <c r="AH73" s="143"/>
      <c r="AI73" s="143"/>
      <c r="AJ73" s="143"/>
      <c r="AK73" s="143"/>
      <c r="AL73" s="143"/>
      <c r="AM73" s="143"/>
      <c r="AN73" s="143"/>
      <c r="AO73" s="143"/>
      <c r="AP73" s="329"/>
      <c r="AR73" s="20"/>
    </row>
    <row r="74" spans="2:45" ht="20" customHeight="1" outlineLevel="1">
      <c r="B74" s="147" t="s">
        <v>50</v>
      </c>
      <c r="C74" s="86">
        <v>300</v>
      </c>
      <c r="D74" s="86">
        <v>300</v>
      </c>
      <c r="E74" s="86">
        <v>300</v>
      </c>
      <c r="F74" s="86">
        <v>300</v>
      </c>
      <c r="G74" s="86">
        <v>300</v>
      </c>
      <c r="H74" s="86">
        <v>300</v>
      </c>
      <c r="I74" s="86">
        <v>300</v>
      </c>
      <c r="J74" s="86">
        <v>300</v>
      </c>
      <c r="K74" s="86">
        <v>300</v>
      </c>
      <c r="L74" s="86">
        <v>300</v>
      </c>
      <c r="M74" s="86">
        <v>300</v>
      </c>
      <c r="N74" s="86">
        <v>300</v>
      </c>
      <c r="O74" s="77"/>
      <c r="P74" s="145">
        <f>C74-Расчеты!C43</f>
        <v>0</v>
      </c>
      <c r="Q74" s="133">
        <f>D74-Расчеты!D43</f>
        <v>0</v>
      </c>
      <c r="R74" s="133">
        <f>E74-Расчеты!E43</f>
        <v>0</v>
      </c>
      <c r="S74" s="133">
        <f>F74-Расчеты!F43</f>
        <v>0</v>
      </c>
      <c r="T74" s="133">
        <f>G74-Расчеты!G43</f>
        <v>0</v>
      </c>
      <c r="U74" s="133">
        <f>H74-Расчеты!H43</f>
        <v>0</v>
      </c>
      <c r="V74" s="133">
        <f>I74-Расчеты!I43</f>
        <v>0</v>
      </c>
      <c r="W74" s="133">
        <f>J74-Расчеты!J43</f>
        <v>0</v>
      </c>
      <c r="X74" s="133">
        <f>K74-Расчеты!K43</f>
        <v>0</v>
      </c>
      <c r="Y74" s="133">
        <f>L74-Расчеты!L43</f>
        <v>0</v>
      </c>
      <c r="Z74" s="133">
        <f>M74-Расчеты!M43</f>
        <v>0</v>
      </c>
      <c r="AA74" s="133">
        <f>N74-Расчеты!N43</f>
        <v>0</v>
      </c>
      <c r="AB74" s="146">
        <f t="shared" ref="AB74:AB77" si="17">SUM(P74:AA74)</f>
        <v>0</v>
      </c>
      <c r="AC74" s="143"/>
      <c r="AD74" s="143"/>
      <c r="AE74" s="143"/>
      <c r="AF74" s="143"/>
      <c r="AG74" s="143"/>
      <c r="AH74" s="143"/>
      <c r="AI74" s="143"/>
      <c r="AJ74" s="143"/>
      <c r="AK74" s="143"/>
      <c r="AL74" s="143"/>
      <c r="AM74" s="143"/>
      <c r="AN74" s="143"/>
      <c r="AO74" s="143"/>
      <c r="AP74" s="34"/>
      <c r="AR74" s="20"/>
    </row>
    <row r="75" spans="2:45" ht="20" customHeight="1" outlineLevel="1">
      <c r="B75" s="147" t="s">
        <v>51</v>
      </c>
      <c r="C75" s="86">
        <v>283.33333333333331</v>
      </c>
      <c r="D75" s="86">
        <v>283.33333333333331</v>
      </c>
      <c r="E75" s="86">
        <v>283.33333333333331</v>
      </c>
      <c r="F75" s="86">
        <v>283.33333333333331</v>
      </c>
      <c r="G75" s="86">
        <v>283.33333333333331</v>
      </c>
      <c r="H75" s="86">
        <v>283.33333333333331</v>
      </c>
      <c r="I75" s="86">
        <v>283.33333333333331</v>
      </c>
      <c r="J75" s="86">
        <v>283.33333333333331</v>
      </c>
      <c r="K75" s="86">
        <v>283.33333333333331</v>
      </c>
      <c r="L75" s="86">
        <v>283.33333333333331</v>
      </c>
      <c r="M75" s="86">
        <v>283.33333333333331</v>
      </c>
      <c r="N75" s="86">
        <v>283.33333333333331</v>
      </c>
      <c r="O75" s="77"/>
      <c r="P75" s="145">
        <f>C75-Расчеты!C44</f>
        <v>0</v>
      </c>
      <c r="Q75" s="133">
        <f>D75-Расчеты!D44</f>
        <v>0</v>
      </c>
      <c r="R75" s="133">
        <f>E75-Расчеты!E44</f>
        <v>0</v>
      </c>
      <c r="S75" s="133">
        <f>F75-Расчеты!F44</f>
        <v>0</v>
      </c>
      <c r="T75" s="133">
        <f>G75-Расчеты!G44</f>
        <v>0</v>
      </c>
      <c r="U75" s="133">
        <f>H75-Расчеты!H44</f>
        <v>0</v>
      </c>
      <c r="V75" s="133">
        <f>I75-Расчеты!I44</f>
        <v>0</v>
      </c>
      <c r="W75" s="133">
        <f>J75-Расчеты!J44</f>
        <v>0</v>
      </c>
      <c r="X75" s="133">
        <f>K75-Расчеты!K44</f>
        <v>0</v>
      </c>
      <c r="Y75" s="133">
        <f>L75-Расчеты!L44</f>
        <v>0</v>
      </c>
      <c r="Z75" s="133">
        <f>M75-Расчеты!M44</f>
        <v>0</v>
      </c>
      <c r="AA75" s="133">
        <f>N75-Расчеты!N44</f>
        <v>0</v>
      </c>
      <c r="AB75" s="146">
        <f t="shared" si="17"/>
        <v>0</v>
      </c>
      <c r="AC75" s="143"/>
      <c r="AD75" s="143"/>
      <c r="AE75" s="143"/>
      <c r="AF75" s="143"/>
      <c r="AG75" s="143"/>
      <c r="AH75" s="143"/>
      <c r="AI75" s="143"/>
      <c r="AJ75" s="143"/>
      <c r="AK75" s="143"/>
      <c r="AL75" s="143"/>
      <c r="AM75" s="143"/>
      <c r="AN75" s="143"/>
      <c r="AO75" s="143"/>
      <c r="AP75" s="34"/>
      <c r="AR75" s="20"/>
    </row>
    <row r="76" spans="2:45" ht="20" customHeight="1" outlineLevel="1">
      <c r="B76" s="147" t="s">
        <v>52</v>
      </c>
      <c r="C76" s="86">
        <v>266.66666666666669</v>
      </c>
      <c r="D76" s="86">
        <v>266.66666666666669</v>
      </c>
      <c r="E76" s="86">
        <v>266.66666666666669</v>
      </c>
      <c r="F76" s="86">
        <v>266.66666666666669</v>
      </c>
      <c r="G76" s="86">
        <v>266.66666666666669</v>
      </c>
      <c r="H76" s="86">
        <v>266.66666666666669</v>
      </c>
      <c r="I76" s="86">
        <v>266.66666666666669</v>
      </c>
      <c r="J76" s="86">
        <v>266.66666666666669</v>
      </c>
      <c r="K76" s="86">
        <v>266.66666666666669</v>
      </c>
      <c r="L76" s="86">
        <v>266.66666666666669</v>
      </c>
      <c r="M76" s="86">
        <v>266.66666666666669</v>
      </c>
      <c r="N76" s="86">
        <v>266.66666666666669</v>
      </c>
      <c r="O76" s="77"/>
      <c r="P76" s="145">
        <f>C76-Расчеты!C45</f>
        <v>0</v>
      </c>
      <c r="Q76" s="133">
        <f>D76-Расчеты!D45</f>
        <v>0</v>
      </c>
      <c r="R76" s="133">
        <f>E76-Расчеты!E45</f>
        <v>0</v>
      </c>
      <c r="S76" s="133">
        <f>F76-Расчеты!F45</f>
        <v>0</v>
      </c>
      <c r="T76" s="133">
        <f>G76-Расчеты!G45</f>
        <v>0</v>
      </c>
      <c r="U76" s="133">
        <f>H76-Расчеты!H45</f>
        <v>0</v>
      </c>
      <c r="V76" s="133">
        <f>I76-Расчеты!I45</f>
        <v>0</v>
      </c>
      <c r="W76" s="133">
        <f>J76-Расчеты!J45</f>
        <v>0</v>
      </c>
      <c r="X76" s="133">
        <f>K76-Расчеты!K45</f>
        <v>0</v>
      </c>
      <c r="Y76" s="133">
        <f>L76-Расчеты!L45</f>
        <v>0</v>
      </c>
      <c r="Z76" s="133">
        <f>M76-Расчеты!M45</f>
        <v>0</v>
      </c>
      <c r="AA76" s="133">
        <f>N76-Расчеты!N45</f>
        <v>0</v>
      </c>
      <c r="AB76" s="146">
        <f t="shared" si="17"/>
        <v>0</v>
      </c>
      <c r="AC76" s="143"/>
      <c r="AD76" s="143"/>
      <c r="AE76" s="143"/>
      <c r="AF76" s="143"/>
      <c r="AG76" s="143"/>
      <c r="AH76" s="143"/>
      <c r="AI76" s="143"/>
      <c r="AJ76" s="143"/>
      <c r="AK76" s="143"/>
      <c r="AL76" s="143"/>
      <c r="AM76" s="143"/>
      <c r="AN76" s="143"/>
      <c r="AO76" s="143"/>
      <c r="AP76" s="34"/>
    </row>
    <row r="77" spans="2:45" ht="20" customHeight="1" outlineLevel="1">
      <c r="B77" s="119" t="s">
        <v>53</v>
      </c>
      <c r="C77" s="120">
        <v>250</v>
      </c>
      <c r="D77" s="120">
        <v>250</v>
      </c>
      <c r="E77" s="120">
        <v>250</v>
      </c>
      <c r="F77" s="120">
        <v>250</v>
      </c>
      <c r="G77" s="120">
        <v>250</v>
      </c>
      <c r="H77" s="120">
        <v>250</v>
      </c>
      <c r="I77" s="120">
        <v>250</v>
      </c>
      <c r="J77" s="120">
        <v>250</v>
      </c>
      <c r="K77" s="120">
        <v>250</v>
      </c>
      <c r="L77" s="120">
        <v>250</v>
      </c>
      <c r="M77" s="120">
        <v>250</v>
      </c>
      <c r="N77" s="120">
        <v>250</v>
      </c>
      <c r="O77" s="122"/>
      <c r="P77" s="145">
        <f>C77-Расчеты!C46</f>
        <v>0</v>
      </c>
      <c r="Q77" s="138">
        <f>D77-Расчеты!D46</f>
        <v>0</v>
      </c>
      <c r="R77" s="138">
        <f>E77-Расчеты!E46</f>
        <v>0</v>
      </c>
      <c r="S77" s="138">
        <f>F77-Расчеты!F46</f>
        <v>0</v>
      </c>
      <c r="T77" s="138">
        <f>G77-Расчеты!G46</f>
        <v>0</v>
      </c>
      <c r="U77" s="138">
        <f>H77-Расчеты!H46</f>
        <v>0</v>
      </c>
      <c r="V77" s="138">
        <f>I77-Расчеты!I46</f>
        <v>0</v>
      </c>
      <c r="W77" s="138">
        <f>J77-Расчеты!J46</f>
        <v>0</v>
      </c>
      <c r="X77" s="138">
        <f>K77-Расчеты!K46</f>
        <v>0</v>
      </c>
      <c r="Y77" s="138">
        <f>L77-Расчеты!L46</f>
        <v>0</v>
      </c>
      <c r="Z77" s="138">
        <f>M77-Расчеты!M46</f>
        <v>0</v>
      </c>
      <c r="AA77" s="138">
        <f>N77-Расчеты!N46</f>
        <v>0</v>
      </c>
      <c r="AB77" s="146">
        <f t="shared" si="17"/>
        <v>0</v>
      </c>
      <c r="AC77" s="143"/>
      <c r="AD77" s="143"/>
      <c r="AE77" s="143"/>
      <c r="AF77" s="143"/>
      <c r="AG77" s="143"/>
      <c r="AH77" s="143"/>
      <c r="AI77" s="143"/>
      <c r="AJ77" s="143"/>
      <c r="AK77" s="143"/>
      <c r="AL77" s="143"/>
      <c r="AM77" s="143"/>
      <c r="AN77" s="143"/>
      <c r="AO77" s="143"/>
      <c r="AP77" s="34"/>
    </row>
    <row r="78" spans="2:45" ht="20" customHeight="1">
      <c r="B78" s="125" t="s">
        <v>22</v>
      </c>
      <c r="C78" s="126"/>
      <c r="D78" s="126"/>
      <c r="E78" s="126"/>
      <c r="F78" s="126"/>
      <c r="G78" s="126"/>
      <c r="H78" s="126"/>
      <c r="I78" s="126"/>
      <c r="J78" s="126"/>
      <c r="K78" s="126"/>
      <c r="L78" s="126"/>
      <c r="M78" s="126"/>
      <c r="N78" s="126"/>
      <c r="O78" s="126"/>
      <c r="P78" s="165"/>
      <c r="Q78" s="104"/>
      <c r="R78" s="104"/>
      <c r="S78" s="104"/>
      <c r="T78" s="104"/>
      <c r="U78" s="104"/>
      <c r="V78" s="104"/>
      <c r="W78" s="104"/>
      <c r="X78" s="104"/>
      <c r="Y78" s="104"/>
      <c r="Z78" s="104"/>
      <c r="AA78" s="104"/>
      <c r="AB78" s="166"/>
      <c r="AC78" s="264"/>
      <c r="AD78" s="264"/>
      <c r="AE78" s="264"/>
      <c r="AF78" s="264"/>
      <c r="AG78" s="264"/>
      <c r="AH78" s="264"/>
      <c r="AI78" s="264"/>
      <c r="AJ78" s="264"/>
      <c r="AK78" s="264"/>
      <c r="AL78" s="264"/>
      <c r="AM78" s="264"/>
      <c r="AN78" s="264"/>
      <c r="AO78" s="264"/>
      <c r="AP78" s="34"/>
    </row>
    <row r="79" spans="2:45" ht="20" customHeight="1" outlineLevel="1">
      <c r="B79" s="117" t="s">
        <v>54</v>
      </c>
      <c r="C79" s="118">
        <v>0</v>
      </c>
      <c r="D79" s="118">
        <v>0</v>
      </c>
      <c r="E79" s="118">
        <v>0</v>
      </c>
      <c r="F79" s="118">
        <v>0</v>
      </c>
      <c r="G79" s="118">
        <v>0</v>
      </c>
      <c r="H79" s="118">
        <v>0</v>
      </c>
      <c r="I79" s="118">
        <v>0</v>
      </c>
      <c r="J79" s="118">
        <v>0</v>
      </c>
      <c r="K79" s="118">
        <v>0</v>
      </c>
      <c r="L79" s="118">
        <v>0</v>
      </c>
      <c r="M79" s="118">
        <v>0</v>
      </c>
      <c r="N79" s="118">
        <v>0</v>
      </c>
      <c r="O79" s="66"/>
      <c r="P79" s="145">
        <f>C79-Расчеты!C48</f>
        <v>0</v>
      </c>
      <c r="Q79" s="131">
        <f>D79-Расчеты!D48</f>
        <v>0</v>
      </c>
      <c r="R79" s="131">
        <f>E79-Расчеты!E48</f>
        <v>0</v>
      </c>
      <c r="S79" s="131">
        <f>F79-Расчеты!F48</f>
        <v>0</v>
      </c>
      <c r="T79" s="131">
        <f>G79-Расчеты!G48</f>
        <v>0</v>
      </c>
      <c r="U79" s="131">
        <f>H79-Расчеты!H48</f>
        <v>0</v>
      </c>
      <c r="V79" s="131">
        <f>I79-Расчеты!I48</f>
        <v>0</v>
      </c>
      <c r="W79" s="131">
        <f>J79-Расчеты!J48</f>
        <v>0</v>
      </c>
      <c r="X79" s="131">
        <f>K79-Расчеты!K48</f>
        <v>0</v>
      </c>
      <c r="Y79" s="131">
        <f>L79-Расчеты!L48</f>
        <v>0</v>
      </c>
      <c r="Z79" s="131">
        <f>M79-Расчеты!M48</f>
        <v>0</v>
      </c>
      <c r="AA79" s="131">
        <f>N79-Расчеты!N48</f>
        <v>0</v>
      </c>
      <c r="AB79" s="146">
        <f>SUM(P79:AA79)</f>
        <v>0</v>
      </c>
      <c r="AC79" s="143"/>
      <c r="AD79" s="143"/>
      <c r="AE79" s="143"/>
      <c r="AF79" s="143"/>
      <c r="AG79" s="143"/>
      <c r="AH79" s="143"/>
      <c r="AI79" s="143"/>
      <c r="AJ79" s="143"/>
      <c r="AK79" s="143"/>
      <c r="AL79" s="143"/>
      <c r="AM79" s="143"/>
      <c r="AN79" s="143"/>
      <c r="AO79" s="143"/>
      <c r="AP79" s="34"/>
    </row>
    <row r="80" spans="2:45" ht="20" customHeight="1" outlineLevel="1">
      <c r="B80" s="147" t="s">
        <v>55</v>
      </c>
      <c r="C80" s="86">
        <v>8333.3333333333339</v>
      </c>
      <c r="D80" s="86">
        <v>8333.3333333333339</v>
      </c>
      <c r="E80" s="86">
        <v>8333.3333333333339</v>
      </c>
      <c r="F80" s="86">
        <v>8333.3333333333339</v>
      </c>
      <c r="G80" s="86">
        <v>8333.3333333333339</v>
      </c>
      <c r="H80" s="86">
        <v>8333.3333333333339</v>
      </c>
      <c r="I80" s="86">
        <v>8333.3333333333339</v>
      </c>
      <c r="J80" s="86">
        <v>8333.3333333333339</v>
      </c>
      <c r="K80" s="86">
        <v>8333.3333333333339</v>
      </c>
      <c r="L80" s="86">
        <v>8333.3333333333339</v>
      </c>
      <c r="M80" s="86">
        <v>8333.3333333333339</v>
      </c>
      <c r="N80" s="86">
        <v>8333.3333333333339</v>
      </c>
      <c r="O80" s="77"/>
      <c r="P80" s="145">
        <f>C80-Расчеты!C49</f>
        <v>0</v>
      </c>
      <c r="Q80" s="133">
        <f>D80-Расчеты!D49</f>
        <v>0</v>
      </c>
      <c r="R80" s="133">
        <f>E80-Расчеты!E49</f>
        <v>0</v>
      </c>
      <c r="S80" s="133">
        <f>F80-Расчеты!F49</f>
        <v>0</v>
      </c>
      <c r="T80" s="133">
        <f>G80-Расчеты!G49</f>
        <v>0</v>
      </c>
      <c r="U80" s="133">
        <f>H80-Расчеты!H49</f>
        <v>0</v>
      </c>
      <c r="V80" s="133">
        <f>I80-Расчеты!I49</f>
        <v>0</v>
      </c>
      <c r="W80" s="133">
        <f>J80-Расчеты!J49</f>
        <v>0</v>
      </c>
      <c r="X80" s="133">
        <f>K80-Расчеты!K49</f>
        <v>0</v>
      </c>
      <c r="Y80" s="133">
        <f>L80-Расчеты!L49</f>
        <v>0</v>
      </c>
      <c r="Z80" s="133">
        <f>M80-Расчеты!M49</f>
        <v>0</v>
      </c>
      <c r="AA80" s="133">
        <f>N80-Расчеты!N49</f>
        <v>0</v>
      </c>
      <c r="AB80" s="134">
        <f t="shared" ref="AB80:AB83" si="18">SUM(P80:AA80)</f>
        <v>0</v>
      </c>
      <c r="AC80" s="143"/>
      <c r="AD80" s="143"/>
      <c r="AE80" s="143"/>
      <c r="AF80" s="143"/>
      <c r="AG80" s="143"/>
      <c r="AH80" s="143"/>
      <c r="AI80" s="143"/>
      <c r="AJ80" s="143"/>
      <c r="AK80" s="143"/>
      <c r="AL80" s="143"/>
      <c r="AM80" s="143"/>
      <c r="AN80" s="143"/>
      <c r="AO80" s="143"/>
      <c r="AP80" s="34"/>
    </row>
    <row r="81" spans="2:45" ht="20" customHeight="1" outlineLevel="1">
      <c r="B81" s="147" t="s">
        <v>56</v>
      </c>
      <c r="C81" s="86">
        <v>9166.6666666666661</v>
      </c>
      <c r="D81" s="86">
        <v>9166.6666666666661</v>
      </c>
      <c r="E81" s="86">
        <v>9166.6666666666661</v>
      </c>
      <c r="F81" s="86">
        <v>9166.6666666666661</v>
      </c>
      <c r="G81" s="86">
        <v>9166.6666666666661</v>
      </c>
      <c r="H81" s="86">
        <v>9166.6666666666661</v>
      </c>
      <c r="I81" s="86">
        <v>9166.6666666666661</v>
      </c>
      <c r="J81" s="86">
        <v>9166.6666666666661</v>
      </c>
      <c r="K81" s="86">
        <v>9166.6666666666661</v>
      </c>
      <c r="L81" s="86">
        <v>9166.6666666666661</v>
      </c>
      <c r="M81" s="86">
        <v>9166.6666666666661</v>
      </c>
      <c r="N81" s="86">
        <v>9166.6666666666661</v>
      </c>
      <c r="O81" s="77"/>
      <c r="P81" s="145">
        <f>C81-Расчеты!C50</f>
        <v>0</v>
      </c>
      <c r="Q81" s="133">
        <f>D81-Расчеты!D50</f>
        <v>0</v>
      </c>
      <c r="R81" s="133">
        <f>E81-Расчеты!E50</f>
        <v>0</v>
      </c>
      <c r="S81" s="133">
        <f>F81-Расчеты!F50</f>
        <v>0</v>
      </c>
      <c r="T81" s="133">
        <f>G81-Расчеты!G50</f>
        <v>0</v>
      </c>
      <c r="U81" s="133">
        <f>H81-Расчеты!H50</f>
        <v>0</v>
      </c>
      <c r="V81" s="133">
        <f>I81-Расчеты!I50</f>
        <v>0</v>
      </c>
      <c r="W81" s="133">
        <f>J81-Расчеты!J50</f>
        <v>0</v>
      </c>
      <c r="X81" s="133">
        <f>K81-Расчеты!K50</f>
        <v>0</v>
      </c>
      <c r="Y81" s="133">
        <f>L81-Расчеты!L50</f>
        <v>0</v>
      </c>
      <c r="Z81" s="133">
        <f>M81-Расчеты!M50</f>
        <v>0</v>
      </c>
      <c r="AA81" s="133">
        <f>N81-Расчеты!N50</f>
        <v>0</v>
      </c>
      <c r="AB81" s="134">
        <f t="shared" si="18"/>
        <v>0</v>
      </c>
      <c r="AC81" s="143"/>
      <c r="AD81" s="143"/>
      <c r="AE81" s="143"/>
      <c r="AF81" s="143"/>
      <c r="AG81" s="143"/>
      <c r="AH81" s="143"/>
      <c r="AI81" s="143"/>
      <c r="AJ81" s="143"/>
      <c r="AK81" s="143"/>
      <c r="AL81" s="143"/>
      <c r="AM81" s="143"/>
      <c r="AN81" s="143"/>
      <c r="AO81" s="143"/>
      <c r="AP81" s="34"/>
    </row>
    <row r="82" spans="2:45" ht="20" customHeight="1" outlineLevel="1">
      <c r="B82" s="147" t="s">
        <v>57</v>
      </c>
      <c r="C82" s="86">
        <v>9500</v>
      </c>
      <c r="D82" s="86">
        <v>9500</v>
      </c>
      <c r="E82" s="86">
        <v>9500</v>
      </c>
      <c r="F82" s="86">
        <v>9500</v>
      </c>
      <c r="G82" s="86">
        <v>9500</v>
      </c>
      <c r="H82" s="86">
        <v>9500</v>
      </c>
      <c r="I82" s="86">
        <v>9500</v>
      </c>
      <c r="J82" s="86">
        <v>9500</v>
      </c>
      <c r="K82" s="86">
        <v>9500</v>
      </c>
      <c r="L82" s="86">
        <v>9500</v>
      </c>
      <c r="M82" s="86">
        <v>9500</v>
      </c>
      <c r="N82" s="86">
        <v>9500</v>
      </c>
      <c r="O82" s="77"/>
      <c r="P82" s="145">
        <f>C82-Расчеты!C51</f>
        <v>0</v>
      </c>
      <c r="Q82" s="133">
        <f>D82-Расчеты!D51</f>
        <v>0</v>
      </c>
      <c r="R82" s="133">
        <f>E82-Расчеты!E51</f>
        <v>0</v>
      </c>
      <c r="S82" s="133">
        <f>F82-Расчеты!F51</f>
        <v>0</v>
      </c>
      <c r="T82" s="133">
        <f>G82-Расчеты!G51</f>
        <v>0</v>
      </c>
      <c r="U82" s="133">
        <f>H82-Расчеты!H51</f>
        <v>0</v>
      </c>
      <c r="V82" s="133">
        <f>I82-Расчеты!I51</f>
        <v>0</v>
      </c>
      <c r="W82" s="133">
        <f>J82-Расчеты!J51</f>
        <v>0</v>
      </c>
      <c r="X82" s="133">
        <f>K82-Расчеты!K51</f>
        <v>0</v>
      </c>
      <c r="Y82" s="133">
        <f>L82-Расчеты!L51</f>
        <v>0</v>
      </c>
      <c r="Z82" s="133">
        <f>M82-Расчеты!M51</f>
        <v>0</v>
      </c>
      <c r="AA82" s="133">
        <f>N82-Расчеты!N51</f>
        <v>0</v>
      </c>
      <c r="AB82" s="134">
        <f t="shared" si="18"/>
        <v>0</v>
      </c>
      <c r="AC82" s="143"/>
      <c r="AD82" s="143"/>
      <c r="AE82" s="143"/>
      <c r="AF82" s="143"/>
      <c r="AG82" s="143"/>
      <c r="AH82" s="143"/>
      <c r="AI82" s="143"/>
      <c r="AJ82" s="143"/>
      <c r="AK82" s="143"/>
      <c r="AL82" s="143"/>
      <c r="AM82" s="143"/>
      <c r="AN82" s="143"/>
      <c r="AO82" s="143"/>
      <c r="AP82" s="34"/>
    </row>
    <row r="83" spans="2:45" ht="20" customHeight="1" outlineLevel="1" thickBot="1">
      <c r="B83" s="119" t="s">
        <v>58</v>
      </c>
      <c r="C83" s="120">
        <v>10000</v>
      </c>
      <c r="D83" s="120">
        <v>10000</v>
      </c>
      <c r="E83" s="120">
        <v>10000</v>
      </c>
      <c r="F83" s="120">
        <v>10000</v>
      </c>
      <c r="G83" s="120">
        <v>10000</v>
      </c>
      <c r="H83" s="120">
        <v>10000</v>
      </c>
      <c r="I83" s="120">
        <v>10000</v>
      </c>
      <c r="J83" s="120">
        <v>10000</v>
      </c>
      <c r="K83" s="120">
        <v>10000</v>
      </c>
      <c r="L83" s="120">
        <v>10000</v>
      </c>
      <c r="M83" s="120">
        <v>10000</v>
      </c>
      <c r="N83" s="120">
        <v>10000</v>
      </c>
      <c r="O83" s="122"/>
      <c r="P83" s="148">
        <f>C83-Расчеты!C52</f>
        <v>0</v>
      </c>
      <c r="Q83" s="149">
        <f>D83-Расчеты!D52</f>
        <v>0</v>
      </c>
      <c r="R83" s="149">
        <f>E83-Расчеты!E52</f>
        <v>0</v>
      </c>
      <c r="S83" s="149">
        <f>F83-Расчеты!F52</f>
        <v>0</v>
      </c>
      <c r="T83" s="149">
        <f>G83-Расчеты!G52</f>
        <v>0</v>
      </c>
      <c r="U83" s="149">
        <f>H83-Расчеты!H52</f>
        <v>0</v>
      </c>
      <c r="V83" s="149">
        <f>I83-Расчеты!I52</f>
        <v>0</v>
      </c>
      <c r="W83" s="149">
        <f>J83-Расчеты!J52</f>
        <v>0</v>
      </c>
      <c r="X83" s="149">
        <f>K83-Расчеты!K52</f>
        <v>0</v>
      </c>
      <c r="Y83" s="149">
        <f>L83-Расчеты!L52</f>
        <v>0</v>
      </c>
      <c r="Z83" s="149">
        <f>M83-Расчеты!M52</f>
        <v>0</v>
      </c>
      <c r="AA83" s="149">
        <f>N83-Расчеты!N52</f>
        <v>0</v>
      </c>
      <c r="AB83" s="150">
        <f t="shared" si="18"/>
        <v>0</v>
      </c>
      <c r="AC83" s="143"/>
      <c r="AD83" s="143"/>
      <c r="AE83" s="143"/>
      <c r="AF83" s="143"/>
      <c r="AG83" s="143"/>
      <c r="AH83" s="143"/>
      <c r="AI83" s="143"/>
      <c r="AJ83" s="143"/>
      <c r="AK83" s="143"/>
      <c r="AL83" s="143"/>
      <c r="AM83" s="143"/>
      <c r="AN83" s="143"/>
      <c r="AO83" s="143"/>
      <c r="AP83" s="34"/>
    </row>
    <row r="84" spans="2:45" ht="20" customHeight="1">
      <c r="AP84" s="34"/>
    </row>
    <row r="85" spans="2:45" ht="38" customHeight="1">
      <c r="B85" s="111" t="s">
        <v>63</v>
      </c>
      <c r="C85" s="111"/>
      <c r="D85" s="111"/>
      <c r="E85" s="111"/>
      <c r="F85" s="111"/>
      <c r="G85" s="111"/>
      <c r="H85" s="111"/>
      <c r="I85" s="111"/>
      <c r="J85" s="111"/>
      <c r="K85" s="111" t="s">
        <v>47</v>
      </c>
      <c r="L85" s="111"/>
      <c r="M85" s="111"/>
      <c r="N85" s="111"/>
      <c r="O85" s="111"/>
      <c r="P85" s="325" t="s">
        <v>48</v>
      </c>
      <c r="Q85" s="325"/>
      <c r="R85" s="325"/>
      <c r="S85" s="325"/>
      <c r="T85" s="325"/>
      <c r="U85" s="325"/>
      <c r="V85" s="325"/>
      <c r="W85" s="325"/>
      <c r="X85" s="325"/>
      <c r="Y85" s="325"/>
      <c r="Z85" s="325"/>
      <c r="AA85" s="325"/>
      <c r="AB85" s="325"/>
      <c r="AC85" s="244"/>
      <c r="AD85" s="244"/>
      <c r="AE85" s="244"/>
      <c r="AF85" s="244"/>
      <c r="AG85" s="244"/>
      <c r="AH85" s="244"/>
      <c r="AI85" s="244"/>
      <c r="AJ85" s="244"/>
      <c r="AK85" s="244"/>
      <c r="AL85" s="244"/>
      <c r="AM85" s="244"/>
      <c r="AN85" s="244"/>
      <c r="AO85" s="244"/>
      <c r="AP85" s="328"/>
      <c r="AR85" s="13"/>
    </row>
    <row r="86" spans="2:45" ht="20" customHeight="1" thickBot="1">
      <c r="B86" s="113"/>
      <c r="C86" s="114" t="s">
        <v>186</v>
      </c>
      <c r="D86" s="114" t="s">
        <v>187</v>
      </c>
      <c r="E86" s="114" t="s">
        <v>188</v>
      </c>
      <c r="F86" s="114" t="s">
        <v>189</v>
      </c>
      <c r="G86" s="248">
        <v>46143</v>
      </c>
      <c r="H86" s="114" t="s">
        <v>190</v>
      </c>
      <c r="I86" s="114" t="s">
        <v>191</v>
      </c>
      <c r="J86" s="114" t="s">
        <v>192</v>
      </c>
      <c r="K86" s="114" t="s">
        <v>193</v>
      </c>
      <c r="L86" s="114" t="s">
        <v>194</v>
      </c>
      <c r="M86" s="114" t="s">
        <v>195</v>
      </c>
      <c r="N86" s="114" t="s">
        <v>196</v>
      </c>
      <c r="O86" s="115">
        <v>2026</v>
      </c>
      <c r="P86" s="114" t="s">
        <v>186</v>
      </c>
      <c r="Q86" s="114" t="s">
        <v>187</v>
      </c>
      <c r="R86" s="114" t="s">
        <v>188</v>
      </c>
      <c r="S86" s="114" t="s">
        <v>189</v>
      </c>
      <c r="T86" s="248">
        <v>46143</v>
      </c>
      <c r="U86" s="114" t="s">
        <v>190</v>
      </c>
      <c r="V86" s="114" t="s">
        <v>191</v>
      </c>
      <c r="W86" s="114" t="s">
        <v>192</v>
      </c>
      <c r="X86" s="114" t="s">
        <v>193</v>
      </c>
      <c r="Y86" s="114" t="s">
        <v>194</v>
      </c>
      <c r="Z86" s="114" t="s">
        <v>195</v>
      </c>
      <c r="AA86" s="114" t="s">
        <v>196</v>
      </c>
      <c r="AB86" s="116">
        <v>2026</v>
      </c>
      <c r="AC86" s="123"/>
      <c r="AD86" s="123"/>
      <c r="AE86" s="123"/>
      <c r="AF86" s="123"/>
      <c r="AG86" s="123"/>
      <c r="AH86" s="123"/>
      <c r="AI86" s="123"/>
      <c r="AJ86" s="123"/>
      <c r="AK86" s="123"/>
      <c r="AL86" s="123"/>
      <c r="AM86" s="123"/>
      <c r="AN86" s="123"/>
      <c r="AO86" s="123"/>
      <c r="AP86" s="329"/>
    </row>
    <row r="87" spans="2:45" ht="10.25" customHeight="1" thickBot="1">
      <c r="B87" s="123"/>
      <c r="C87" s="123"/>
      <c r="D87" s="123"/>
      <c r="E87" s="123"/>
      <c r="F87" s="123"/>
      <c r="G87" s="123"/>
      <c r="H87" s="123"/>
      <c r="I87" s="123"/>
      <c r="J87" s="123"/>
      <c r="K87" s="123"/>
      <c r="L87" s="123"/>
      <c r="M87" s="123"/>
      <c r="N87" s="123"/>
      <c r="O87" s="123"/>
      <c r="P87" s="123"/>
      <c r="Q87" s="123"/>
      <c r="R87" s="123"/>
      <c r="S87" s="123"/>
      <c r="T87" s="123"/>
      <c r="U87" s="123"/>
      <c r="V87" s="123"/>
      <c r="W87" s="123"/>
      <c r="X87" s="123"/>
      <c r="Y87" s="123"/>
      <c r="Z87" s="123"/>
      <c r="AA87" s="123"/>
      <c r="AB87" s="123"/>
      <c r="AC87" s="123"/>
      <c r="AD87" s="123"/>
      <c r="AE87" s="123"/>
      <c r="AF87" s="123"/>
      <c r="AG87" s="123"/>
      <c r="AH87" s="123"/>
      <c r="AI87" s="123"/>
      <c r="AJ87" s="123"/>
      <c r="AK87" s="123"/>
      <c r="AL87" s="123"/>
      <c r="AM87" s="123"/>
      <c r="AN87" s="123"/>
      <c r="AO87" s="123"/>
      <c r="AP87" s="329"/>
    </row>
    <row r="88" spans="2:45" ht="20" customHeight="1">
      <c r="B88" s="125" t="s">
        <v>21</v>
      </c>
      <c r="C88" s="126">
        <v>333.33333333333331</v>
      </c>
      <c r="D88" s="126">
        <v>333.33333333333331</v>
      </c>
      <c r="E88" s="126">
        <v>333.33333333333331</v>
      </c>
      <c r="F88" s="126">
        <v>333.33333333333331</v>
      </c>
      <c r="G88" s="126">
        <v>333.33333333333331</v>
      </c>
      <c r="H88" s="126">
        <v>333.33333333333331</v>
      </c>
      <c r="I88" s="126">
        <v>333.33333333333331</v>
      </c>
      <c r="J88" s="126">
        <v>333.33333333333331</v>
      </c>
      <c r="K88" s="126">
        <v>333.33333333333331</v>
      </c>
      <c r="L88" s="126">
        <v>333.33333333333331</v>
      </c>
      <c r="M88" s="126">
        <v>333.33333333333331</v>
      </c>
      <c r="N88" s="126">
        <v>333.33333333333331</v>
      </c>
      <c r="O88" s="126">
        <f>SUM(C88:N88)</f>
        <v>4000.0000000000005</v>
      </c>
      <c r="P88" s="167">
        <f>C88-Расчеты!C57</f>
        <v>0</v>
      </c>
      <c r="Q88" s="168">
        <f>D88-Расчеты!D57</f>
        <v>0</v>
      </c>
      <c r="R88" s="168">
        <f>E88-Расчеты!E57</f>
        <v>0</v>
      </c>
      <c r="S88" s="168">
        <f>F88-Расчеты!F57</f>
        <v>0</v>
      </c>
      <c r="T88" s="168">
        <f>G88-Расчеты!G57</f>
        <v>0</v>
      </c>
      <c r="U88" s="168">
        <f>H88-Расчеты!H57</f>
        <v>0</v>
      </c>
      <c r="V88" s="168">
        <f>I88-Расчеты!I57</f>
        <v>0</v>
      </c>
      <c r="W88" s="168">
        <f>J88-Расчеты!J57</f>
        <v>0</v>
      </c>
      <c r="X88" s="168">
        <f>K88-Расчеты!K57</f>
        <v>0</v>
      </c>
      <c r="Y88" s="168">
        <f>L88-Расчеты!L57</f>
        <v>0</v>
      </c>
      <c r="Z88" s="168">
        <f>M88-Расчеты!M57</f>
        <v>0</v>
      </c>
      <c r="AA88" s="168">
        <f>N88-Расчеты!N57</f>
        <v>0</v>
      </c>
      <c r="AB88" s="164">
        <f>SUM(P88:AA88)</f>
        <v>0</v>
      </c>
      <c r="AC88" s="143"/>
      <c r="AD88" s="143"/>
      <c r="AE88" s="143"/>
      <c r="AF88" s="143"/>
      <c r="AG88" s="143"/>
      <c r="AH88" s="143"/>
      <c r="AI88" s="143"/>
      <c r="AJ88" s="143"/>
      <c r="AK88" s="143"/>
      <c r="AL88" s="143"/>
      <c r="AM88" s="143"/>
      <c r="AN88" s="143"/>
      <c r="AO88" s="143"/>
      <c r="AP88" s="329"/>
    </row>
    <row r="89" spans="2:45" ht="20" customHeight="1" thickBot="1">
      <c r="B89" s="125" t="s">
        <v>22</v>
      </c>
      <c r="C89" s="126">
        <v>250</v>
      </c>
      <c r="D89" s="126">
        <v>250</v>
      </c>
      <c r="E89" s="126">
        <v>250</v>
      </c>
      <c r="F89" s="126">
        <v>250</v>
      </c>
      <c r="G89" s="126">
        <v>250</v>
      </c>
      <c r="H89" s="126">
        <v>250</v>
      </c>
      <c r="I89" s="126">
        <v>250</v>
      </c>
      <c r="J89" s="126">
        <v>250</v>
      </c>
      <c r="K89" s="126">
        <v>250</v>
      </c>
      <c r="L89" s="126">
        <v>250</v>
      </c>
      <c r="M89" s="126">
        <v>250</v>
      </c>
      <c r="N89" s="126">
        <v>250</v>
      </c>
      <c r="O89" s="126">
        <f>SUM(C89:N89)</f>
        <v>3000</v>
      </c>
      <c r="P89" s="169">
        <f>C89-Расчеты!C58</f>
        <v>0</v>
      </c>
      <c r="Q89" s="170">
        <f>D89-Расчеты!D58</f>
        <v>0</v>
      </c>
      <c r="R89" s="170">
        <f>E89-Расчеты!E58</f>
        <v>0</v>
      </c>
      <c r="S89" s="170">
        <f>F89-Расчеты!F58</f>
        <v>0</v>
      </c>
      <c r="T89" s="170">
        <f>G89-Расчеты!G58</f>
        <v>0</v>
      </c>
      <c r="U89" s="170">
        <f>H89-Расчеты!H58</f>
        <v>0</v>
      </c>
      <c r="V89" s="170">
        <f>I89-Расчеты!I58</f>
        <v>0</v>
      </c>
      <c r="W89" s="170">
        <f>J89-Расчеты!J58</f>
        <v>0</v>
      </c>
      <c r="X89" s="170">
        <f>K89-Расчеты!K58</f>
        <v>0</v>
      </c>
      <c r="Y89" s="170">
        <f>L89-Расчеты!L58</f>
        <v>0</v>
      </c>
      <c r="Z89" s="170">
        <f>M89-Расчеты!M58</f>
        <v>0</v>
      </c>
      <c r="AA89" s="170">
        <f>N89-Расчеты!N58</f>
        <v>0</v>
      </c>
      <c r="AB89" s="171">
        <f>SUM(P89:AA89)</f>
        <v>0</v>
      </c>
      <c r="AC89" s="143"/>
      <c r="AD89" s="143"/>
      <c r="AE89" s="143"/>
      <c r="AF89" s="143"/>
      <c r="AG89" s="143"/>
      <c r="AH89" s="143"/>
      <c r="AI89" s="143"/>
      <c r="AJ89" s="143"/>
      <c r="AK89" s="143"/>
      <c r="AL89" s="143"/>
      <c r="AM89" s="143"/>
      <c r="AN89" s="143"/>
      <c r="AO89" s="143"/>
      <c r="AP89" s="329"/>
    </row>
    <row r="90" spans="2:45" ht="20" customHeight="1">
      <c r="AP90" s="34"/>
    </row>
    <row r="91" spans="2:45" ht="38" customHeight="1">
      <c r="B91" s="111" t="s">
        <v>64</v>
      </c>
      <c r="C91" s="111"/>
      <c r="D91" s="111"/>
      <c r="E91" s="111"/>
      <c r="F91" s="111"/>
      <c r="G91" s="111"/>
      <c r="H91" s="111"/>
      <c r="I91" s="111"/>
      <c r="J91" s="111"/>
      <c r="K91" s="111" t="s">
        <v>47</v>
      </c>
      <c r="L91" s="111"/>
      <c r="M91" s="111"/>
      <c r="N91" s="111"/>
      <c r="O91" s="111"/>
      <c r="P91" s="325" t="s">
        <v>48</v>
      </c>
      <c r="Q91" s="325"/>
      <c r="R91" s="325"/>
      <c r="S91" s="325"/>
      <c r="T91" s="325"/>
      <c r="U91" s="325"/>
      <c r="V91" s="325"/>
      <c r="W91" s="325"/>
      <c r="X91" s="325"/>
      <c r="Y91" s="325"/>
      <c r="Z91" s="325"/>
      <c r="AA91" s="325"/>
      <c r="AB91" s="325"/>
      <c r="AC91" s="244"/>
      <c r="AD91" s="244"/>
      <c r="AE91" s="244"/>
      <c r="AF91" s="244"/>
      <c r="AG91" s="244"/>
      <c r="AH91" s="244"/>
      <c r="AI91" s="244"/>
      <c r="AJ91" s="244"/>
      <c r="AK91" s="244"/>
      <c r="AL91" s="244"/>
      <c r="AM91" s="244"/>
      <c r="AN91" s="244"/>
      <c r="AO91" s="244"/>
      <c r="AP91" s="328" t="s">
        <v>245</v>
      </c>
      <c r="AR91" s="13" t="s">
        <v>18</v>
      </c>
      <c r="AS91" s="1" t="str">
        <f>IF(AR91="Нет", " ", "Для выявления причин отклонений по данному показателю, проанализируйте его драйверы.")</f>
        <v xml:space="preserve"> </v>
      </c>
    </row>
    <row r="92" spans="2:45" ht="20" customHeight="1" thickBot="1">
      <c r="B92" s="113"/>
      <c r="C92" s="114" t="s">
        <v>186</v>
      </c>
      <c r="D92" s="114" t="s">
        <v>187</v>
      </c>
      <c r="E92" s="114" t="s">
        <v>188</v>
      </c>
      <c r="F92" s="114" t="s">
        <v>189</v>
      </c>
      <c r="G92" s="248">
        <v>46143</v>
      </c>
      <c r="H92" s="114" t="s">
        <v>190</v>
      </c>
      <c r="I92" s="114" t="s">
        <v>191</v>
      </c>
      <c r="J92" s="114" t="s">
        <v>192</v>
      </c>
      <c r="K92" s="114" t="s">
        <v>193</v>
      </c>
      <c r="L92" s="114" t="s">
        <v>194</v>
      </c>
      <c r="M92" s="114" t="s">
        <v>195</v>
      </c>
      <c r="N92" s="114" t="s">
        <v>196</v>
      </c>
      <c r="O92" s="115">
        <v>2026</v>
      </c>
      <c r="P92" s="114" t="s">
        <v>186</v>
      </c>
      <c r="Q92" s="114" t="s">
        <v>187</v>
      </c>
      <c r="R92" s="114" t="s">
        <v>188</v>
      </c>
      <c r="S92" s="114" t="s">
        <v>189</v>
      </c>
      <c r="T92" s="248">
        <v>46143</v>
      </c>
      <c r="U92" s="114" t="s">
        <v>190</v>
      </c>
      <c r="V92" s="114" t="s">
        <v>191</v>
      </c>
      <c r="W92" s="114" t="s">
        <v>192</v>
      </c>
      <c r="X92" s="114" t="s">
        <v>193</v>
      </c>
      <c r="Y92" s="114" t="s">
        <v>194</v>
      </c>
      <c r="Z92" s="114" t="s">
        <v>195</v>
      </c>
      <c r="AA92" s="114" t="s">
        <v>196</v>
      </c>
      <c r="AB92" s="116">
        <v>2026</v>
      </c>
      <c r="AC92" s="123"/>
      <c r="AD92" s="123"/>
      <c r="AE92" s="123"/>
      <c r="AF92" s="123"/>
      <c r="AG92" s="123"/>
      <c r="AH92" s="123"/>
      <c r="AI92" s="123"/>
      <c r="AJ92" s="123"/>
      <c r="AK92" s="123"/>
      <c r="AL92" s="123"/>
      <c r="AM92" s="123"/>
      <c r="AN92" s="123"/>
      <c r="AO92" s="123"/>
      <c r="AP92" s="329"/>
      <c r="AR92" s="13" t="s">
        <v>18</v>
      </c>
      <c r="AS92" s="1" t="str">
        <f>IF(AR92="Нет", " ", "Текущих драйверов недостаточно для выявления причин отклонений, требуется анализ дополнительных данных. Проанализируйте данные на листе Выгрузка персонал. Добавьте недостающие данные на лист Свод факта.")</f>
        <v xml:space="preserve"> </v>
      </c>
    </row>
    <row r="93" spans="2:45" ht="10.25" customHeight="1" thickBot="1">
      <c r="B93" s="123"/>
      <c r="C93" s="123"/>
      <c r="D93" s="123"/>
      <c r="E93" s="123"/>
      <c r="F93" s="123"/>
      <c r="G93" s="123"/>
      <c r="H93" s="123"/>
      <c r="I93" s="123"/>
      <c r="J93" s="123"/>
      <c r="K93" s="123"/>
      <c r="L93" s="123"/>
      <c r="M93" s="123"/>
      <c r="N93" s="123"/>
      <c r="O93" s="123"/>
      <c r="P93" s="123"/>
      <c r="Q93" s="123"/>
      <c r="R93" s="123"/>
      <c r="S93" s="123"/>
      <c r="T93" s="123"/>
      <c r="U93" s="123"/>
      <c r="V93" s="123"/>
      <c r="W93" s="123"/>
      <c r="X93" s="123"/>
      <c r="Y93" s="123"/>
      <c r="Z93" s="123"/>
      <c r="AA93" s="123"/>
      <c r="AB93" s="123"/>
      <c r="AC93" s="123"/>
      <c r="AD93" s="123"/>
      <c r="AE93" s="123"/>
      <c r="AF93" s="123"/>
      <c r="AG93" s="123"/>
      <c r="AH93" s="123"/>
      <c r="AI93" s="123"/>
      <c r="AJ93" s="123"/>
      <c r="AK93" s="123"/>
      <c r="AL93" s="123"/>
      <c r="AM93" s="123"/>
      <c r="AN93" s="123"/>
      <c r="AO93" s="123"/>
      <c r="AP93" s="329"/>
      <c r="AR93" s="13"/>
    </row>
    <row r="94" spans="2:45" ht="20" customHeight="1">
      <c r="B94" s="125" t="s">
        <v>21</v>
      </c>
      <c r="C94" s="126">
        <f t="shared" ref="C94:N94" si="19">SUM(C95:C99)</f>
        <v>521</v>
      </c>
      <c r="D94" s="126">
        <f t="shared" si="19"/>
        <v>524</v>
      </c>
      <c r="E94" s="126">
        <f t="shared" si="19"/>
        <v>524</v>
      </c>
      <c r="F94" s="126">
        <f t="shared" si="19"/>
        <v>525</v>
      </c>
      <c r="G94" s="126">
        <f t="shared" si="19"/>
        <v>524</v>
      </c>
      <c r="H94" s="126">
        <f t="shared" si="19"/>
        <v>523</v>
      </c>
      <c r="I94" s="126">
        <f t="shared" si="19"/>
        <v>527</v>
      </c>
      <c r="J94" s="126">
        <f t="shared" si="19"/>
        <v>526</v>
      </c>
      <c r="K94" s="126">
        <f t="shared" si="19"/>
        <v>525</v>
      </c>
      <c r="L94" s="126">
        <f t="shared" si="19"/>
        <v>527</v>
      </c>
      <c r="M94" s="126">
        <f t="shared" si="19"/>
        <v>525</v>
      </c>
      <c r="N94" s="126">
        <f t="shared" si="19"/>
        <v>525</v>
      </c>
      <c r="O94" s="126">
        <f>SUM(C94:N94)</f>
        <v>6296</v>
      </c>
      <c r="P94" s="162">
        <f>SUM(P95:P99)</f>
        <v>17.000000000000028</v>
      </c>
      <c r="Q94" s="163">
        <f t="shared" ref="Q94:AA94" si="20">SUM(Q95:Q99)</f>
        <v>20</v>
      </c>
      <c r="R94" s="163">
        <f t="shared" si="20"/>
        <v>20</v>
      </c>
      <c r="S94" s="163">
        <f t="shared" si="20"/>
        <v>21</v>
      </c>
      <c r="T94" s="163">
        <f t="shared" si="20"/>
        <v>20</v>
      </c>
      <c r="U94" s="163">
        <f t="shared" si="20"/>
        <v>19</v>
      </c>
      <c r="V94" s="163">
        <f t="shared" si="20"/>
        <v>22.999999999999972</v>
      </c>
      <c r="W94" s="163">
        <f t="shared" si="20"/>
        <v>22.000000000000028</v>
      </c>
      <c r="X94" s="163">
        <f t="shared" si="20"/>
        <v>21</v>
      </c>
      <c r="Y94" s="163">
        <f t="shared" si="20"/>
        <v>22.999999999999972</v>
      </c>
      <c r="Z94" s="163">
        <f t="shared" si="20"/>
        <v>21</v>
      </c>
      <c r="AA94" s="163">
        <f t="shared" si="20"/>
        <v>21</v>
      </c>
      <c r="AB94" s="164">
        <f>SUM(P94:AA94)</f>
        <v>248</v>
      </c>
      <c r="AC94" s="143"/>
      <c r="AD94" s="143"/>
      <c r="AE94" s="143"/>
      <c r="AF94" s="143"/>
      <c r="AG94" s="143"/>
      <c r="AH94" s="143"/>
      <c r="AI94" s="143"/>
      <c r="AJ94" s="143"/>
      <c r="AK94" s="143"/>
      <c r="AL94" s="143"/>
      <c r="AM94" s="143"/>
      <c r="AN94" s="143"/>
      <c r="AO94" s="143"/>
      <c r="AP94" s="329"/>
      <c r="AR94" s="13" t="s">
        <v>18</v>
      </c>
      <c r="AS94" s="1" t="str">
        <f>IF(AR94="Нет", " ", "Проверьте, все ли данные из выгрузки попали в модель бюджета?")</f>
        <v xml:space="preserve"> </v>
      </c>
    </row>
    <row r="95" spans="2:45" ht="20" customHeight="1" outlineLevel="1">
      <c r="B95" s="117" t="s">
        <v>65</v>
      </c>
      <c r="C95" s="118">
        <v>135.4</v>
      </c>
      <c r="D95" s="118">
        <v>136</v>
      </c>
      <c r="E95" s="118">
        <v>136</v>
      </c>
      <c r="F95" s="118">
        <v>136.19999999999999</v>
      </c>
      <c r="G95" s="118">
        <v>136</v>
      </c>
      <c r="H95" s="118">
        <v>135.80000000000001</v>
      </c>
      <c r="I95" s="118">
        <v>136.6</v>
      </c>
      <c r="J95" s="118">
        <v>136.4</v>
      </c>
      <c r="K95" s="118">
        <v>136.19999999999999</v>
      </c>
      <c r="L95" s="118">
        <v>136.6</v>
      </c>
      <c r="M95" s="118">
        <v>136.19999999999999</v>
      </c>
      <c r="N95" s="118">
        <v>136.19999999999999</v>
      </c>
      <c r="O95" s="66">
        <f>SUM(C95:N95)</f>
        <v>1633.6</v>
      </c>
      <c r="P95" s="145">
        <f>C95-Расчеты!C64</f>
        <v>3.4000000000000057</v>
      </c>
      <c r="Q95" s="131">
        <f>D95-Расчеты!D64</f>
        <v>4</v>
      </c>
      <c r="R95" s="131">
        <f>E95-Расчеты!E64</f>
        <v>4</v>
      </c>
      <c r="S95" s="131">
        <f>F95-Расчеты!F64</f>
        <v>4.1999999999999886</v>
      </c>
      <c r="T95" s="131">
        <f>G95-Расчеты!G64</f>
        <v>4</v>
      </c>
      <c r="U95" s="131">
        <f>H95-Расчеты!H64</f>
        <v>3.8000000000000114</v>
      </c>
      <c r="V95" s="131">
        <f>I95-Расчеты!I64</f>
        <v>4.5999999999999943</v>
      </c>
      <c r="W95" s="131">
        <f>J95-Расчеты!J64</f>
        <v>4.4000000000000057</v>
      </c>
      <c r="X95" s="131">
        <f>K95-Расчеты!K64</f>
        <v>4.1999999999999886</v>
      </c>
      <c r="Y95" s="131">
        <f>L95-Расчеты!L64</f>
        <v>4.5999999999999943</v>
      </c>
      <c r="Z95" s="131">
        <f>M95-Расчеты!M64</f>
        <v>4.1999999999999886</v>
      </c>
      <c r="AA95" s="131">
        <f>N95-Расчеты!N64</f>
        <v>4.1999999999999886</v>
      </c>
      <c r="AB95" s="146">
        <f t="shared" ref="AB95:AB105" si="21">SUM(P95:AA95)</f>
        <v>49.599999999999966</v>
      </c>
      <c r="AC95" s="143"/>
      <c r="AD95" s="143"/>
      <c r="AE95" s="143"/>
      <c r="AF95" s="143"/>
      <c r="AG95" s="143"/>
      <c r="AH95" s="143"/>
      <c r="AI95" s="143"/>
      <c r="AJ95" s="143"/>
      <c r="AK95" s="143"/>
      <c r="AL95" s="143"/>
      <c r="AM95" s="143"/>
      <c r="AN95" s="143"/>
      <c r="AO95" s="143"/>
      <c r="AP95" s="329"/>
    </row>
    <row r="96" spans="2:45" ht="20" customHeight="1" outlineLevel="1">
      <c r="B96" s="147" t="s">
        <v>66</v>
      </c>
      <c r="C96" s="86">
        <v>83.4</v>
      </c>
      <c r="D96" s="86">
        <v>84</v>
      </c>
      <c r="E96" s="86">
        <v>84</v>
      </c>
      <c r="F96" s="86">
        <v>84.2</v>
      </c>
      <c r="G96" s="86">
        <v>84</v>
      </c>
      <c r="H96" s="86">
        <v>83.8</v>
      </c>
      <c r="I96" s="86">
        <v>84.6</v>
      </c>
      <c r="J96" s="86">
        <v>84.4</v>
      </c>
      <c r="K96" s="86">
        <v>84.2</v>
      </c>
      <c r="L96" s="86">
        <v>84.6</v>
      </c>
      <c r="M96" s="86">
        <v>84.2</v>
      </c>
      <c r="N96" s="86">
        <v>84.2</v>
      </c>
      <c r="O96" s="77">
        <f>SUM(C96:N96)</f>
        <v>1009.6000000000001</v>
      </c>
      <c r="P96" s="88">
        <f>C96-Расчеты!C65</f>
        <v>3.4000000000000057</v>
      </c>
      <c r="Q96" s="133">
        <f>D96-Расчеты!D65</f>
        <v>4</v>
      </c>
      <c r="R96" s="133">
        <f>E96-Расчеты!E65</f>
        <v>4</v>
      </c>
      <c r="S96" s="133">
        <f>F96-Расчеты!F65</f>
        <v>4.2000000000000028</v>
      </c>
      <c r="T96" s="133">
        <f>G96-Расчеты!G65</f>
        <v>4</v>
      </c>
      <c r="U96" s="133">
        <f>H96-Расчеты!H65</f>
        <v>3.7999999999999972</v>
      </c>
      <c r="V96" s="133">
        <f>I96-Расчеты!I65</f>
        <v>4.5999999999999943</v>
      </c>
      <c r="W96" s="133">
        <f>J96-Расчеты!J65</f>
        <v>4.4000000000000057</v>
      </c>
      <c r="X96" s="133">
        <f>K96-Расчеты!K65</f>
        <v>4.2000000000000028</v>
      </c>
      <c r="Y96" s="133">
        <f>L96-Расчеты!L65</f>
        <v>4.5999999999999943</v>
      </c>
      <c r="Z96" s="133">
        <f>M96-Расчеты!M65</f>
        <v>4.2000000000000028</v>
      </c>
      <c r="AA96" s="133">
        <f>N96-Расчеты!N65</f>
        <v>4.2000000000000028</v>
      </c>
      <c r="AB96" s="134">
        <f t="shared" si="21"/>
        <v>49.600000000000009</v>
      </c>
      <c r="AC96" s="143"/>
      <c r="AD96" s="143"/>
      <c r="AE96" s="143"/>
      <c r="AF96" s="143"/>
      <c r="AG96" s="143"/>
      <c r="AH96" s="143"/>
      <c r="AI96" s="143"/>
      <c r="AJ96" s="143"/>
      <c r="AK96" s="143"/>
      <c r="AL96" s="143"/>
      <c r="AM96" s="143"/>
      <c r="AN96" s="143"/>
      <c r="AO96" s="143"/>
      <c r="AP96" s="329"/>
    </row>
    <row r="97" spans="2:45" ht="20" customHeight="1" outlineLevel="1">
      <c r="B97" s="147" t="s">
        <v>67</v>
      </c>
      <c r="C97" s="86">
        <v>83.4</v>
      </c>
      <c r="D97" s="86">
        <v>84</v>
      </c>
      <c r="E97" s="86">
        <v>84</v>
      </c>
      <c r="F97" s="86">
        <v>84.2</v>
      </c>
      <c r="G97" s="86">
        <v>84</v>
      </c>
      <c r="H97" s="86">
        <v>83.8</v>
      </c>
      <c r="I97" s="86">
        <v>84.6</v>
      </c>
      <c r="J97" s="86">
        <v>84.4</v>
      </c>
      <c r="K97" s="86">
        <v>84.2</v>
      </c>
      <c r="L97" s="86">
        <v>84.6</v>
      </c>
      <c r="M97" s="86">
        <v>84.2</v>
      </c>
      <c r="N97" s="86">
        <v>84.2</v>
      </c>
      <c r="O97" s="77">
        <f t="shared" ref="O97:O99" si="22">SUM(C97:N97)</f>
        <v>1009.6000000000001</v>
      </c>
      <c r="P97" s="88">
        <f>C97-Расчеты!C66</f>
        <v>3.4000000000000057</v>
      </c>
      <c r="Q97" s="133">
        <f>D97-Расчеты!D66</f>
        <v>4</v>
      </c>
      <c r="R97" s="133">
        <f>E97-Расчеты!E66</f>
        <v>4</v>
      </c>
      <c r="S97" s="133">
        <f>F97-Расчеты!F66</f>
        <v>4.2000000000000028</v>
      </c>
      <c r="T97" s="133">
        <f>G97-Расчеты!G66</f>
        <v>4</v>
      </c>
      <c r="U97" s="133">
        <f>H97-Расчеты!H66</f>
        <v>3.7999999999999972</v>
      </c>
      <c r="V97" s="133">
        <f>I97-Расчеты!I66</f>
        <v>4.5999999999999943</v>
      </c>
      <c r="W97" s="133">
        <f>J97-Расчеты!J66</f>
        <v>4.4000000000000057</v>
      </c>
      <c r="X97" s="133">
        <f>K97-Расчеты!K66</f>
        <v>4.2000000000000028</v>
      </c>
      <c r="Y97" s="133">
        <f>L97-Расчеты!L66</f>
        <v>4.5999999999999943</v>
      </c>
      <c r="Z97" s="133">
        <f>M97-Расчеты!M66</f>
        <v>4.2000000000000028</v>
      </c>
      <c r="AA97" s="133">
        <f>N97-Расчеты!N66</f>
        <v>4.2000000000000028</v>
      </c>
      <c r="AB97" s="134">
        <f t="shared" si="21"/>
        <v>49.600000000000009</v>
      </c>
      <c r="AC97" s="143"/>
      <c r="AD97" s="143"/>
      <c r="AE97" s="143"/>
      <c r="AF97" s="143"/>
      <c r="AG97" s="143"/>
      <c r="AH97" s="143"/>
      <c r="AI97" s="143"/>
      <c r="AJ97" s="143"/>
      <c r="AK97" s="143"/>
      <c r="AL97" s="143"/>
      <c r="AM97" s="143"/>
      <c r="AN97" s="143"/>
      <c r="AO97" s="143"/>
      <c r="AP97" s="329"/>
    </row>
    <row r="98" spans="2:45" ht="20" customHeight="1" outlineLevel="1">
      <c r="B98" s="147" t="s">
        <v>68</v>
      </c>
      <c r="C98" s="86">
        <v>109.4</v>
      </c>
      <c r="D98" s="86">
        <v>110</v>
      </c>
      <c r="E98" s="86">
        <v>110</v>
      </c>
      <c r="F98" s="86">
        <v>110.2</v>
      </c>
      <c r="G98" s="86">
        <v>110</v>
      </c>
      <c r="H98" s="86">
        <v>109.8</v>
      </c>
      <c r="I98" s="86">
        <v>110.6</v>
      </c>
      <c r="J98" s="86">
        <v>110.4</v>
      </c>
      <c r="K98" s="86">
        <v>110.2</v>
      </c>
      <c r="L98" s="86">
        <v>110.6</v>
      </c>
      <c r="M98" s="86">
        <v>110.2</v>
      </c>
      <c r="N98" s="86">
        <v>110.2</v>
      </c>
      <c r="O98" s="77">
        <f t="shared" si="22"/>
        <v>1321.6</v>
      </c>
      <c r="P98" s="88">
        <f>C98-Расчеты!C67</f>
        <v>3.4000000000000057</v>
      </c>
      <c r="Q98" s="133">
        <f>D98-Расчеты!D67</f>
        <v>4</v>
      </c>
      <c r="R98" s="133">
        <f>E98-Расчеты!E67</f>
        <v>4</v>
      </c>
      <c r="S98" s="133">
        <f>F98-Расчеты!F67</f>
        <v>4.2000000000000028</v>
      </c>
      <c r="T98" s="133">
        <f>G98-Расчеты!G67</f>
        <v>4</v>
      </c>
      <c r="U98" s="133">
        <f>H98-Расчеты!H67</f>
        <v>3.7999999999999972</v>
      </c>
      <c r="V98" s="133">
        <f>I98-Расчеты!I67</f>
        <v>4.5999999999999943</v>
      </c>
      <c r="W98" s="133">
        <f>J98-Расчеты!J67</f>
        <v>4.4000000000000057</v>
      </c>
      <c r="X98" s="133">
        <f>K98-Расчеты!K67</f>
        <v>4.2000000000000028</v>
      </c>
      <c r="Y98" s="133">
        <f>L98-Расчеты!L67</f>
        <v>4.5999999999999943</v>
      </c>
      <c r="Z98" s="133">
        <f>M98-Расчеты!M67</f>
        <v>4.2000000000000028</v>
      </c>
      <c r="AA98" s="133">
        <f>N98-Расчеты!N67</f>
        <v>4.2000000000000028</v>
      </c>
      <c r="AB98" s="134">
        <f t="shared" si="21"/>
        <v>49.600000000000009</v>
      </c>
      <c r="AC98" s="143"/>
      <c r="AD98" s="143"/>
      <c r="AE98" s="143"/>
      <c r="AF98" s="143"/>
      <c r="AG98" s="143"/>
      <c r="AH98" s="143"/>
      <c r="AI98" s="143"/>
      <c r="AJ98" s="143"/>
      <c r="AK98" s="143"/>
      <c r="AL98" s="143"/>
      <c r="AM98" s="143"/>
      <c r="AN98" s="143"/>
      <c r="AO98" s="143"/>
      <c r="AP98" s="329"/>
    </row>
    <row r="99" spans="2:45" ht="20" customHeight="1" outlineLevel="1">
      <c r="B99" s="119" t="s">
        <v>69</v>
      </c>
      <c r="C99" s="120">
        <v>109.4</v>
      </c>
      <c r="D99" s="120">
        <v>110</v>
      </c>
      <c r="E99" s="120">
        <v>110</v>
      </c>
      <c r="F99" s="120">
        <v>110.2</v>
      </c>
      <c r="G99" s="120">
        <v>110</v>
      </c>
      <c r="H99" s="120">
        <v>109.8</v>
      </c>
      <c r="I99" s="120">
        <v>110.6</v>
      </c>
      <c r="J99" s="120">
        <v>110.4</v>
      </c>
      <c r="K99" s="120">
        <v>110.2</v>
      </c>
      <c r="L99" s="120">
        <v>110.6</v>
      </c>
      <c r="M99" s="120">
        <v>110.2</v>
      </c>
      <c r="N99" s="120">
        <v>110.2</v>
      </c>
      <c r="O99" s="122">
        <f t="shared" si="22"/>
        <v>1321.6</v>
      </c>
      <c r="P99" s="140">
        <f>C99-Расчеты!C68</f>
        <v>3.4000000000000057</v>
      </c>
      <c r="Q99" s="138">
        <f>D99-Расчеты!D68</f>
        <v>4</v>
      </c>
      <c r="R99" s="138">
        <f>E99-Расчеты!E68</f>
        <v>4</v>
      </c>
      <c r="S99" s="138">
        <f>F99-Расчеты!F68</f>
        <v>4.2000000000000028</v>
      </c>
      <c r="T99" s="138">
        <f>G99-Расчеты!G68</f>
        <v>4</v>
      </c>
      <c r="U99" s="138">
        <f>H99-Расчеты!H68</f>
        <v>3.7999999999999972</v>
      </c>
      <c r="V99" s="138">
        <f>I99-Расчеты!I68</f>
        <v>4.5999999999999943</v>
      </c>
      <c r="W99" s="138">
        <f>J99-Расчеты!J68</f>
        <v>4.4000000000000057</v>
      </c>
      <c r="X99" s="138">
        <f>K99-Расчеты!K68</f>
        <v>4.2000000000000028</v>
      </c>
      <c r="Y99" s="138">
        <f>L99-Расчеты!L68</f>
        <v>4.5999999999999943</v>
      </c>
      <c r="Z99" s="138">
        <f>M99-Расчеты!M68</f>
        <v>4.2000000000000028</v>
      </c>
      <c r="AA99" s="138">
        <f>N99-Расчеты!N68</f>
        <v>4.2000000000000028</v>
      </c>
      <c r="AB99" s="141">
        <f t="shared" si="21"/>
        <v>49.600000000000009</v>
      </c>
      <c r="AC99" s="143"/>
      <c r="AD99" s="143"/>
      <c r="AE99" s="143"/>
      <c r="AF99" s="143"/>
      <c r="AG99" s="143"/>
      <c r="AH99" s="143"/>
      <c r="AI99" s="143"/>
      <c r="AJ99" s="143"/>
      <c r="AK99" s="143"/>
      <c r="AL99" s="143"/>
      <c r="AM99" s="143"/>
      <c r="AN99" s="143"/>
      <c r="AO99" s="143"/>
      <c r="AP99" s="329"/>
    </row>
    <row r="100" spans="2:45" ht="20" customHeight="1">
      <c r="B100" s="125" t="s">
        <v>22</v>
      </c>
      <c r="C100" s="126">
        <f>SUM(C101:C104)</f>
        <v>476.6</v>
      </c>
      <c r="D100" s="126">
        <f t="shared" ref="D100:N100" si="23">SUM(D101:D104)</f>
        <v>615</v>
      </c>
      <c r="E100" s="126">
        <f t="shared" si="23"/>
        <v>751</v>
      </c>
      <c r="F100" s="126">
        <f t="shared" si="23"/>
        <v>888.40000000000009</v>
      </c>
      <c r="G100" s="126">
        <f t="shared" si="23"/>
        <v>887</v>
      </c>
      <c r="H100" s="126">
        <f t="shared" si="23"/>
        <v>1021.3999999999999</v>
      </c>
      <c r="I100" s="126">
        <f t="shared" si="23"/>
        <v>1164.3999999999999</v>
      </c>
      <c r="J100" s="126">
        <f t="shared" si="23"/>
        <v>1299.0000000000002</v>
      </c>
      <c r="K100" s="126">
        <f t="shared" si="23"/>
        <v>1433.2</v>
      </c>
      <c r="L100" s="126">
        <f t="shared" si="23"/>
        <v>1574.1999999999998</v>
      </c>
      <c r="M100" s="126">
        <f t="shared" si="23"/>
        <v>1569.4</v>
      </c>
      <c r="N100" s="126">
        <f t="shared" si="23"/>
        <v>1705.6000000000001</v>
      </c>
      <c r="O100" s="126">
        <f>SUM(C100:N100)</f>
        <v>13385.2</v>
      </c>
      <c r="P100" s="142">
        <f>SUM(P101:P104)</f>
        <v>13.600000000000023</v>
      </c>
      <c r="Q100" s="143">
        <f t="shared" ref="Q100:AA100" si="24">SUM(Q101:Q104)</f>
        <v>20</v>
      </c>
      <c r="R100" s="143">
        <f t="shared" si="24"/>
        <v>156</v>
      </c>
      <c r="S100" s="143">
        <f t="shared" si="24"/>
        <v>161.39999999999992</v>
      </c>
      <c r="T100" s="143">
        <f t="shared" si="24"/>
        <v>28</v>
      </c>
      <c r="U100" s="143">
        <f t="shared" si="24"/>
        <v>30.400000000000006</v>
      </c>
      <c r="V100" s="143">
        <f t="shared" si="24"/>
        <v>173.4</v>
      </c>
      <c r="W100" s="143">
        <f t="shared" si="24"/>
        <v>175.99999999999997</v>
      </c>
      <c r="X100" s="143">
        <f t="shared" si="24"/>
        <v>178.19999999999987</v>
      </c>
      <c r="Y100" s="143">
        <f t="shared" si="24"/>
        <v>187.20000000000007</v>
      </c>
      <c r="Z100" s="143">
        <f t="shared" si="24"/>
        <v>182.39999999999992</v>
      </c>
      <c r="AA100" s="143">
        <f t="shared" si="24"/>
        <v>186.59999999999997</v>
      </c>
      <c r="AB100" s="144">
        <f t="shared" si="21"/>
        <v>1493.1999999999996</v>
      </c>
      <c r="AC100" s="143"/>
      <c r="AD100" s="143"/>
      <c r="AE100" s="143"/>
      <c r="AF100" s="143"/>
      <c r="AG100" s="143"/>
      <c r="AH100" s="143"/>
      <c r="AI100" s="143"/>
      <c r="AJ100" s="143"/>
      <c r="AK100" s="143"/>
      <c r="AL100" s="143"/>
      <c r="AM100" s="143"/>
      <c r="AN100" s="143"/>
      <c r="AO100" s="143"/>
      <c r="AP100" s="329"/>
    </row>
    <row r="101" spans="2:45" ht="20" customHeight="1" outlineLevel="1">
      <c r="B101" s="117" t="s">
        <v>65</v>
      </c>
      <c r="C101" s="118">
        <v>135.4</v>
      </c>
      <c r="D101" s="118">
        <v>136</v>
      </c>
      <c r="E101" s="118">
        <v>136</v>
      </c>
      <c r="F101" s="118">
        <v>136.19999999999999</v>
      </c>
      <c r="G101" s="118">
        <v>136</v>
      </c>
      <c r="H101" s="118">
        <v>135.80000000000001</v>
      </c>
      <c r="I101" s="118">
        <v>136.6</v>
      </c>
      <c r="J101" s="118">
        <v>136.4</v>
      </c>
      <c r="K101" s="118">
        <v>136.19999999999999</v>
      </c>
      <c r="L101" s="118">
        <v>136.6</v>
      </c>
      <c r="M101" s="118">
        <v>136.19999999999999</v>
      </c>
      <c r="N101" s="118">
        <v>136.19999999999999</v>
      </c>
      <c r="O101" s="66">
        <f t="shared" ref="O101:O105" si="25">SUM(C101:N101)</f>
        <v>1633.6</v>
      </c>
      <c r="P101" s="145">
        <f>C101-Расчеты!C70</f>
        <v>3.4000000000000057</v>
      </c>
      <c r="Q101" s="131">
        <f>D101-Расчеты!D70</f>
        <v>4</v>
      </c>
      <c r="R101" s="131">
        <f>E101-Расчеты!E70</f>
        <v>4</v>
      </c>
      <c r="S101" s="131">
        <f>F101-Расчеты!F70</f>
        <v>4.1999999999999886</v>
      </c>
      <c r="T101" s="131">
        <f>G101-Расчеты!G70</f>
        <v>4</v>
      </c>
      <c r="U101" s="131">
        <f>H101-Расчеты!H70</f>
        <v>3.8000000000000114</v>
      </c>
      <c r="V101" s="131">
        <f>I101-Расчеты!I70</f>
        <v>4.5999999999999943</v>
      </c>
      <c r="W101" s="131">
        <f>J101-Расчеты!J70</f>
        <v>4.4000000000000057</v>
      </c>
      <c r="X101" s="131">
        <f>K101-Расчеты!K70</f>
        <v>4.1999999999999886</v>
      </c>
      <c r="Y101" s="131">
        <f>L101-Расчеты!L70</f>
        <v>4.5999999999999943</v>
      </c>
      <c r="Z101" s="131">
        <f>M101-Расчеты!M70</f>
        <v>4.1999999999999886</v>
      </c>
      <c r="AA101" s="131">
        <f>N101-Расчеты!N70</f>
        <v>4.1999999999999886</v>
      </c>
      <c r="AB101" s="146">
        <f t="shared" si="21"/>
        <v>49.599999999999966</v>
      </c>
      <c r="AC101" s="143"/>
      <c r="AD101" s="143"/>
      <c r="AE101" s="143"/>
      <c r="AF101" s="143"/>
      <c r="AG101" s="143"/>
      <c r="AH101" s="143"/>
      <c r="AI101" s="143"/>
      <c r="AJ101" s="143"/>
      <c r="AK101" s="143"/>
      <c r="AL101" s="143"/>
      <c r="AM101" s="143"/>
      <c r="AN101" s="143"/>
      <c r="AO101" s="143"/>
      <c r="AP101" s="329"/>
    </row>
    <row r="102" spans="2:45" ht="20" customHeight="1" outlineLevel="1">
      <c r="B102" s="147" t="s">
        <v>70</v>
      </c>
      <c r="C102" s="86">
        <v>135.4</v>
      </c>
      <c r="D102" s="86">
        <v>272</v>
      </c>
      <c r="E102" s="86">
        <v>408</v>
      </c>
      <c r="F102" s="86">
        <v>544.79999999999995</v>
      </c>
      <c r="G102" s="86">
        <v>544</v>
      </c>
      <c r="H102" s="86">
        <v>679</v>
      </c>
      <c r="I102" s="86">
        <v>819.6</v>
      </c>
      <c r="J102" s="86">
        <v>954.8</v>
      </c>
      <c r="K102" s="86">
        <v>1089.5999999999999</v>
      </c>
      <c r="L102" s="86">
        <v>1229.4000000000001</v>
      </c>
      <c r="M102" s="86">
        <v>1225.8</v>
      </c>
      <c r="N102" s="86">
        <v>1362</v>
      </c>
      <c r="O102" s="77">
        <f t="shared" si="25"/>
        <v>9264.3999999999978</v>
      </c>
      <c r="P102" s="88">
        <f>C102-Расчеты!C71</f>
        <v>3.4000000000000057</v>
      </c>
      <c r="Q102" s="133">
        <f>D102-Расчеты!D71</f>
        <v>8</v>
      </c>
      <c r="R102" s="133">
        <f>E102-Расчеты!E71</f>
        <v>144</v>
      </c>
      <c r="S102" s="133">
        <f>F102-Расчеты!F71</f>
        <v>148.79999999999995</v>
      </c>
      <c r="T102" s="133">
        <f>G102-Расчеты!G71</f>
        <v>16</v>
      </c>
      <c r="U102" s="133">
        <f>H102-Расчеты!H71</f>
        <v>19</v>
      </c>
      <c r="V102" s="133">
        <f>I102-Расчеты!I71</f>
        <v>159.60000000000002</v>
      </c>
      <c r="W102" s="133">
        <f>J102-Расчеты!J71</f>
        <v>162.79999999999995</v>
      </c>
      <c r="X102" s="133">
        <f>K102-Расчеты!K71</f>
        <v>165.59999999999991</v>
      </c>
      <c r="Y102" s="133">
        <f>L102-Расчеты!L71</f>
        <v>173.40000000000009</v>
      </c>
      <c r="Z102" s="133">
        <f>M102-Расчеты!M71</f>
        <v>169.79999999999995</v>
      </c>
      <c r="AA102" s="133">
        <f>N102-Расчеты!N71</f>
        <v>174</v>
      </c>
      <c r="AB102" s="134">
        <f t="shared" si="21"/>
        <v>1344.3999999999999</v>
      </c>
      <c r="AC102" s="143"/>
      <c r="AD102" s="143"/>
      <c r="AE102" s="143"/>
      <c r="AF102" s="143"/>
      <c r="AG102" s="143"/>
      <c r="AH102" s="143"/>
      <c r="AI102" s="143"/>
      <c r="AJ102" s="143"/>
      <c r="AK102" s="143"/>
      <c r="AL102" s="143"/>
      <c r="AM102" s="143"/>
      <c r="AN102" s="143"/>
      <c r="AO102" s="143"/>
      <c r="AP102" s="329"/>
    </row>
    <row r="103" spans="2:45" ht="20" customHeight="1" outlineLevel="1">
      <c r="B103" s="147" t="s">
        <v>67</v>
      </c>
      <c r="C103" s="86">
        <v>96.4</v>
      </c>
      <c r="D103" s="86">
        <v>97</v>
      </c>
      <c r="E103" s="86">
        <v>97</v>
      </c>
      <c r="F103" s="86">
        <v>97.2</v>
      </c>
      <c r="G103" s="86">
        <v>97</v>
      </c>
      <c r="H103" s="86">
        <v>96.8</v>
      </c>
      <c r="I103" s="86">
        <v>97.6</v>
      </c>
      <c r="J103" s="86">
        <v>97.4</v>
      </c>
      <c r="K103" s="86">
        <v>97.2</v>
      </c>
      <c r="L103" s="86">
        <v>97.6</v>
      </c>
      <c r="M103" s="86">
        <v>97.2</v>
      </c>
      <c r="N103" s="86">
        <v>97.2</v>
      </c>
      <c r="O103" s="77">
        <f t="shared" si="25"/>
        <v>1165.6000000000001</v>
      </c>
      <c r="P103" s="88">
        <f>C103-Расчеты!C72</f>
        <v>3.4000000000000057</v>
      </c>
      <c r="Q103" s="133">
        <f>D103-Расчеты!D72</f>
        <v>4</v>
      </c>
      <c r="R103" s="133">
        <f>E103-Расчеты!E72</f>
        <v>4</v>
      </c>
      <c r="S103" s="133">
        <f>F103-Расчеты!F72</f>
        <v>4.2000000000000028</v>
      </c>
      <c r="T103" s="133">
        <f>G103-Расчеты!G72</f>
        <v>4</v>
      </c>
      <c r="U103" s="133">
        <f>H103-Расчеты!H72</f>
        <v>3.7999999999999972</v>
      </c>
      <c r="V103" s="133">
        <f>I103-Расчеты!I72</f>
        <v>4.5999999999999943</v>
      </c>
      <c r="W103" s="133">
        <f>J103-Расчеты!J72</f>
        <v>4.4000000000000057</v>
      </c>
      <c r="X103" s="133">
        <f>K103-Расчеты!K72</f>
        <v>4.2000000000000028</v>
      </c>
      <c r="Y103" s="133">
        <f>L103-Расчеты!L72</f>
        <v>4.5999999999999943</v>
      </c>
      <c r="Z103" s="133">
        <f>M103-Расчеты!M72</f>
        <v>4.2000000000000028</v>
      </c>
      <c r="AA103" s="133">
        <f>N103-Расчеты!N72</f>
        <v>4.2000000000000028</v>
      </c>
      <c r="AB103" s="134">
        <f t="shared" si="21"/>
        <v>49.600000000000009</v>
      </c>
      <c r="AC103" s="143"/>
      <c r="AD103" s="143"/>
      <c r="AE103" s="143"/>
      <c r="AF103" s="143"/>
      <c r="AG103" s="143"/>
      <c r="AH103" s="143"/>
      <c r="AI103" s="143"/>
      <c r="AJ103" s="143"/>
      <c r="AK103" s="143"/>
      <c r="AL103" s="143"/>
      <c r="AM103" s="143"/>
      <c r="AN103" s="143"/>
      <c r="AO103" s="143"/>
      <c r="AP103" s="329"/>
    </row>
    <row r="104" spans="2:45" ht="20" customHeight="1" outlineLevel="1">
      <c r="B104" s="119" t="s">
        <v>69</v>
      </c>
      <c r="C104" s="120">
        <v>109.4</v>
      </c>
      <c r="D104" s="120">
        <v>110</v>
      </c>
      <c r="E104" s="120">
        <v>110</v>
      </c>
      <c r="F104" s="120">
        <v>110.2</v>
      </c>
      <c r="G104" s="120">
        <v>110</v>
      </c>
      <c r="H104" s="120">
        <v>109.8</v>
      </c>
      <c r="I104" s="120">
        <v>110.6</v>
      </c>
      <c r="J104" s="120">
        <v>110.4</v>
      </c>
      <c r="K104" s="120">
        <v>110.2</v>
      </c>
      <c r="L104" s="120">
        <v>110.6</v>
      </c>
      <c r="M104" s="120">
        <v>110.2</v>
      </c>
      <c r="N104" s="120">
        <v>110.2</v>
      </c>
      <c r="O104" s="122">
        <f t="shared" si="25"/>
        <v>1321.6</v>
      </c>
      <c r="P104" s="140">
        <f>C104-Расчеты!C73</f>
        <v>3.4000000000000057</v>
      </c>
      <c r="Q104" s="138">
        <f>D104-Расчеты!D73</f>
        <v>4</v>
      </c>
      <c r="R104" s="138">
        <f>E104-Расчеты!E73</f>
        <v>4</v>
      </c>
      <c r="S104" s="138">
        <f>F104-Расчеты!F73</f>
        <v>4.2000000000000028</v>
      </c>
      <c r="T104" s="138">
        <f>G104-Расчеты!G73</f>
        <v>4</v>
      </c>
      <c r="U104" s="138">
        <f>H104-Расчеты!H73</f>
        <v>3.7999999999999972</v>
      </c>
      <c r="V104" s="138">
        <f>I104-Расчеты!I73</f>
        <v>4.5999999999999943</v>
      </c>
      <c r="W104" s="138">
        <f>J104-Расчеты!J73</f>
        <v>4.4000000000000057</v>
      </c>
      <c r="X104" s="138">
        <f>K104-Расчеты!K73</f>
        <v>4.2000000000000028</v>
      </c>
      <c r="Y104" s="138">
        <f>L104-Расчеты!L73</f>
        <v>4.5999999999999943</v>
      </c>
      <c r="Z104" s="138">
        <f>M104-Расчеты!M73</f>
        <v>4.2000000000000028</v>
      </c>
      <c r="AA104" s="138">
        <f>N104-Расчеты!N73</f>
        <v>4.2000000000000028</v>
      </c>
      <c r="AB104" s="141">
        <f t="shared" si="21"/>
        <v>49.600000000000009</v>
      </c>
      <c r="AC104" s="143"/>
      <c r="AD104" s="143"/>
      <c r="AE104" s="143"/>
      <c r="AF104" s="143"/>
      <c r="AG104" s="143"/>
      <c r="AH104" s="143"/>
      <c r="AI104" s="143"/>
      <c r="AJ104" s="143"/>
      <c r="AK104" s="143"/>
      <c r="AL104" s="143"/>
      <c r="AM104" s="143"/>
      <c r="AN104" s="143"/>
      <c r="AO104" s="143"/>
      <c r="AP104" s="329"/>
    </row>
    <row r="105" spans="2:45" ht="20" customHeight="1" thickBot="1">
      <c r="B105" s="125" t="s">
        <v>71</v>
      </c>
      <c r="C105" s="126">
        <v>57.4</v>
      </c>
      <c r="D105" s="126">
        <v>58</v>
      </c>
      <c r="E105" s="126">
        <v>58</v>
      </c>
      <c r="F105" s="126">
        <v>58.2</v>
      </c>
      <c r="G105" s="126">
        <v>58</v>
      </c>
      <c r="H105" s="126">
        <v>57.8</v>
      </c>
      <c r="I105" s="126">
        <v>58.6</v>
      </c>
      <c r="J105" s="126">
        <v>58.4</v>
      </c>
      <c r="K105" s="126">
        <v>58.2</v>
      </c>
      <c r="L105" s="126">
        <v>58.6</v>
      </c>
      <c r="M105" s="126">
        <v>58.2</v>
      </c>
      <c r="N105" s="126">
        <v>58.2</v>
      </c>
      <c r="O105" s="126">
        <f t="shared" si="25"/>
        <v>697.60000000000014</v>
      </c>
      <c r="P105" s="172">
        <f>C105-Расчеты!C74</f>
        <v>3.3999999999999986</v>
      </c>
      <c r="Q105" s="173">
        <f>D105-Расчеты!D74</f>
        <v>4</v>
      </c>
      <c r="R105" s="173">
        <f>E105-Расчеты!E74</f>
        <v>4</v>
      </c>
      <c r="S105" s="173">
        <f>F105-Расчеты!F74</f>
        <v>4.2000000000000028</v>
      </c>
      <c r="T105" s="173">
        <f>G105-Расчеты!G74</f>
        <v>4</v>
      </c>
      <c r="U105" s="173">
        <f>H105-Расчеты!H74</f>
        <v>3.7999999999999972</v>
      </c>
      <c r="V105" s="173">
        <f>I105-Расчеты!I74</f>
        <v>4.6000000000000014</v>
      </c>
      <c r="W105" s="173">
        <f>J105-Расчеты!J74</f>
        <v>4.3999999999999986</v>
      </c>
      <c r="X105" s="173">
        <f>K105-Расчеты!K74</f>
        <v>4.2000000000000028</v>
      </c>
      <c r="Y105" s="173">
        <f>L105-Расчеты!L74</f>
        <v>4.6000000000000014</v>
      </c>
      <c r="Z105" s="173">
        <f>M105-Расчеты!M74</f>
        <v>4.2000000000000028</v>
      </c>
      <c r="AA105" s="173">
        <f>N105-Расчеты!N74</f>
        <v>4.2000000000000028</v>
      </c>
      <c r="AB105" s="171">
        <f t="shared" si="21"/>
        <v>49.600000000000009</v>
      </c>
      <c r="AC105" s="143"/>
      <c r="AD105" s="143"/>
      <c r="AE105" s="143"/>
      <c r="AF105" s="143"/>
      <c r="AG105" s="143"/>
      <c r="AH105" s="143"/>
      <c r="AI105" s="143"/>
      <c r="AJ105" s="143"/>
      <c r="AK105" s="143"/>
      <c r="AL105" s="143"/>
      <c r="AM105" s="143"/>
      <c r="AN105" s="143"/>
      <c r="AO105" s="143"/>
      <c r="AP105" s="329"/>
    </row>
    <row r="106" spans="2:45" ht="20" customHeight="1">
      <c r="AP106" s="34"/>
    </row>
    <row r="107" spans="2:45" ht="20" customHeight="1">
      <c r="B107" s="174" t="s">
        <v>72</v>
      </c>
      <c r="C107" s="174"/>
      <c r="D107" s="174"/>
      <c r="E107" s="174"/>
      <c r="F107" s="174"/>
      <c r="G107" s="174"/>
      <c r="H107" s="174"/>
      <c r="I107" s="174"/>
      <c r="J107" s="174"/>
      <c r="K107" s="174" t="s">
        <v>47</v>
      </c>
      <c r="L107" s="174"/>
      <c r="M107" s="174"/>
      <c r="N107" s="174"/>
      <c r="O107" s="174"/>
      <c r="P107" s="326" t="s">
        <v>48</v>
      </c>
      <c r="Q107" s="326"/>
      <c r="R107" s="326"/>
      <c r="S107" s="326"/>
      <c r="T107" s="326"/>
      <c r="U107" s="326"/>
      <c r="V107" s="326"/>
      <c r="W107" s="326"/>
      <c r="X107" s="326"/>
      <c r="Y107" s="326"/>
      <c r="Z107" s="326"/>
      <c r="AA107" s="326"/>
      <c r="AB107" s="326"/>
      <c r="AC107" s="251"/>
      <c r="AD107" s="251"/>
      <c r="AE107" s="251"/>
      <c r="AF107" s="251"/>
      <c r="AG107" s="251"/>
      <c r="AH107" s="251"/>
      <c r="AI107" s="251"/>
      <c r="AJ107" s="251"/>
      <c r="AK107" s="251"/>
      <c r="AL107" s="251"/>
      <c r="AM107" s="251"/>
      <c r="AN107" s="251"/>
      <c r="AO107" s="251"/>
      <c r="AP107" s="35"/>
      <c r="AR107" s="13" t="s">
        <v>18</v>
      </c>
      <c r="AS107" s="1" t="str">
        <f>IF(AR107="Нет", " ", "Для выявления причин отклонений по данному показателю, проанализируйте его драйверы.")</f>
        <v xml:space="preserve"> </v>
      </c>
    </row>
    <row r="108" spans="2:45" ht="20" customHeight="1" thickBot="1">
      <c r="B108" s="113"/>
      <c r="C108" s="114" t="s">
        <v>186</v>
      </c>
      <c r="D108" s="114" t="s">
        <v>187</v>
      </c>
      <c r="E108" s="114" t="s">
        <v>188</v>
      </c>
      <c r="F108" s="114" t="s">
        <v>189</v>
      </c>
      <c r="G108" s="248">
        <v>46143</v>
      </c>
      <c r="H108" s="114" t="s">
        <v>190</v>
      </c>
      <c r="I108" s="114" t="s">
        <v>191</v>
      </c>
      <c r="J108" s="114" t="s">
        <v>192</v>
      </c>
      <c r="K108" s="114" t="s">
        <v>193</v>
      </c>
      <c r="L108" s="114" t="s">
        <v>194</v>
      </c>
      <c r="M108" s="114" t="s">
        <v>195</v>
      </c>
      <c r="N108" s="114" t="s">
        <v>196</v>
      </c>
      <c r="O108" s="115">
        <v>2026</v>
      </c>
      <c r="P108" s="114" t="s">
        <v>186</v>
      </c>
      <c r="Q108" s="114" t="s">
        <v>187</v>
      </c>
      <c r="R108" s="114" t="s">
        <v>188</v>
      </c>
      <c r="S108" s="114" t="s">
        <v>189</v>
      </c>
      <c r="T108" s="248">
        <v>46143</v>
      </c>
      <c r="U108" s="114" t="s">
        <v>190</v>
      </c>
      <c r="V108" s="114" t="s">
        <v>191</v>
      </c>
      <c r="W108" s="114" t="s">
        <v>192</v>
      </c>
      <c r="X108" s="114" t="s">
        <v>193</v>
      </c>
      <c r="Y108" s="114" t="s">
        <v>194</v>
      </c>
      <c r="Z108" s="114" t="s">
        <v>195</v>
      </c>
      <c r="AA108" s="114" t="s">
        <v>196</v>
      </c>
      <c r="AB108" s="116">
        <v>2026</v>
      </c>
      <c r="AC108" s="123"/>
      <c r="AD108" s="123"/>
      <c r="AE108" s="123"/>
      <c r="AF108" s="123"/>
      <c r="AG108" s="123"/>
      <c r="AH108" s="123"/>
      <c r="AI108" s="123"/>
      <c r="AJ108" s="123"/>
      <c r="AK108" s="123"/>
      <c r="AL108" s="123"/>
      <c r="AM108" s="123"/>
      <c r="AN108" s="123"/>
      <c r="AO108" s="123"/>
      <c r="AP108" s="34"/>
    </row>
    <row r="109" spans="2:45" ht="10.25" customHeight="1" thickBot="1">
      <c r="B109" s="123"/>
      <c r="C109" s="124"/>
      <c r="D109" s="124"/>
      <c r="E109" s="124"/>
      <c r="F109" s="124"/>
      <c r="G109" s="124"/>
      <c r="H109" s="124"/>
      <c r="I109" s="124"/>
      <c r="J109" s="124"/>
      <c r="K109" s="124"/>
      <c r="L109" s="124"/>
      <c r="M109" s="124"/>
      <c r="N109" s="124"/>
      <c r="O109" s="124"/>
      <c r="P109" s="124"/>
      <c r="Q109" s="124"/>
      <c r="R109" s="124"/>
      <c r="S109" s="124"/>
      <c r="T109" s="124"/>
      <c r="U109" s="124"/>
      <c r="V109" s="124"/>
      <c r="W109" s="124"/>
      <c r="X109" s="124"/>
      <c r="Y109" s="124"/>
      <c r="Z109" s="124"/>
      <c r="AA109" s="124"/>
      <c r="AB109" s="123"/>
      <c r="AC109" s="123"/>
      <c r="AD109" s="123"/>
      <c r="AE109" s="123"/>
      <c r="AF109" s="123"/>
      <c r="AG109" s="123"/>
      <c r="AH109" s="123"/>
      <c r="AI109" s="123"/>
      <c r="AJ109" s="123"/>
      <c r="AK109" s="123"/>
      <c r="AL109" s="123"/>
      <c r="AM109" s="123"/>
      <c r="AN109" s="123"/>
      <c r="AO109" s="123"/>
      <c r="AP109" s="34"/>
    </row>
    <row r="110" spans="2:45" ht="20" customHeight="1">
      <c r="B110" s="125" t="s">
        <v>21</v>
      </c>
      <c r="C110" s="126">
        <f t="shared" ref="C110:N110" si="26">SUM(C111:C115)</f>
        <v>380</v>
      </c>
      <c r="D110" s="126">
        <f t="shared" si="26"/>
        <v>380</v>
      </c>
      <c r="E110" s="126">
        <f t="shared" si="26"/>
        <v>380</v>
      </c>
      <c r="F110" s="126">
        <f t="shared" si="26"/>
        <v>380</v>
      </c>
      <c r="G110" s="126">
        <f t="shared" si="26"/>
        <v>380</v>
      </c>
      <c r="H110" s="126">
        <f t="shared" si="26"/>
        <v>380</v>
      </c>
      <c r="I110" s="126">
        <f t="shared" si="26"/>
        <v>380</v>
      </c>
      <c r="J110" s="126">
        <f t="shared" si="26"/>
        <v>380</v>
      </c>
      <c r="K110" s="126">
        <f t="shared" si="26"/>
        <v>380</v>
      </c>
      <c r="L110" s="126">
        <f t="shared" si="26"/>
        <v>380</v>
      </c>
      <c r="M110" s="126">
        <f t="shared" si="26"/>
        <v>380</v>
      </c>
      <c r="N110" s="126">
        <f t="shared" si="26"/>
        <v>380</v>
      </c>
      <c r="O110" s="126">
        <f>SUM(C110:N110)</f>
        <v>4560</v>
      </c>
      <c r="P110" s="162">
        <f>SUM(P111:P115)</f>
        <v>-124</v>
      </c>
      <c r="Q110" s="163">
        <f t="shared" ref="Q110:AA110" si="27">SUM(Q111:Q115)</f>
        <v>-124</v>
      </c>
      <c r="R110" s="163">
        <f t="shared" si="27"/>
        <v>-124</v>
      </c>
      <c r="S110" s="163">
        <f t="shared" si="27"/>
        <v>-124</v>
      </c>
      <c r="T110" s="163">
        <f t="shared" si="27"/>
        <v>-124</v>
      </c>
      <c r="U110" s="163">
        <f t="shared" si="27"/>
        <v>-124</v>
      </c>
      <c r="V110" s="163">
        <f t="shared" si="27"/>
        <v>-124</v>
      </c>
      <c r="W110" s="163">
        <f t="shared" si="27"/>
        <v>-124</v>
      </c>
      <c r="X110" s="163">
        <f t="shared" si="27"/>
        <v>-124</v>
      </c>
      <c r="Y110" s="163">
        <f t="shared" si="27"/>
        <v>-124</v>
      </c>
      <c r="Z110" s="163">
        <f t="shared" si="27"/>
        <v>-124</v>
      </c>
      <c r="AA110" s="163">
        <f t="shared" si="27"/>
        <v>-124</v>
      </c>
      <c r="AB110" s="164">
        <f>SUM(P110:AA110)</f>
        <v>-1488</v>
      </c>
      <c r="AC110" s="143"/>
      <c r="AD110" s="143"/>
      <c r="AE110" s="143"/>
      <c r="AF110" s="143"/>
      <c r="AG110" s="143"/>
      <c r="AH110" s="143"/>
      <c r="AI110" s="143"/>
      <c r="AJ110" s="143"/>
      <c r="AK110" s="143"/>
      <c r="AL110" s="143"/>
      <c r="AM110" s="143"/>
      <c r="AN110" s="143"/>
      <c r="AO110" s="143"/>
      <c r="AP110" s="36"/>
    </row>
    <row r="111" spans="2:45" ht="20" customHeight="1" outlineLevel="1">
      <c r="B111" s="117" t="s">
        <v>65</v>
      </c>
      <c r="C111" s="118">
        <v>100</v>
      </c>
      <c r="D111" s="118">
        <v>100</v>
      </c>
      <c r="E111" s="118">
        <v>100</v>
      </c>
      <c r="F111" s="118">
        <v>100</v>
      </c>
      <c r="G111" s="118">
        <v>100</v>
      </c>
      <c r="H111" s="118">
        <v>100</v>
      </c>
      <c r="I111" s="118">
        <v>100</v>
      </c>
      <c r="J111" s="118">
        <v>100</v>
      </c>
      <c r="K111" s="118">
        <v>100</v>
      </c>
      <c r="L111" s="118">
        <v>100</v>
      </c>
      <c r="M111" s="118">
        <v>100</v>
      </c>
      <c r="N111" s="118">
        <v>100</v>
      </c>
      <c r="O111" s="66">
        <f>SUM(C111:N111)</f>
        <v>1200</v>
      </c>
      <c r="P111" s="145">
        <f>C111-Расчеты!C64</f>
        <v>-32</v>
      </c>
      <c r="Q111" s="131">
        <f>D111-Расчеты!D64</f>
        <v>-32</v>
      </c>
      <c r="R111" s="131">
        <f>E111-Расчеты!E64</f>
        <v>-32</v>
      </c>
      <c r="S111" s="131">
        <f>F111-Расчеты!F64</f>
        <v>-32</v>
      </c>
      <c r="T111" s="131">
        <f>G111-Расчеты!G64</f>
        <v>-32</v>
      </c>
      <c r="U111" s="131">
        <f>H111-Расчеты!H64</f>
        <v>-32</v>
      </c>
      <c r="V111" s="131">
        <f>I111-Расчеты!I64</f>
        <v>-32</v>
      </c>
      <c r="W111" s="131">
        <f>J111-Расчеты!J64</f>
        <v>-32</v>
      </c>
      <c r="X111" s="131">
        <f>K111-Расчеты!K64</f>
        <v>-32</v>
      </c>
      <c r="Y111" s="131">
        <f>L111-Расчеты!L64</f>
        <v>-32</v>
      </c>
      <c r="Z111" s="131">
        <f>M111-Расчеты!M64</f>
        <v>-32</v>
      </c>
      <c r="AA111" s="131">
        <f>N111-Расчеты!N64</f>
        <v>-32</v>
      </c>
      <c r="AB111" s="146">
        <f t="shared" ref="AB111:AB121" si="28">SUM(P111:AA111)</f>
        <v>-384</v>
      </c>
      <c r="AC111" s="143"/>
      <c r="AD111" s="143"/>
      <c r="AE111" s="143"/>
      <c r="AF111" s="143"/>
      <c r="AG111" s="143"/>
      <c r="AH111" s="143"/>
      <c r="AI111" s="143"/>
      <c r="AJ111" s="143"/>
      <c r="AK111" s="143"/>
      <c r="AL111" s="143"/>
      <c r="AM111" s="143"/>
      <c r="AN111" s="143"/>
      <c r="AO111" s="143"/>
      <c r="AP111" s="34"/>
    </row>
    <row r="112" spans="2:45" ht="20" customHeight="1" outlineLevel="1">
      <c r="B112" s="147" t="s">
        <v>66</v>
      </c>
      <c r="C112" s="86">
        <v>60</v>
      </c>
      <c r="D112" s="86">
        <v>60</v>
      </c>
      <c r="E112" s="86">
        <v>60</v>
      </c>
      <c r="F112" s="86">
        <v>60</v>
      </c>
      <c r="G112" s="86">
        <v>60</v>
      </c>
      <c r="H112" s="86">
        <v>60</v>
      </c>
      <c r="I112" s="86">
        <v>60</v>
      </c>
      <c r="J112" s="86">
        <v>60</v>
      </c>
      <c r="K112" s="86">
        <v>60</v>
      </c>
      <c r="L112" s="86">
        <v>60</v>
      </c>
      <c r="M112" s="86">
        <v>60</v>
      </c>
      <c r="N112" s="86">
        <v>60</v>
      </c>
      <c r="O112" s="77">
        <f>SUM(C112:N112)</f>
        <v>720</v>
      </c>
      <c r="P112" s="88">
        <f>C112-Расчеты!C65</f>
        <v>-20</v>
      </c>
      <c r="Q112" s="133">
        <f>D112-Расчеты!D65</f>
        <v>-20</v>
      </c>
      <c r="R112" s="133">
        <f>E112-Расчеты!E65</f>
        <v>-20</v>
      </c>
      <c r="S112" s="133">
        <f>F112-Расчеты!F65</f>
        <v>-20</v>
      </c>
      <c r="T112" s="133">
        <f>G112-Расчеты!G65</f>
        <v>-20</v>
      </c>
      <c r="U112" s="133">
        <f>H112-Расчеты!H65</f>
        <v>-20</v>
      </c>
      <c r="V112" s="133">
        <f>I112-Расчеты!I65</f>
        <v>-20</v>
      </c>
      <c r="W112" s="133">
        <f>J112-Расчеты!J65</f>
        <v>-20</v>
      </c>
      <c r="X112" s="133">
        <f>K112-Расчеты!K65</f>
        <v>-20</v>
      </c>
      <c r="Y112" s="133">
        <f>L112-Расчеты!L65</f>
        <v>-20</v>
      </c>
      <c r="Z112" s="133">
        <f>M112-Расчеты!M65</f>
        <v>-20</v>
      </c>
      <c r="AA112" s="133">
        <f>N112-Расчеты!N65</f>
        <v>-20</v>
      </c>
      <c r="AB112" s="134">
        <f t="shared" si="28"/>
        <v>-240</v>
      </c>
      <c r="AC112" s="143"/>
      <c r="AD112" s="143"/>
      <c r="AE112" s="143"/>
      <c r="AF112" s="143"/>
      <c r="AG112" s="143"/>
      <c r="AH112" s="143"/>
      <c r="AI112" s="143"/>
      <c r="AJ112" s="143"/>
      <c r="AK112" s="143"/>
      <c r="AL112" s="143"/>
      <c r="AM112" s="143"/>
      <c r="AN112" s="143"/>
      <c r="AO112" s="143"/>
      <c r="AP112" s="34"/>
    </row>
    <row r="113" spans="2:44" ht="20" customHeight="1" outlineLevel="1">
      <c r="B113" s="147" t="s">
        <v>67</v>
      </c>
      <c r="C113" s="86">
        <v>60</v>
      </c>
      <c r="D113" s="86">
        <v>60</v>
      </c>
      <c r="E113" s="86">
        <v>60</v>
      </c>
      <c r="F113" s="86">
        <v>60</v>
      </c>
      <c r="G113" s="86">
        <v>60</v>
      </c>
      <c r="H113" s="86">
        <v>60</v>
      </c>
      <c r="I113" s="86">
        <v>60</v>
      </c>
      <c r="J113" s="86">
        <v>60</v>
      </c>
      <c r="K113" s="86">
        <v>60</v>
      </c>
      <c r="L113" s="86">
        <v>60</v>
      </c>
      <c r="M113" s="86">
        <v>60</v>
      </c>
      <c r="N113" s="86">
        <v>60</v>
      </c>
      <c r="O113" s="77">
        <f t="shared" ref="O113:O115" si="29">SUM(C113:N113)</f>
        <v>720</v>
      </c>
      <c r="P113" s="88">
        <f>C113-Расчеты!C66</f>
        <v>-20</v>
      </c>
      <c r="Q113" s="133">
        <f>D113-Расчеты!D66</f>
        <v>-20</v>
      </c>
      <c r="R113" s="133">
        <f>E113-Расчеты!E66</f>
        <v>-20</v>
      </c>
      <c r="S113" s="133">
        <f>F113-Расчеты!F66</f>
        <v>-20</v>
      </c>
      <c r="T113" s="133">
        <f>G113-Расчеты!G66</f>
        <v>-20</v>
      </c>
      <c r="U113" s="133">
        <f>H113-Расчеты!H66</f>
        <v>-20</v>
      </c>
      <c r="V113" s="133">
        <f>I113-Расчеты!I66</f>
        <v>-20</v>
      </c>
      <c r="W113" s="133">
        <f>J113-Расчеты!J66</f>
        <v>-20</v>
      </c>
      <c r="X113" s="133">
        <f>K113-Расчеты!K66</f>
        <v>-20</v>
      </c>
      <c r="Y113" s="133">
        <f>L113-Расчеты!L66</f>
        <v>-20</v>
      </c>
      <c r="Z113" s="133">
        <f>M113-Расчеты!M66</f>
        <v>-20</v>
      </c>
      <c r="AA113" s="133">
        <f>N113-Расчеты!N66</f>
        <v>-20</v>
      </c>
      <c r="AB113" s="134">
        <f t="shared" si="28"/>
        <v>-240</v>
      </c>
      <c r="AC113" s="143"/>
      <c r="AD113" s="143"/>
      <c r="AE113" s="143"/>
      <c r="AF113" s="143"/>
      <c r="AG113" s="143"/>
      <c r="AH113" s="143"/>
      <c r="AI113" s="143"/>
      <c r="AJ113" s="143"/>
      <c r="AK113" s="143"/>
      <c r="AL113" s="143"/>
      <c r="AM113" s="143"/>
      <c r="AN113" s="143"/>
      <c r="AO113" s="143"/>
      <c r="AP113" s="34"/>
    </row>
    <row r="114" spans="2:44" ht="20" customHeight="1" outlineLevel="1">
      <c r="B114" s="147" t="s">
        <v>68</v>
      </c>
      <c r="C114" s="86">
        <v>80</v>
      </c>
      <c r="D114" s="86">
        <v>80</v>
      </c>
      <c r="E114" s="86">
        <v>80</v>
      </c>
      <c r="F114" s="86">
        <v>80</v>
      </c>
      <c r="G114" s="86">
        <v>80</v>
      </c>
      <c r="H114" s="86">
        <v>80</v>
      </c>
      <c r="I114" s="86">
        <v>80</v>
      </c>
      <c r="J114" s="86">
        <v>80</v>
      </c>
      <c r="K114" s="86">
        <v>80</v>
      </c>
      <c r="L114" s="86">
        <v>80</v>
      </c>
      <c r="M114" s="86">
        <v>80</v>
      </c>
      <c r="N114" s="86">
        <v>80</v>
      </c>
      <c r="O114" s="77">
        <f t="shared" si="29"/>
        <v>960</v>
      </c>
      <c r="P114" s="88">
        <f>C114-Расчеты!C67</f>
        <v>-26</v>
      </c>
      <c r="Q114" s="133">
        <f>D114-Расчеты!D67</f>
        <v>-26</v>
      </c>
      <c r="R114" s="133">
        <f>E114-Расчеты!E67</f>
        <v>-26</v>
      </c>
      <c r="S114" s="133">
        <f>F114-Расчеты!F67</f>
        <v>-26</v>
      </c>
      <c r="T114" s="133">
        <f>G114-Расчеты!G67</f>
        <v>-26</v>
      </c>
      <c r="U114" s="133">
        <f>H114-Расчеты!H67</f>
        <v>-26</v>
      </c>
      <c r="V114" s="133">
        <f>I114-Расчеты!I67</f>
        <v>-26</v>
      </c>
      <c r="W114" s="133">
        <f>J114-Расчеты!J67</f>
        <v>-26</v>
      </c>
      <c r="X114" s="133">
        <f>K114-Расчеты!K67</f>
        <v>-26</v>
      </c>
      <c r="Y114" s="133">
        <f>L114-Расчеты!L67</f>
        <v>-26</v>
      </c>
      <c r="Z114" s="133">
        <f>M114-Расчеты!M67</f>
        <v>-26</v>
      </c>
      <c r="AA114" s="133">
        <f>N114-Расчеты!N67</f>
        <v>-26</v>
      </c>
      <c r="AB114" s="134">
        <f t="shared" si="28"/>
        <v>-312</v>
      </c>
      <c r="AC114" s="143"/>
      <c r="AD114" s="143"/>
      <c r="AE114" s="143"/>
      <c r="AF114" s="143"/>
      <c r="AG114" s="143"/>
      <c r="AH114" s="143"/>
      <c r="AI114" s="143"/>
      <c r="AJ114" s="143"/>
      <c r="AK114" s="143"/>
      <c r="AL114" s="143"/>
      <c r="AM114" s="143"/>
      <c r="AN114" s="143"/>
      <c r="AO114" s="143"/>
      <c r="AP114" s="34"/>
    </row>
    <row r="115" spans="2:44" ht="20" customHeight="1" outlineLevel="1">
      <c r="B115" s="119" t="s">
        <v>69</v>
      </c>
      <c r="C115" s="120">
        <v>80</v>
      </c>
      <c r="D115" s="120">
        <v>80</v>
      </c>
      <c r="E115" s="120">
        <v>80</v>
      </c>
      <c r="F115" s="120">
        <v>80</v>
      </c>
      <c r="G115" s="120">
        <v>80</v>
      </c>
      <c r="H115" s="120">
        <v>80</v>
      </c>
      <c r="I115" s="120">
        <v>80</v>
      </c>
      <c r="J115" s="120">
        <v>80</v>
      </c>
      <c r="K115" s="120">
        <v>80</v>
      </c>
      <c r="L115" s="120">
        <v>80</v>
      </c>
      <c r="M115" s="120">
        <v>80</v>
      </c>
      <c r="N115" s="120">
        <v>80</v>
      </c>
      <c r="O115" s="122">
        <f t="shared" si="29"/>
        <v>960</v>
      </c>
      <c r="P115" s="140">
        <f>C115-Расчеты!C68</f>
        <v>-26</v>
      </c>
      <c r="Q115" s="138">
        <f>D115-Расчеты!D68</f>
        <v>-26</v>
      </c>
      <c r="R115" s="138">
        <f>E115-Расчеты!E68</f>
        <v>-26</v>
      </c>
      <c r="S115" s="138">
        <f>F115-Расчеты!F68</f>
        <v>-26</v>
      </c>
      <c r="T115" s="138">
        <f>G115-Расчеты!G68</f>
        <v>-26</v>
      </c>
      <c r="U115" s="138">
        <f>H115-Расчеты!H68</f>
        <v>-26</v>
      </c>
      <c r="V115" s="138">
        <f>I115-Расчеты!I68</f>
        <v>-26</v>
      </c>
      <c r="W115" s="138">
        <f>J115-Расчеты!J68</f>
        <v>-26</v>
      </c>
      <c r="X115" s="138">
        <f>K115-Расчеты!K68</f>
        <v>-26</v>
      </c>
      <c r="Y115" s="138">
        <f>L115-Расчеты!L68</f>
        <v>-26</v>
      </c>
      <c r="Z115" s="138">
        <f>M115-Расчеты!M68</f>
        <v>-26</v>
      </c>
      <c r="AA115" s="138">
        <f>N115-Расчеты!N68</f>
        <v>-26</v>
      </c>
      <c r="AB115" s="141">
        <f t="shared" si="28"/>
        <v>-312</v>
      </c>
      <c r="AC115" s="143"/>
      <c r="AD115" s="143"/>
      <c r="AE115" s="143"/>
      <c r="AF115" s="143"/>
      <c r="AG115" s="143"/>
      <c r="AH115" s="143"/>
      <c r="AI115" s="143"/>
      <c r="AJ115" s="143"/>
      <c r="AK115" s="143"/>
      <c r="AL115" s="143"/>
      <c r="AM115" s="143"/>
      <c r="AN115" s="143"/>
      <c r="AO115" s="143"/>
      <c r="AP115" s="34"/>
    </row>
    <row r="116" spans="2:44" ht="20" customHeight="1">
      <c r="B116" s="125" t="s">
        <v>22</v>
      </c>
      <c r="C116" s="126">
        <f>SUM(C117:C120)</f>
        <v>350</v>
      </c>
      <c r="D116" s="126">
        <f t="shared" ref="D116:N116" si="30">SUM(D117:D120)</f>
        <v>450</v>
      </c>
      <c r="E116" s="126">
        <f t="shared" si="30"/>
        <v>550</v>
      </c>
      <c r="F116" s="126">
        <f t="shared" si="30"/>
        <v>650</v>
      </c>
      <c r="G116" s="126">
        <f t="shared" si="30"/>
        <v>650</v>
      </c>
      <c r="H116" s="126">
        <f t="shared" si="30"/>
        <v>750</v>
      </c>
      <c r="I116" s="126">
        <f t="shared" si="30"/>
        <v>850</v>
      </c>
      <c r="J116" s="126">
        <f t="shared" si="30"/>
        <v>950</v>
      </c>
      <c r="K116" s="126">
        <f t="shared" si="30"/>
        <v>1050</v>
      </c>
      <c r="L116" s="126">
        <f t="shared" si="30"/>
        <v>1150</v>
      </c>
      <c r="M116" s="126">
        <f t="shared" si="30"/>
        <v>1150</v>
      </c>
      <c r="N116" s="126">
        <f t="shared" si="30"/>
        <v>1250</v>
      </c>
      <c r="O116" s="126">
        <f>SUM(C116:N116)</f>
        <v>9800</v>
      </c>
      <c r="P116" s="142">
        <f>SUM(P117:P120)</f>
        <v>-113</v>
      </c>
      <c r="Q116" s="143">
        <f t="shared" ref="Q116:AA116" si="31">SUM(Q117:Q120)</f>
        <v>-145</v>
      </c>
      <c r="R116" s="143">
        <f t="shared" si="31"/>
        <v>-45</v>
      </c>
      <c r="S116" s="143">
        <f t="shared" si="31"/>
        <v>-77</v>
      </c>
      <c r="T116" s="143">
        <f t="shared" si="31"/>
        <v>-209</v>
      </c>
      <c r="U116" s="143">
        <f t="shared" si="31"/>
        <v>-241</v>
      </c>
      <c r="V116" s="143">
        <f t="shared" si="31"/>
        <v>-141</v>
      </c>
      <c r="W116" s="143">
        <f t="shared" si="31"/>
        <v>-173</v>
      </c>
      <c r="X116" s="143">
        <f t="shared" si="31"/>
        <v>-205</v>
      </c>
      <c r="Y116" s="143">
        <f t="shared" si="31"/>
        <v>-237</v>
      </c>
      <c r="Z116" s="143">
        <f t="shared" si="31"/>
        <v>-237</v>
      </c>
      <c r="AA116" s="143">
        <f t="shared" si="31"/>
        <v>-269</v>
      </c>
      <c r="AB116" s="144">
        <f t="shared" si="28"/>
        <v>-2092</v>
      </c>
      <c r="AC116" s="143"/>
      <c r="AD116" s="143"/>
      <c r="AE116" s="143"/>
      <c r="AF116" s="143"/>
      <c r="AG116" s="143"/>
      <c r="AH116" s="143"/>
      <c r="AI116" s="143"/>
      <c r="AJ116" s="143"/>
      <c r="AK116" s="143"/>
      <c r="AL116" s="143"/>
      <c r="AM116" s="143"/>
      <c r="AN116" s="143"/>
      <c r="AO116" s="143"/>
      <c r="AP116" s="34"/>
    </row>
    <row r="117" spans="2:44" ht="20" customHeight="1" outlineLevel="1">
      <c r="B117" s="117" t="s">
        <v>65</v>
      </c>
      <c r="C117" s="118">
        <v>100</v>
      </c>
      <c r="D117" s="118">
        <v>100</v>
      </c>
      <c r="E117" s="118">
        <v>100</v>
      </c>
      <c r="F117" s="118">
        <v>100</v>
      </c>
      <c r="G117" s="118">
        <v>100</v>
      </c>
      <c r="H117" s="118">
        <v>100</v>
      </c>
      <c r="I117" s="118">
        <v>100</v>
      </c>
      <c r="J117" s="118">
        <v>100</v>
      </c>
      <c r="K117" s="118">
        <v>100</v>
      </c>
      <c r="L117" s="118">
        <v>100</v>
      </c>
      <c r="M117" s="118">
        <v>100</v>
      </c>
      <c r="N117" s="118">
        <v>100</v>
      </c>
      <c r="O117" s="66">
        <f t="shared" ref="O117:O121" si="32">SUM(C117:N117)</f>
        <v>1200</v>
      </c>
      <c r="P117" s="145">
        <f>C117-Расчеты!C70</f>
        <v>-32</v>
      </c>
      <c r="Q117" s="131">
        <f>D117-Расчеты!D70</f>
        <v>-32</v>
      </c>
      <c r="R117" s="131">
        <f>E117-Расчеты!E70</f>
        <v>-32</v>
      </c>
      <c r="S117" s="131">
        <f>F117-Расчеты!F70</f>
        <v>-32</v>
      </c>
      <c r="T117" s="131">
        <f>G117-Расчеты!G70</f>
        <v>-32</v>
      </c>
      <c r="U117" s="131">
        <f>H117-Расчеты!H70</f>
        <v>-32</v>
      </c>
      <c r="V117" s="131">
        <f>I117-Расчеты!I70</f>
        <v>-32</v>
      </c>
      <c r="W117" s="131">
        <f>J117-Расчеты!J70</f>
        <v>-32</v>
      </c>
      <c r="X117" s="131">
        <f>K117-Расчеты!K70</f>
        <v>-32</v>
      </c>
      <c r="Y117" s="131">
        <f>L117-Расчеты!L70</f>
        <v>-32</v>
      </c>
      <c r="Z117" s="131">
        <f>M117-Расчеты!M70</f>
        <v>-32</v>
      </c>
      <c r="AA117" s="131">
        <f>N117-Расчеты!N70</f>
        <v>-32</v>
      </c>
      <c r="AB117" s="146">
        <f t="shared" si="28"/>
        <v>-384</v>
      </c>
      <c r="AC117" s="143"/>
      <c r="AD117" s="143"/>
      <c r="AE117" s="143"/>
      <c r="AF117" s="143"/>
      <c r="AG117" s="143"/>
      <c r="AH117" s="143"/>
      <c r="AI117" s="143"/>
      <c r="AJ117" s="143"/>
      <c r="AK117" s="143"/>
      <c r="AL117" s="143"/>
      <c r="AM117" s="143"/>
      <c r="AN117" s="143"/>
      <c r="AO117" s="143"/>
      <c r="AP117" s="34"/>
    </row>
    <row r="118" spans="2:44" ht="20" customHeight="1" outlineLevel="1">
      <c r="B118" s="147" t="s">
        <v>70</v>
      </c>
      <c r="C118" s="86">
        <v>100</v>
      </c>
      <c r="D118" s="86">
        <v>200</v>
      </c>
      <c r="E118" s="86">
        <v>300</v>
      </c>
      <c r="F118" s="86">
        <v>400</v>
      </c>
      <c r="G118" s="86">
        <v>400</v>
      </c>
      <c r="H118" s="86">
        <v>500</v>
      </c>
      <c r="I118" s="86">
        <v>600</v>
      </c>
      <c r="J118" s="86">
        <v>700</v>
      </c>
      <c r="K118" s="86">
        <v>800</v>
      </c>
      <c r="L118" s="86">
        <v>900</v>
      </c>
      <c r="M118" s="86">
        <v>900</v>
      </c>
      <c r="N118" s="86">
        <v>1000</v>
      </c>
      <c r="O118" s="77">
        <f t="shared" si="32"/>
        <v>6800</v>
      </c>
      <c r="P118" s="88">
        <f>C118-Расчеты!C71</f>
        <v>-32</v>
      </c>
      <c r="Q118" s="133">
        <f>D118-Расчеты!D71</f>
        <v>-64</v>
      </c>
      <c r="R118" s="133">
        <f>E118-Расчеты!E71</f>
        <v>36</v>
      </c>
      <c r="S118" s="133">
        <f>F118-Расчеты!F71</f>
        <v>4</v>
      </c>
      <c r="T118" s="133">
        <f>G118-Расчеты!G71</f>
        <v>-128</v>
      </c>
      <c r="U118" s="133">
        <f>H118-Расчеты!H71</f>
        <v>-160</v>
      </c>
      <c r="V118" s="133">
        <f>I118-Расчеты!I71</f>
        <v>-60</v>
      </c>
      <c r="W118" s="133">
        <f>J118-Расчеты!J71</f>
        <v>-92</v>
      </c>
      <c r="X118" s="133">
        <f>K118-Расчеты!K71</f>
        <v>-124</v>
      </c>
      <c r="Y118" s="133">
        <f>L118-Расчеты!L71</f>
        <v>-156</v>
      </c>
      <c r="Z118" s="133">
        <f>M118-Расчеты!M71</f>
        <v>-156</v>
      </c>
      <c r="AA118" s="133">
        <f>N118-Расчеты!N71</f>
        <v>-188</v>
      </c>
      <c r="AB118" s="134">
        <f t="shared" si="28"/>
        <v>-1120</v>
      </c>
      <c r="AC118" s="143"/>
      <c r="AD118" s="143"/>
      <c r="AE118" s="143"/>
      <c r="AF118" s="143"/>
      <c r="AG118" s="143"/>
      <c r="AH118" s="143"/>
      <c r="AI118" s="143"/>
      <c r="AJ118" s="143"/>
      <c r="AK118" s="143"/>
      <c r="AL118" s="143"/>
      <c r="AM118" s="143"/>
      <c r="AN118" s="143"/>
      <c r="AO118" s="143"/>
      <c r="AP118" s="34"/>
    </row>
    <row r="119" spans="2:44" ht="20" customHeight="1" outlineLevel="1">
      <c r="B119" s="147" t="s">
        <v>67</v>
      </c>
      <c r="C119" s="86">
        <v>70</v>
      </c>
      <c r="D119" s="86">
        <v>70</v>
      </c>
      <c r="E119" s="86">
        <v>70</v>
      </c>
      <c r="F119" s="86">
        <v>70</v>
      </c>
      <c r="G119" s="86">
        <v>70</v>
      </c>
      <c r="H119" s="86">
        <v>70</v>
      </c>
      <c r="I119" s="86">
        <v>70</v>
      </c>
      <c r="J119" s="86">
        <v>70</v>
      </c>
      <c r="K119" s="86">
        <v>70</v>
      </c>
      <c r="L119" s="86">
        <v>70</v>
      </c>
      <c r="M119" s="86">
        <v>70</v>
      </c>
      <c r="N119" s="86">
        <v>70</v>
      </c>
      <c r="O119" s="77">
        <f t="shared" si="32"/>
        <v>840</v>
      </c>
      <c r="P119" s="88">
        <f>C119-Расчеты!C72</f>
        <v>-23</v>
      </c>
      <c r="Q119" s="133">
        <f>D119-Расчеты!D72</f>
        <v>-23</v>
      </c>
      <c r="R119" s="133">
        <f>E119-Расчеты!E72</f>
        <v>-23</v>
      </c>
      <c r="S119" s="133">
        <f>F119-Расчеты!F72</f>
        <v>-23</v>
      </c>
      <c r="T119" s="133">
        <f>G119-Расчеты!G72</f>
        <v>-23</v>
      </c>
      <c r="U119" s="133">
        <f>H119-Расчеты!H72</f>
        <v>-23</v>
      </c>
      <c r="V119" s="133">
        <f>I119-Расчеты!I72</f>
        <v>-23</v>
      </c>
      <c r="W119" s="133">
        <f>J119-Расчеты!J72</f>
        <v>-23</v>
      </c>
      <c r="X119" s="133">
        <f>K119-Расчеты!K72</f>
        <v>-23</v>
      </c>
      <c r="Y119" s="133">
        <f>L119-Расчеты!L72</f>
        <v>-23</v>
      </c>
      <c r="Z119" s="133">
        <f>M119-Расчеты!M72</f>
        <v>-23</v>
      </c>
      <c r="AA119" s="133">
        <f>N119-Расчеты!N72</f>
        <v>-23</v>
      </c>
      <c r="AB119" s="134">
        <f t="shared" si="28"/>
        <v>-276</v>
      </c>
      <c r="AC119" s="143"/>
      <c r="AD119" s="143"/>
      <c r="AE119" s="143"/>
      <c r="AF119" s="143"/>
      <c r="AG119" s="143"/>
      <c r="AH119" s="143"/>
      <c r="AI119" s="143"/>
      <c r="AJ119" s="143"/>
      <c r="AK119" s="143"/>
      <c r="AL119" s="143"/>
      <c r="AM119" s="143"/>
      <c r="AN119" s="143"/>
      <c r="AO119" s="143"/>
      <c r="AP119" s="34"/>
    </row>
    <row r="120" spans="2:44" ht="20" customHeight="1" outlineLevel="1">
      <c r="B120" s="119" t="s">
        <v>69</v>
      </c>
      <c r="C120" s="120">
        <v>80</v>
      </c>
      <c r="D120" s="120">
        <v>80</v>
      </c>
      <c r="E120" s="120">
        <v>80</v>
      </c>
      <c r="F120" s="120">
        <v>80</v>
      </c>
      <c r="G120" s="120">
        <v>80</v>
      </c>
      <c r="H120" s="120">
        <v>80</v>
      </c>
      <c r="I120" s="120">
        <v>80</v>
      </c>
      <c r="J120" s="120">
        <v>80</v>
      </c>
      <c r="K120" s="120">
        <v>80</v>
      </c>
      <c r="L120" s="120">
        <v>80</v>
      </c>
      <c r="M120" s="120">
        <v>80</v>
      </c>
      <c r="N120" s="120">
        <v>80</v>
      </c>
      <c r="O120" s="122">
        <f t="shared" si="32"/>
        <v>960</v>
      </c>
      <c r="P120" s="140">
        <f>C120-Расчеты!C73</f>
        <v>-26</v>
      </c>
      <c r="Q120" s="138">
        <f>D120-Расчеты!D73</f>
        <v>-26</v>
      </c>
      <c r="R120" s="138">
        <f>E120-Расчеты!E73</f>
        <v>-26</v>
      </c>
      <c r="S120" s="138">
        <f>F120-Расчеты!F73</f>
        <v>-26</v>
      </c>
      <c r="T120" s="138">
        <f>G120-Расчеты!G73</f>
        <v>-26</v>
      </c>
      <c r="U120" s="138">
        <f>H120-Расчеты!H73</f>
        <v>-26</v>
      </c>
      <c r="V120" s="138">
        <f>I120-Расчеты!I73</f>
        <v>-26</v>
      </c>
      <c r="W120" s="138">
        <f>J120-Расчеты!J73</f>
        <v>-26</v>
      </c>
      <c r="X120" s="138">
        <f>K120-Расчеты!K73</f>
        <v>-26</v>
      </c>
      <c r="Y120" s="138">
        <f>L120-Расчеты!L73</f>
        <v>-26</v>
      </c>
      <c r="Z120" s="138">
        <f>M120-Расчеты!M73</f>
        <v>-26</v>
      </c>
      <c r="AA120" s="138">
        <f>N120-Расчеты!N73</f>
        <v>-26</v>
      </c>
      <c r="AB120" s="141">
        <f t="shared" si="28"/>
        <v>-312</v>
      </c>
      <c r="AC120" s="143"/>
      <c r="AD120" s="143"/>
      <c r="AE120" s="143"/>
      <c r="AF120" s="143"/>
      <c r="AG120" s="143"/>
      <c r="AH120" s="143"/>
      <c r="AI120" s="143"/>
      <c r="AJ120" s="143"/>
      <c r="AK120" s="143"/>
      <c r="AL120" s="143"/>
      <c r="AM120" s="143"/>
      <c r="AN120" s="143"/>
      <c r="AO120" s="143"/>
      <c r="AP120" s="34"/>
    </row>
    <row r="121" spans="2:44" ht="20" customHeight="1" thickBot="1">
      <c r="B121" s="125" t="s">
        <v>71</v>
      </c>
      <c r="C121" s="126">
        <v>40</v>
      </c>
      <c r="D121" s="126">
        <v>40</v>
      </c>
      <c r="E121" s="126">
        <v>40</v>
      </c>
      <c r="F121" s="126">
        <v>40</v>
      </c>
      <c r="G121" s="126">
        <v>40</v>
      </c>
      <c r="H121" s="126">
        <v>40</v>
      </c>
      <c r="I121" s="126">
        <v>40</v>
      </c>
      <c r="J121" s="126">
        <v>40</v>
      </c>
      <c r="K121" s="126">
        <v>40</v>
      </c>
      <c r="L121" s="126">
        <v>40</v>
      </c>
      <c r="M121" s="126">
        <v>40</v>
      </c>
      <c r="N121" s="126">
        <v>40</v>
      </c>
      <c r="O121" s="126">
        <f t="shared" si="32"/>
        <v>480</v>
      </c>
      <c r="P121" s="172">
        <f>C121-Расчеты!C74</f>
        <v>-14</v>
      </c>
      <c r="Q121" s="173">
        <f>D121-Расчеты!D74</f>
        <v>-14</v>
      </c>
      <c r="R121" s="173">
        <f>E121-Расчеты!E74</f>
        <v>-14</v>
      </c>
      <c r="S121" s="173">
        <f>F121-Расчеты!F74</f>
        <v>-14</v>
      </c>
      <c r="T121" s="173">
        <f>G121-Расчеты!G74</f>
        <v>-14</v>
      </c>
      <c r="U121" s="173">
        <f>H121-Расчеты!H74</f>
        <v>-14</v>
      </c>
      <c r="V121" s="173">
        <f>I121-Расчеты!I74</f>
        <v>-14</v>
      </c>
      <c r="W121" s="173">
        <f>J121-Расчеты!J74</f>
        <v>-14</v>
      </c>
      <c r="X121" s="173">
        <f>K121-Расчеты!K74</f>
        <v>-14</v>
      </c>
      <c r="Y121" s="173">
        <f>L121-Расчеты!L74</f>
        <v>-14</v>
      </c>
      <c r="Z121" s="173">
        <f>M121-Расчеты!M74</f>
        <v>-14</v>
      </c>
      <c r="AA121" s="173">
        <f>N121-Расчеты!N74</f>
        <v>-14</v>
      </c>
      <c r="AB121" s="171">
        <f t="shared" si="28"/>
        <v>-168</v>
      </c>
      <c r="AC121" s="143"/>
      <c r="AD121" s="143"/>
      <c r="AE121" s="143"/>
      <c r="AF121" s="143"/>
      <c r="AG121" s="143"/>
      <c r="AH121" s="143"/>
      <c r="AI121" s="143"/>
      <c r="AJ121" s="143"/>
      <c r="AK121" s="143"/>
      <c r="AL121" s="143"/>
      <c r="AM121" s="143"/>
      <c r="AN121" s="143"/>
      <c r="AO121" s="143"/>
      <c r="AP121" s="34"/>
    </row>
    <row r="122" spans="2:44" ht="20" customHeight="1">
      <c r="AP122" s="34"/>
    </row>
    <row r="123" spans="2:44" ht="20" customHeight="1">
      <c r="B123" s="174" t="s">
        <v>73</v>
      </c>
      <c r="C123" s="174"/>
      <c r="D123" s="174"/>
      <c r="E123" s="174"/>
      <c r="F123" s="174"/>
      <c r="G123" s="174"/>
      <c r="H123" s="174"/>
      <c r="I123" s="174" t="s">
        <v>47</v>
      </c>
      <c r="J123" s="174"/>
      <c r="K123" s="174"/>
      <c r="L123" s="174"/>
      <c r="M123" s="174"/>
      <c r="N123" s="174"/>
      <c r="O123" s="174"/>
      <c r="P123" s="326" t="s">
        <v>48</v>
      </c>
      <c r="Q123" s="326"/>
      <c r="R123" s="326"/>
      <c r="S123" s="326"/>
      <c r="T123" s="326"/>
      <c r="U123" s="326"/>
      <c r="V123" s="326"/>
      <c r="W123" s="326"/>
      <c r="X123" s="326"/>
      <c r="Y123" s="326"/>
      <c r="Z123" s="326"/>
      <c r="AA123" s="326"/>
      <c r="AB123" s="326"/>
      <c r="AC123" s="251"/>
      <c r="AD123" s="251"/>
      <c r="AE123" s="251"/>
      <c r="AF123" s="251"/>
      <c r="AG123" s="251"/>
      <c r="AH123" s="251"/>
      <c r="AI123" s="251"/>
      <c r="AJ123" s="251"/>
      <c r="AK123" s="251"/>
      <c r="AL123" s="251"/>
      <c r="AM123" s="251"/>
      <c r="AN123" s="251"/>
      <c r="AO123" s="251"/>
      <c r="AP123" s="328"/>
      <c r="AR123" s="13"/>
    </row>
    <row r="124" spans="2:44" ht="20" customHeight="1" thickBot="1">
      <c r="B124" s="113"/>
      <c r="C124" s="114" t="s">
        <v>186</v>
      </c>
      <c r="D124" s="114" t="s">
        <v>187</v>
      </c>
      <c r="E124" s="114" t="s">
        <v>188</v>
      </c>
      <c r="F124" s="114" t="s">
        <v>189</v>
      </c>
      <c r="G124" s="248">
        <v>46143</v>
      </c>
      <c r="H124" s="114" t="s">
        <v>190</v>
      </c>
      <c r="I124" s="114" t="s">
        <v>191</v>
      </c>
      <c r="J124" s="114" t="s">
        <v>192</v>
      </c>
      <c r="K124" s="114" t="s">
        <v>193</v>
      </c>
      <c r="L124" s="114" t="s">
        <v>194</v>
      </c>
      <c r="M124" s="114" t="s">
        <v>195</v>
      </c>
      <c r="N124" s="114" t="s">
        <v>196</v>
      </c>
      <c r="O124" s="115">
        <v>2026</v>
      </c>
      <c r="P124" s="114" t="s">
        <v>186</v>
      </c>
      <c r="Q124" s="114" t="s">
        <v>187</v>
      </c>
      <c r="R124" s="114" t="s">
        <v>188</v>
      </c>
      <c r="S124" s="114" t="s">
        <v>189</v>
      </c>
      <c r="T124" s="248">
        <v>46143</v>
      </c>
      <c r="U124" s="114" t="s">
        <v>190</v>
      </c>
      <c r="V124" s="114" t="s">
        <v>191</v>
      </c>
      <c r="W124" s="114" t="s">
        <v>192</v>
      </c>
      <c r="X124" s="114" t="s">
        <v>193</v>
      </c>
      <c r="Y124" s="114" t="s">
        <v>194</v>
      </c>
      <c r="Z124" s="114" t="s">
        <v>195</v>
      </c>
      <c r="AA124" s="114" t="s">
        <v>196</v>
      </c>
      <c r="AB124" s="116">
        <v>2026</v>
      </c>
      <c r="AC124" s="123"/>
      <c r="AD124" s="123"/>
      <c r="AE124" s="123"/>
      <c r="AF124" s="123"/>
      <c r="AG124" s="123"/>
      <c r="AH124" s="123"/>
      <c r="AI124" s="123"/>
      <c r="AJ124" s="123"/>
      <c r="AK124" s="123"/>
      <c r="AL124" s="123"/>
      <c r="AM124" s="123"/>
      <c r="AN124" s="123"/>
      <c r="AO124" s="123"/>
      <c r="AP124" s="329"/>
    </row>
    <row r="125" spans="2:44" ht="10.25" customHeight="1" thickBot="1">
      <c r="B125" s="123"/>
      <c r="C125" s="124"/>
      <c r="D125" s="124"/>
      <c r="E125" s="124"/>
      <c r="F125" s="124"/>
      <c r="G125" s="124"/>
      <c r="H125" s="124"/>
      <c r="I125" s="124"/>
      <c r="J125" s="124"/>
      <c r="K125" s="124"/>
      <c r="L125" s="124"/>
      <c r="M125" s="124"/>
      <c r="N125" s="124"/>
      <c r="O125" s="124"/>
      <c r="P125" s="124"/>
      <c r="Q125" s="124"/>
      <c r="R125" s="124"/>
      <c r="S125" s="124"/>
      <c r="T125" s="124"/>
      <c r="U125" s="124"/>
      <c r="V125" s="124"/>
      <c r="W125" s="124"/>
      <c r="X125" s="124"/>
      <c r="Y125" s="124"/>
      <c r="Z125" s="124"/>
      <c r="AA125" s="124"/>
      <c r="AB125" s="123"/>
      <c r="AC125" s="123"/>
      <c r="AD125" s="123"/>
      <c r="AE125" s="123"/>
      <c r="AF125" s="123"/>
      <c r="AG125" s="123"/>
      <c r="AH125" s="123"/>
      <c r="AI125" s="123"/>
      <c r="AJ125" s="123"/>
      <c r="AK125" s="123"/>
      <c r="AL125" s="123"/>
      <c r="AM125" s="123"/>
      <c r="AN125" s="123"/>
      <c r="AO125" s="123"/>
      <c r="AP125" s="329"/>
    </row>
    <row r="126" spans="2:44" ht="20" customHeight="1">
      <c r="B126" s="125" t="s">
        <v>21</v>
      </c>
      <c r="C126" s="126">
        <f t="shared" ref="C126:N126" si="33">SUM(C127:C131)</f>
        <v>380</v>
      </c>
      <c r="D126" s="126">
        <f t="shared" si="33"/>
        <v>380</v>
      </c>
      <c r="E126" s="126">
        <f t="shared" si="33"/>
        <v>380</v>
      </c>
      <c r="F126" s="126">
        <f t="shared" si="33"/>
        <v>380</v>
      </c>
      <c r="G126" s="126">
        <f t="shared" si="33"/>
        <v>380</v>
      </c>
      <c r="H126" s="126">
        <f t="shared" si="33"/>
        <v>380</v>
      </c>
      <c r="I126" s="126">
        <f t="shared" si="33"/>
        <v>380</v>
      </c>
      <c r="J126" s="126">
        <f t="shared" si="33"/>
        <v>380</v>
      </c>
      <c r="K126" s="126">
        <f t="shared" si="33"/>
        <v>380</v>
      </c>
      <c r="L126" s="126">
        <f t="shared" si="33"/>
        <v>380</v>
      </c>
      <c r="M126" s="126">
        <f t="shared" si="33"/>
        <v>380</v>
      </c>
      <c r="N126" s="126">
        <f t="shared" si="33"/>
        <v>380</v>
      </c>
      <c r="O126" s="126">
        <f>SUM(C126:N126)</f>
        <v>4560</v>
      </c>
      <c r="P126" s="162">
        <f>SUM(P127:P131)</f>
        <v>0</v>
      </c>
      <c r="Q126" s="163">
        <f t="shared" ref="Q126:AA126" si="34">SUM(Q127:Q131)</f>
        <v>0</v>
      </c>
      <c r="R126" s="163">
        <f t="shared" si="34"/>
        <v>0</v>
      </c>
      <c r="S126" s="163">
        <f t="shared" si="34"/>
        <v>0</v>
      </c>
      <c r="T126" s="163">
        <f t="shared" si="34"/>
        <v>0</v>
      </c>
      <c r="U126" s="163">
        <f t="shared" si="34"/>
        <v>0</v>
      </c>
      <c r="V126" s="163">
        <f t="shared" si="34"/>
        <v>0</v>
      </c>
      <c r="W126" s="163">
        <f t="shared" si="34"/>
        <v>0</v>
      </c>
      <c r="X126" s="163">
        <f t="shared" si="34"/>
        <v>0</v>
      </c>
      <c r="Y126" s="163">
        <f t="shared" si="34"/>
        <v>0</v>
      </c>
      <c r="Z126" s="163">
        <f t="shared" si="34"/>
        <v>0</v>
      </c>
      <c r="AA126" s="163">
        <f t="shared" si="34"/>
        <v>0</v>
      </c>
      <c r="AB126" s="164">
        <f>SUM(P126:AA126)</f>
        <v>0</v>
      </c>
      <c r="AC126" s="143"/>
      <c r="AD126" s="143"/>
      <c r="AE126" s="143"/>
      <c r="AF126" s="143"/>
      <c r="AG126" s="143"/>
      <c r="AH126" s="143"/>
      <c r="AI126" s="143"/>
      <c r="AJ126" s="143"/>
      <c r="AK126" s="143"/>
      <c r="AL126" s="143"/>
      <c r="AM126" s="143"/>
      <c r="AN126" s="143"/>
      <c r="AO126" s="143"/>
      <c r="AP126" s="329"/>
    </row>
    <row r="127" spans="2:44" ht="20" customHeight="1" outlineLevel="1">
      <c r="B127" s="117" t="s">
        <v>65</v>
      </c>
      <c r="C127" s="118">
        <v>100</v>
      </c>
      <c r="D127" s="118">
        <v>100</v>
      </c>
      <c r="E127" s="118">
        <v>100</v>
      </c>
      <c r="F127" s="118">
        <v>100</v>
      </c>
      <c r="G127" s="118">
        <v>100</v>
      </c>
      <c r="H127" s="118">
        <v>100</v>
      </c>
      <c r="I127" s="118">
        <v>100</v>
      </c>
      <c r="J127" s="118">
        <v>100</v>
      </c>
      <c r="K127" s="118">
        <v>100</v>
      </c>
      <c r="L127" s="118">
        <v>100</v>
      </c>
      <c r="M127" s="118">
        <v>100</v>
      </c>
      <c r="N127" s="118">
        <v>100</v>
      </c>
      <c r="O127" s="66">
        <f>SUM(C127:N127)</f>
        <v>1200</v>
      </c>
      <c r="P127" s="145">
        <f>C127-Расчеты!C80</f>
        <v>0</v>
      </c>
      <c r="Q127" s="131">
        <f>D127-Расчеты!D80</f>
        <v>0</v>
      </c>
      <c r="R127" s="131">
        <f>E127-Расчеты!E80</f>
        <v>0</v>
      </c>
      <c r="S127" s="131">
        <f>F127-Расчеты!F80</f>
        <v>0</v>
      </c>
      <c r="T127" s="131">
        <f>G127-Расчеты!G80</f>
        <v>0</v>
      </c>
      <c r="U127" s="131">
        <f>H127-Расчеты!H80</f>
        <v>0</v>
      </c>
      <c r="V127" s="131">
        <f>I127-Расчеты!I80</f>
        <v>0</v>
      </c>
      <c r="W127" s="131">
        <f>J127-Расчеты!J80</f>
        <v>0</v>
      </c>
      <c r="X127" s="131">
        <f>K127-Расчеты!K80</f>
        <v>0</v>
      </c>
      <c r="Y127" s="131">
        <f>L127-Расчеты!L80</f>
        <v>0</v>
      </c>
      <c r="Z127" s="131">
        <f>M127-Расчеты!M80</f>
        <v>0</v>
      </c>
      <c r="AA127" s="131">
        <f>N127-Расчеты!N80</f>
        <v>0</v>
      </c>
      <c r="AB127" s="146">
        <f t="shared" ref="AB127:AB131" si="35">SUM(P127:AA127)</f>
        <v>0</v>
      </c>
      <c r="AC127" s="143"/>
      <c r="AD127" s="143"/>
      <c r="AE127" s="143"/>
      <c r="AF127" s="143"/>
      <c r="AG127" s="143"/>
      <c r="AH127" s="143"/>
      <c r="AI127" s="143"/>
      <c r="AJ127" s="143"/>
      <c r="AK127" s="143"/>
      <c r="AL127" s="143"/>
      <c r="AM127" s="143"/>
      <c r="AN127" s="143"/>
      <c r="AO127" s="143"/>
      <c r="AP127" s="329"/>
    </row>
    <row r="128" spans="2:44" ht="20" customHeight="1" outlineLevel="1">
      <c r="B128" s="147" t="s">
        <v>66</v>
      </c>
      <c r="C128" s="86">
        <v>60</v>
      </c>
      <c r="D128" s="86">
        <v>60</v>
      </c>
      <c r="E128" s="86">
        <v>60</v>
      </c>
      <c r="F128" s="86">
        <v>60</v>
      </c>
      <c r="G128" s="86">
        <v>60</v>
      </c>
      <c r="H128" s="86">
        <v>60</v>
      </c>
      <c r="I128" s="86">
        <v>60</v>
      </c>
      <c r="J128" s="86">
        <v>60</v>
      </c>
      <c r="K128" s="86">
        <v>60</v>
      </c>
      <c r="L128" s="86">
        <v>60</v>
      </c>
      <c r="M128" s="86">
        <v>60</v>
      </c>
      <c r="N128" s="86">
        <v>60</v>
      </c>
      <c r="O128" s="77">
        <f>SUM(C128:N128)</f>
        <v>720</v>
      </c>
      <c r="P128" s="88">
        <f>C128-Расчеты!C81</f>
        <v>0</v>
      </c>
      <c r="Q128" s="133">
        <f>D128-Расчеты!D81</f>
        <v>0</v>
      </c>
      <c r="R128" s="133">
        <f>E128-Расчеты!E81</f>
        <v>0</v>
      </c>
      <c r="S128" s="133">
        <f>F128-Расчеты!F81</f>
        <v>0</v>
      </c>
      <c r="T128" s="133">
        <f>G128-Расчеты!G81</f>
        <v>0</v>
      </c>
      <c r="U128" s="133">
        <f>H128-Расчеты!H81</f>
        <v>0</v>
      </c>
      <c r="V128" s="133">
        <f>I128-Расчеты!I81</f>
        <v>0</v>
      </c>
      <c r="W128" s="133">
        <f>J128-Расчеты!J81</f>
        <v>0</v>
      </c>
      <c r="X128" s="133">
        <f>K128-Расчеты!K81</f>
        <v>0</v>
      </c>
      <c r="Y128" s="133">
        <f>L128-Расчеты!L81</f>
        <v>0</v>
      </c>
      <c r="Z128" s="133">
        <f>M128-Расчеты!M81</f>
        <v>0</v>
      </c>
      <c r="AA128" s="133">
        <f>N128-Расчеты!N81</f>
        <v>0</v>
      </c>
      <c r="AB128" s="134">
        <f t="shared" si="35"/>
        <v>0</v>
      </c>
      <c r="AC128" s="143"/>
      <c r="AD128" s="143"/>
      <c r="AE128" s="143"/>
      <c r="AF128" s="143"/>
      <c r="AG128" s="143"/>
      <c r="AH128" s="143"/>
      <c r="AI128" s="143"/>
      <c r="AJ128" s="143"/>
      <c r="AK128" s="143"/>
      <c r="AL128" s="143"/>
      <c r="AM128" s="143"/>
      <c r="AN128" s="143"/>
      <c r="AO128" s="143"/>
      <c r="AP128" s="34"/>
    </row>
    <row r="129" spans="2:45" ht="20" customHeight="1" outlineLevel="1">
      <c r="B129" s="147" t="s">
        <v>67</v>
      </c>
      <c r="C129" s="86">
        <v>60</v>
      </c>
      <c r="D129" s="86">
        <v>60</v>
      </c>
      <c r="E129" s="86">
        <v>60</v>
      </c>
      <c r="F129" s="86">
        <v>60</v>
      </c>
      <c r="G129" s="86">
        <v>60</v>
      </c>
      <c r="H129" s="86">
        <v>60</v>
      </c>
      <c r="I129" s="86">
        <v>60</v>
      </c>
      <c r="J129" s="86">
        <v>60</v>
      </c>
      <c r="K129" s="86">
        <v>60</v>
      </c>
      <c r="L129" s="86">
        <v>60</v>
      </c>
      <c r="M129" s="86">
        <v>60</v>
      </c>
      <c r="N129" s="86">
        <v>60</v>
      </c>
      <c r="O129" s="77">
        <f t="shared" ref="O129:O131" si="36">SUM(C129:N129)</f>
        <v>720</v>
      </c>
      <c r="P129" s="88">
        <f>C129-Расчеты!C82</f>
        <v>0</v>
      </c>
      <c r="Q129" s="133">
        <f>D129-Расчеты!D82</f>
        <v>0</v>
      </c>
      <c r="R129" s="133">
        <f>E129-Расчеты!E82</f>
        <v>0</v>
      </c>
      <c r="S129" s="133">
        <f>F129-Расчеты!F82</f>
        <v>0</v>
      </c>
      <c r="T129" s="133">
        <f>G129-Расчеты!G82</f>
        <v>0</v>
      </c>
      <c r="U129" s="133">
        <f>H129-Расчеты!H82</f>
        <v>0</v>
      </c>
      <c r="V129" s="133">
        <f>I129-Расчеты!I82</f>
        <v>0</v>
      </c>
      <c r="W129" s="133">
        <f>J129-Расчеты!J82</f>
        <v>0</v>
      </c>
      <c r="X129" s="133">
        <f>K129-Расчеты!K82</f>
        <v>0</v>
      </c>
      <c r="Y129" s="133">
        <f>L129-Расчеты!L82</f>
        <v>0</v>
      </c>
      <c r="Z129" s="133">
        <f>M129-Расчеты!M82</f>
        <v>0</v>
      </c>
      <c r="AA129" s="133">
        <f>N129-Расчеты!N82</f>
        <v>0</v>
      </c>
      <c r="AB129" s="134">
        <f t="shared" si="35"/>
        <v>0</v>
      </c>
      <c r="AC129" s="143"/>
      <c r="AD129" s="143"/>
      <c r="AE129" s="143"/>
      <c r="AF129" s="143"/>
      <c r="AG129" s="143"/>
      <c r="AH129" s="143"/>
      <c r="AI129" s="143"/>
      <c r="AJ129" s="143"/>
      <c r="AK129" s="143"/>
      <c r="AL129" s="143"/>
      <c r="AM129" s="143"/>
      <c r="AN129" s="143"/>
      <c r="AO129" s="143"/>
      <c r="AP129" s="34"/>
    </row>
    <row r="130" spans="2:45" ht="20" customHeight="1" outlineLevel="1">
      <c r="B130" s="147" t="s">
        <v>68</v>
      </c>
      <c r="C130" s="86">
        <v>80</v>
      </c>
      <c r="D130" s="86">
        <v>80</v>
      </c>
      <c r="E130" s="86">
        <v>80</v>
      </c>
      <c r="F130" s="86">
        <v>80</v>
      </c>
      <c r="G130" s="86">
        <v>80</v>
      </c>
      <c r="H130" s="86">
        <v>80</v>
      </c>
      <c r="I130" s="86">
        <v>80</v>
      </c>
      <c r="J130" s="86">
        <v>80</v>
      </c>
      <c r="K130" s="86">
        <v>80</v>
      </c>
      <c r="L130" s="86">
        <v>80</v>
      </c>
      <c r="M130" s="86">
        <v>80</v>
      </c>
      <c r="N130" s="86">
        <v>80</v>
      </c>
      <c r="O130" s="77">
        <f t="shared" si="36"/>
        <v>960</v>
      </c>
      <c r="P130" s="88">
        <f>C130-Расчеты!C83</f>
        <v>0</v>
      </c>
      <c r="Q130" s="133">
        <f>D130-Расчеты!D83</f>
        <v>0</v>
      </c>
      <c r="R130" s="133">
        <f>E130-Расчеты!E83</f>
        <v>0</v>
      </c>
      <c r="S130" s="133">
        <f>F130-Расчеты!F83</f>
        <v>0</v>
      </c>
      <c r="T130" s="133">
        <f>G130-Расчеты!G83</f>
        <v>0</v>
      </c>
      <c r="U130" s="133">
        <f>H130-Расчеты!H83</f>
        <v>0</v>
      </c>
      <c r="V130" s="133">
        <f>I130-Расчеты!I83</f>
        <v>0</v>
      </c>
      <c r="W130" s="133">
        <f>J130-Расчеты!J83</f>
        <v>0</v>
      </c>
      <c r="X130" s="133">
        <f>K130-Расчеты!K83</f>
        <v>0</v>
      </c>
      <c r="Y130" s="133">
        <f>L130-Расчеты!L83</f>
        <v>0</v>
      </c>
      <c r="Z130" s="133">
        <f>M130-Расчеты!M83</f>
        <v>0</v>
      </c>
      <c r="AA130" s="133">
        <f>N130-Расчеты!N83</f>
        <v>0</v>
      </c>
      <c r="AB130" s="134">
        <f t="shared" si="35"/>
        <v>0</v>
      </c>
      <c r="AC130" s="143"/>
      <c r="AD130" s="143"/>
      <c r="AE130" s="143"/>
      <c r="AF130" s="143"/>
      <c r="AG130" s="143"/>
      <c r="AH130" s="143"/>
      <c r="AI130" s="143"/>
      <c r="AJ130" s="143"/>
      <c r="AK130" s="143"/>
      <c r="AL130" s="143"/>
      <c r="AM130" s="143"/>
      <c r="AN130" s="143"/>
      <c r="AO130" s="143"/>
      <c r="AP130" s="34"/>
    </row>
    <row r="131" spans="2:45" ht="20" customHeight="1" outlineLevel="1">
      <c r="B131" s="119" t="s">
        <v>69</v>
      </c>
      <c r="C131" s="120">
        <v>80</v>
      </c>
      <c r="D131" s="120">
        <v>80</v>
      </c>
      <c r="E131" s="120">
        <v>80</v>
      </c>
      <c r="F131" s="120">
        <v>80</v>
      </c>
      <c r="G131" s="120">
        <v>80</v>
      </c>
      <c r="H131" s="120">
        <v>80</v>
      </c>
      <c r="I131" s="120">
        <v>80</v>
      </c>
      <c r="J131" s="120">
        <v>80</v>
      </c>
      <c r="K131" s="120">
        <v>80</v>
      </c>
      <c r="L131" s="120">
        <v>80</v>
      </c>
      <c r="M131" s="120">
        <v>80</v>
      </c>
      <c r="N131" s="120">
        <v>80</v>
      </c>
      <c r="O131" s="122">
        <f t="shared" si="36"/>
        <v>960</v>
      </c>
      <c r="P131" s="140">
        <f>C131-Расчеты!C84</f>
        <v>0</v>
      </c>
      <c r="Q131" s="138">
        <f>D131-Расчеты!D84</f>
        <v>0</v>
      </c>
      <c r="R131" s="138">
        <f>E131-Расчеты!E84</f>
        <v>0</v>
      </c>
      <c r="S131" s="138">
        <f>F131-Расчеты!F84</f>
        <v>0</v>
      </c>
      <c r="T131" s="138">
        <f>G131-Расчеты!G84</f>
        <v>0</v>
      </c>
      <c r="U131" s="138">
        <f>H131-Расчеты!H84</f>
        <v>0</v>
      </c>
      <c r="V131" s="138">
        <f>I131-Расчеты!I84</f>
        <v>0</v>
      </c>
      <c r="W131" s="138">
        <f>J131-Расчеты!J84</f>
        <v>0</v>
      </c>
      <c r="X131" s="138">
        <f>K131-Расчеты!K84</f>
        <v>0</v>
      </c>
      <c r="Y131" s="138">
        <f>L131-Расчеты!L84</f>
        <v>0</v>
      </c>
      <c r="Z131" s="138">
        <f>M131-Расчеты!M84</f>
        <v>0</v>
      </c>
      <c r="AA131" s="138">
        <f>N131-Расчеты!N84</f>
        <v>0</v>
      </c>
      <c r="AB131" s="141">
        <f t="shared" si="35"/>
        <v>0</v>
      </c>
      <c r="AC131" s="143"/>
      <c r="AD131" s="143"/>
      <c r="AE131" s="143"/>
      <c r="AF131" s="143"/>
      <c r="AG131" s="143"/>
      <c r="AH131" s="143"/>
      <c r="AI131" s="143"/>
      <c r="AJ131" s="143"/>
      <c r="AK131" s="143"/>
      <c r="AL131" s="143"/>
      <c r="AM131" s="143"/>
      <c r="AN131" s="143"/>
      <c r="AO131" s="143"/>
      <c r="AP131" s="34"/>
    </row>
    <row r="132" spans="2:45" ht="20" customHeight="1">
      <c r="B132" s="125" t="s">
        <v>22</v>
      </c>
      <c r="C132" s="126">
        <f>SUM(C133:C136)</f>
        <v>350</v>
      </c>
      <c r="D132" s="126">
        <f t="shared" ref="D132:N132" si="37">SUM(D133:D136)</f>
        <v>350</v>
      </c>
      <c r="E132" s="126">
        <f t="shared" si="37"/>
        <v>350</v>
      </c>
      <c r="F132" s="126">
        <f t="shared" si="37"/>
        <v>350</v>
      </c>
      <c r="G132" s="126">
        <f t="shared" si="37"/>
        <v>350</v>
      </c>
      <c r="H132" s="126">
        <f t="shared" si="37"/>
        <v>350</v>
      </c>
      <c r="I132" s="126">
        <f t="shared" si="37"/>
        <v>350</v>
      </c>
      <c r="J132" s="126">
        <f t="shared" si="37"/>
        <v>350</v>
      </c>
      <c r="K132" s="126">
        <f t="shared" si="37"/>
        <v>350</v>
      </c>
      <c r="L132" s="126">
        <f t="shared" si="37"/>
        <v>350</v>
      </c>
      <c r="M132" s="126">
        <f t="shared" si="37"/>
        <v>350</v>
      </c>
      <c r="N132" s="126">
        <f t="shared" si="37"/>
        <v>350</v>
      </c>
      <c r="O132" s="126">
        <f>SUM(C132:N132)</f>
        <v>4200</v>
      </c>
      <c r="P132" s="142">
        <f>SUM(P133:P136)</f>
        <v>0</v>
      </c>
      <c r="Q132" s="143">
        <f t="shared" ref="Q132:AA132" si="38">SUM(Q133:Q136)</f>
        <v>0</v>
      </c>
      <c r="R132" s="143">
        <f t="shared" si="38"/>
        <v>0</v>
      </c>
      <c r="S132" s="143">
        <f t="shared" si="38"/>
        <v>0</v>
      </c>
      <c r="T132" s="143">
        <f t="shared" si="38"/>
        <v>0</v>
      </c>
      <c r="U132" s="143">
        <f t="shared" si="38"/>
        <v>0</v>
      </c>
      <c r="V132" s="143">
        <f t="shared" si="38"/>
        <v>0</v>
      </c>
      <c r="W132" s="143">
        <f t="shared" si="38"/>
        <v>0</v>
      </c>
      <c r="X132" s="143">
        <f t="shared" si="38"/>
        <v>0</v>
      </c>
      <c r="Y132" s="143">
        <f t="shared" si="38"/>
        <v>0</v>
      </c>
      <c r="Z132" s="143">
        <f t="shared" si="38"/>
        <v>0</v>
      </c>
      <c r="AA132" s="143">
        <f t="shared" si="38"/>
        <v>0</v>
      </c>
      <c r="AB132" s="144">
        <f>SUM(P132:AA132)</f>
        <v>0</v>
      </c>
      <c r="AC132" s="143"/>
      <c r="AD132" s="143"/>
      <c r="AE132" s="143"/>
      <c r="AF132" s="143"/>
      <c r="AG132" s="143"/>
      <c r="AH132" s="143"/>
      <c r="AI132" s="143"/>
      <c r="AJ132" s="143"/>
      <c r="AK132" s="143"/>
      <c r="AL132" s="143"/>
      <c r="AM132" s="143"/>
      <c r="AN132" s="143"/>
      <c r="AO132" s="143"/>
      <c r="AP132" s="34"/>
    </row>
    <row r="133" spans="2:45" ht="20" customHeight="1" outlineLevel="1">
      <c r="B133" s="117" t="s">
        <v>65</v>
      </c>
      <c r="C133" s="118">
        <v>100</v>
      </c>
      <c r="D133" s="118">
        <v>100</v>
      </c>
      <c r="E133" s="118">
        <v>100</v>
      </c>
      <c r="F133" s="118">
        <v>100</v>
      </c>
      <c r="G133" s="118">
        <v>100</v>
      </c>
      <c r="H133" s="118">
        <v>100</v>
      </c>
      <c r="I133" s="118">
        <v>100</v>
      </c>
      <c r="J133" s="118">
        <v>100</v>
      </c>
      <c r="K133" s="118">
        <v>100</v>
      </c>
      <c r="L133" s="118">
        <v>100</v>
      </c>
      <c r="M133" s="118">
        <v>100</v>
      </c>
      <c r="N133" s="118">
        <v>100</v>
      </c>
      <c r="O133" s="66">
        <f t="shared" ref="O133:O137" si="39">SUM(C133:N133)</f>
        <v>1200</v>
      </c>
      <c r="P133" s="145">
        <f>C133-Расчеты!C86</f>
        <v>0</v>
      </c>
      <c r="Q133" s="131">
        <f>D133-Расчеты!D86</f>
        <v>0</v>
      </c>
      <c r="R133" s="131">
        <f>E133-Расчеты!E86</f>
        <v>0</v>
      </c>
      <c r="S133" s="131">
        <f>F133-Расчеты!F86</f>
        <v>0</v>
      </c>
      <c r="T133" s="131">
        <f>G133-Расчеты!G86</f>
        <v>0</v>
      </c>
      <c r="U133" s="131">
        <f>H133-Расчеты!H86</f>
        <v>0</v>
      </c>
      <c r="V133" s="131">
        <f>I133-Расчеты!I86</f>
        <v>0</v>
      </c>
      <c r="W133" s="131">
        <f>J133-Расчеты!J86</f>
        <v>0</v>
      </c>
      <c r="X133" s="131">
        <f>K133-Расчеты!K86</f>
        <v>0</v>
      </c>
      <c r="Y133" s="131">
        <f>L133-Расчеты!L86</f>
        <v>0</v>
      </c>
      <c r="Z133" s="131">
        <f>M133-Расчеты!M86</f>
        <v>0</v>
      </c>
      <c r="AA133" s="131">
        <f>N133-Расчеты!N86</f>
        <v>0</v>
      </c>
      <c r="AB133" s="146">
        <f t="shared" ref="AB133:AB137" si="40">SUM(P133:AA133)</f>
        <v>0</v>
      </c>
      <c r="AC133" s="143"/>
      <c r="AD133" s="143"/>
      <c r="AE133" s="143"/>
      <c r="AF133" s="143"/>
      <c r="AG133" s="143"/>
      <c r="AH133" s="143"/>
      <c r="AI133" s="143"/>
      <c r="AJ133" s="143"/>
      <c r="AK133" s="143"/>
      <c r="AL133" s="143"/>
      <c r="AM133" s="143"/>
      <c r="AN133" s="143"/>
      <c r="AO133" s="143"/>
      <c r="AP133" s="34"/>
    </row>
    <row r="134" spans="2:45" ht="20" customHeight="1" outlineLevel="1">
      <c r="B134" s="147" t="s">
        <v>70</v>
      </c>
      <c r="C134" s="86">
        <v>100</v>
      </c>
      <c r="D134" s="86">
        <v>100</v>
      </c>
      <c r="E134" s="86">
        <v>100</v>
      </c>
      <c r="F134" s="86">
        <v>100</v>
      </c>
      <c r="G134" s="86">
        <v>100</v>
      </c>
      <c r="H134" s="86">
        <v>100</v>
      </c>
      <c r="I134" s="86">
        <v>100</v>
      </c>
      <c r="J134" s="86">
        <v>100</v>
      </c>
      <c r="K134" s="86">
        <v>100</v>
      </c>
      <c r="L134" s="86">
        <v>100</v>
      </c>
      <c r="M134" s="86">
        <v>100</v>
      </c>
      <c r="N134" s="86">
        <v>100</v>
      </c>
      <c r="O134" s="77">
        <f t="shared" si="39"/>
        <v>1200</v>
      </c>
      <c r="P134" s="88">
        <f>C134-Расчеты!C87</f>
        <v>0</v>
      </c>
      <c r="Q134" s="133">
        <f>D134-Расчеты!D87</f>
        <v>0</v>
      </c>
      <c r="R134" s="133">
        <f>E134-Расчеты!E87</f>
        <v>0</v>
      </c>
      <c r="S134" s="133">
        <f>F134-Расчеты!F87</f>
        <v>0</v>
      </c>
      <c r="T134" s="133">
        <f>G134-Расчеты!G87</f>
        <v>0</v>
      </c>
      <c r="U134" s="133">
        <f>H134-Расчеты!H87</f>
        <v>0</v>
      </c>
      <c r="V134" s="133">
        <f>I134-Расчеты!I87</f>
        <v>0</v>
      </c>
      <c r="W134" s="133">
        <f>J134-Расчеты!J87</f>
        <v>0</v>
      </c>
      <c r="X134" s="133">
        <f>K134-Расчеты!K87</f>
        <v>0</v>
      </c>
      <c r="Y134" s="133">
        <f>L134-Расчеты!L87</f>
        <v>0</v>
      </c>
      <c r="Z134" s="133">
        <f>M134-Расчеты!M87</f>
        <v>0</v>
      </c>
      <c r="AA134" s="133">
        <f>N134-Расчеты!N87</f>
        <v>0</v>
      </c>
      <c r="AB134" s="134">
        <f t="shared" si="40"/>
        <v>0</v>
      </c>
      <c r="AC134" s="143"/>
      <c r="AD134" s="143"/>
      <c r="AE134" s="143"/>
      <c r="AF134" s="143"/>
      <c r="AG134" s="143"/>
      <c r="AH134" s="143"/>
      <c r="AI134" s="143"/>
      <c r="AJ134" s="143"/>
      <c r="AK134" s="143"/>
      <c r="AL134" s="143"/>
      <c r="AM134" s="143"/>
      <c r="AN134" s="143"/>
      <c r="AO134" s="143"/>
      <c r="AP134" s="34"/>
    </row>
    <row r="135" spans="2:45" ht="20" customHeight="1" outlineLevel="1">
      <c r="B135" s="147" t="s">
        <v>67</v>
      </c>
      <c r="C135" s="86">
        <v>70</v>
      </c>
      <c r="D135" s="86">
        <v>70</v>
      </c>
      <c r="E135" s="86">
        <v>70</v>
      </c>
      <c r="F135" s="86">
        <v>70</v>
      </c>
      <c r="G135" s="86">
        <v>70</v>
      </c>
      <c r="H135" s="86">
        <v>70</v>
      </c>
      <c r="I135" s="86">
        <v>70</v>
      </c>
      <c r="J135" s="86">
        <v>70</v>
      </c>
      <c r="K135" s="86">
        <v>70</v>
      </c>
      <c r="L135" s="86">
        <v>70</v>
      </c>
      <c r="M135" s="86">
        <v>70</v>
      </c>
      <c r="N135" s="86">
        <v>70</v>
      </c>
      <c r="O135" s="77">
        <f t="shared" si="39"/>
        <v>840</v>
      </c>
      <c r="P135" s="88">
        <f>C135-Расчеты!C88</f>
        <v>0</v>
      </c>
      <c r="Q135" s="133">
        <f>D135-Расчеты!D88</f>
        <v>0</v>
      </c>
      <c r="R135" s="133">
        <f>E135-Расчеты!E88</f>
        <v>0</v>
      </c>
      <c r="S135" s="133">
        <f>F135-Расчеты!F88</f>
        <v>0</v>
      </c>
      <c r="T135" s="133">
        <f>G135-Расчеты!G88</f>
        <v>0</v>
      </c>
      <c r="U135" s="133">
        <f>H135-Расчеты!H88</f>
        <v>0</v>
      </c>
      <c r="V135" s="133">
        <f>I135-Расчеты!I88</f>
        <v>0</v>
      </c>
      <c r="W135" s="133">
        <f>J135-Расчеты!J88</f>
        <v>0</v>
      </c>
      <c r="X135" s="133">
        <f>K135-Расчеты!K88</f>
        <v>0</v>
      </c>
      <c r="Y135" s="133">
        <f>L135-Расчеты!L88</f>
        <v>0</v>
      </c>
      <c r="Z135" s="133">
        <f>M135-Расчеты!M88</f>
        <v>0</v>
      </c>
      <c r="AA135" s="133">
        <f>N135-Расчеты!N88</f>
        <v>0</v>
      </c>
      <c r="AB135" s="134">
        <f t="shared" si="40"/>
        <v>0</v>
      </c>
      <c r="AC135" s="143"/>
      <c r="AD135" s="143"/>
      <c r="AE135" s="143"/>
      <c r="AF135" s="143"/>
      <c r="AG135" s="143"/>
      <c r="AH135" s="143"/>
      <c r="AI135" s="143"/>
      <c r="AJ135" s="143"/>
      <c r="AK135" s="143"/>
      <c r="AL135" s="143"/>
      <c r="AM135" s="143"/>
      <c r="AN135" s="143"/>
      <c r="AO135" s="143"/>
      <c r="AP135" s="34"/>
    </row>
    <row r="136" spans="2:45" ht="20" customHeight="1" outlineLevel="1">
      <c r="B136" s="119" t="s">
        <v>69</v>
      </c>
      <c r="C136" s="120">
        <v>80</v>
      </c>
      <c r="D136" s="120">
        <v>80</v>
      </c>
      <c r="E136" s="120">
        <v>80</v>
      </c>
      <c r="F136" s="120">
        <v>80</v>
      </c>
      <c r="G136" s="120">
        <v>80</v>
      </c>
      <c r="H136" s="120">
        <v>80</v>
      </c>
      <c r="I136" s="120">
        <v>80</v>
      </c>
      <c r="J136" s="120">
        <v>80</v>
      </c>
      <c r="K136" s="120">
        <v>80</v>
      </c>
      <c r="L136" s="120">
        <v>80</v>
      </c>
      <c r="M136" s="120">
        <v>80</v>
      </c>
      <c r="N136" s="120">
        <v>80</v>
      </c>
      <c r="O136" s="122">
        <f t="shared" si="39"/>
        <v>960</v>
      </c>
      <c r="P136" s="140">
        <f>C136-Расчеты!C89</f>
        <v>0</v>
      </c>
      <c r="Q136" s="138">
        <f>D136-Расчеты!D89</f>
        <v>0</v>
      </c>
      <c r="R136" s="138">
        <f>E136-Расчеты!E89</f>
        <v>0</v>
      </c>
      <c r="S136" s="138">
        <f>F136-Расчеты!F89</f>
        <v>0</v>
      </c>
      <c r="T136" s="138">
        <f>G136-Расчеты!G89</f>
        <v>0</v>
      </c>
      <c r="U136" s="138">
        <f>H136-Расчеты!H89</f>
        <v>0</v>
      </c>
      <c r="V136" s="138">
        <f>I136-Расчеты!I89</f>
        <v>0</v>
      </c>
      <c r="W136" s="138">
        <f>J136-Расчеты!J89</f>
        <v>0</v>
      </c>
      <c r="X136" s="138">
        <f>K136-Расчеты!K89</f>
        <v>0</v>
      </c>
      <c r="Y136" s="138">
        <f>L136-Расчеты!L89</f>
        <v>0</v>
      </c>
      <c r="Z136" s="138">
        <f>M136-Расчеты!M89</f>
        <v>0</v>
      </c>
      <c r="AA136" s="138">
        <f>N136-Расчеты!N89</f>
        <v>0</v>
      </c>
      <c r="AB136" s="141">
        <f t="shared" si="40"/>
        <v>0</v>
      </c>
      <c r="AC136" s="143"/>
      <c r="AD136" s="143"/>
      <c r="AE136" s="143"/>
      <c r="AF136" s="143"/>
      <c r="AG136" s="143"/>
      <c r="AH136" s="143"/>
      <c r="AI136" s="143"/>
      <c r="AJ136" s="143"/>
      <c r="AK136" s="143"/>
      <c r="AL136" s="143"/>
      <c r="AM136" s="143"/>
      <c r="AN136" s="143"/>
      <c r="AO136" s="143"/>
      <c r="AP136" s="34"/>
    </row>
    <row r="137" spans="2:45" ht="20" customHeight="1" thickBot="1">
      <c r="B137" s="125" t="s">
        <v>71</v>
      </c>
      <c r="C137" s="126">
        <v>40</v>
      </c>
      <c r="D137" s="126">
        <v>40</v>
      </c>
      <c r="E137" s="126">
        <v>40</v>
      </c>
      <c r="F137" s="126">
        <v>40</v>
      </c>
      <c r="G137" s="126">
        <v>40</v>
      </c>
      <c r="H137" s="126">
        <v>40</v>
      </c>
      <c r="I137" s="126">
        <v>40</v>
      </c>
      <c r="J137" s="126">
        <v>40</v>
      </c>
      <c r="K137" s="126">
        <v>40</v>
      </c>
      <c r="L137" s="126">
        <v>40</v>
      </c>
      <c r="M137" s="126">
        <v>40</v>
      </c>
      <c r="N137" s="126">
        <v>40</v>
      </c>
      <c r="O137" s="126">
        <f t="shared" si="39"/>
        <v>480</v>
      </c>
      <c r="P137" s="172">
        <f>C137-Расчеты!C90</f>
        <v>0</v>
      </c>
      <c r="Q137" s="173">
        <f>D137-Расчеты!D90</f>
        <v>0</v>
      </c>
      <c r="R137" s="173">
        <f>E137-Расчеты!E90</f>
        <v>0</v>
      </c>
      <c r="S137" s="173">
        <f>F137-Расчеты!F90</f>
        <v>0</v>
      </c>
      <c r="T137" s="173">
        <f>G137-Расчеты!G90</f>
        <v>0</v>
      </c>
      <c r="U137" s="173">
        <f>H137-Расчеты!H90</f>
        <v>0</v>
      </c>
      <c r="V137" s="173">
        <f>I137-Расчеты!I90</f>
        <v>0</v>
      </c>
      <c r="W137" s="173">
        <f>J137-Расчеты!J90</f>
        <v>0</v>
      </c>
      <c r="X137" s="173">
        <f>K137-Расчеты!K90</f>
        <v>0</v>
      </c>
      <c r="Y137" s="173">
        <f>L137-Расчеты!L90</f>
        <v>0</v>
      </c>
      <c r="Z137" s="173">
        <f>M137-Расчеты!M90</f>
        <v>0</v>
      </c>
      <c r="AA137" s="173">
        <f>N137-Расчеты!N90</f>
        <v>0</v>
      </c>
      <c r="AB137" s="171">
        <f t="shared" si="40"/>
        <v>0</v>
      </c>
      <c r="AC137" s="143"/>
      <c r="AD137" s="143"/>
      <c r="AE137" s="143"/>
      <c r="AF137" s="143"/>
      <c r="AG137" s="143"/>
      <c r="AH137" s="143"/>
      <c r="AI137" s="143"/>
      <c r="AJ137" s="143"/>
      <c r="AK137" s="143"/>
      <c r="AL137" s="143"/>
      <c r="AM137" s="143"/>
      <c r="AN137" s="143"/>
      <c r="AO137" s="143"/>
      <c r="AP137" s="34"/>
    </row>
    <row r="138" spans="2:45" ht="20" customHeight="1">
      <c r="AP138" s="34"/>
    </row>
    <row r="139" spans="2:45" ht="20" customHeight="1">
      <c r="B139" s="174" t="s">
        <v>74</v>
      </c>
      <c r="C139" s="174"/>
      <c r="D139" s="174"/>
      <c r="E139" s="174"/>
      <c r="F139" s="174"/>
      <c r="G139" s="174"/>
      <c r="H139" s="174"/>
      <c r="I139" s="174" t="s">
        <v>47</v>
      </c>
      <c r="J139" s="174"/>
      <c r="K139" s="174"/>
      <c r="L139" s="174"/>
      <c r="M139" s="174"/>
      <c r="N139" s="174"/>
      <c r="O139" s="174"/>
      <c r="P139" s="326" t="s">
        <v>48</v>
      </c>
      <c r="Q139" s="326"/>
      <c r="R139" s="326"/>
      <c r="S139" s="326"/>
      <c r="T139" s="326"/>
      <c r="U139" s="326"/>
      <c r="V139" s="326"/>
      <c r="W139" s="326"/>
      <c r="X139" s="326"/>
      <c r="Y139" s="326"/>
      <c r="Z139" s="326"/>
      <c r="AA139" s="326"/>
      <c r="AB139" s="326"/>
      <c r="AC139" s="251"/>
      <c r="AD139" s="251"/>
      <c r="AE139" s="251"/>
      <c r="AF139" s="251"/>
      <c r="AG139" s="251"/>
      <c r="AH139" s="251"/>
      <c r="AI139" s="251"/>
      <c r="AJ139" s="251"/>
      <c r="AK139" s="251"/>
      <c r="AL139" s="251"/>
      <c r="AM139" s="251"/>
      <c r="AN139" s="251"/>
      <c r="AO139" s="251"/>
      <c r="AP139" s="328" t="s">
        <v>241</v>
      </c>
      <c r="AR139" s="13" t="s">
        <v>18</v>
      </c>
      <c r="AS139" s="1" t="str">
        <f>IF(AR139="Нет", " ", "Подумайте, в чём причина отклонений фактического числа кураторов от планового?")</f>
        <v xml:space="preserve"> </v>
      </c>
    </row>
    <row r="140" spans="2:45" ht="20" customHeight="1" thickBot="1">
      <c r="B140" s="113"/>
      <c r="C140" s="114" t="s">
        <v>186</v>
      </c>
      <c r="D140" s="114" t="s">
        <v>187</v>
      </c>
      <c r="E140" s="114" t="s">
        <v>188</v>
      </c>
      <c r="F140" s="114" t="s">
        <v>189</v>
      </c>
      <c r="G140" s="248">
        <v>46143</v>
      </c>
      <c r="H140" s="114" t="s">
        <v>190</v>
      </c>
      <c r="I140" s="114" t="s">
        <v>191</v>
      </c>
      <c r="J140" s="114" t="s">
        <v>192</v>
      </c>
      <c r="K140" s="114" t="s">
        <v>193</v>
      </c>
      <c r="L140" s="114" t="s">
        <v>194</v>
      </c>
      <c r="M140" s="114" t="s">
        <v>195</v>
      </c>
      <c r="N140" s="114" t="s">
        <v>196</v>
      </c>
      <c r="O140" s="115">
        <v>2026</v>
      </c>
      <c r="P140" s="114" t="s">
        <v>186</v>
      </c>
      <c r="Q140" s="114" t="s">
        <v>187</v>
      </c>
      <c r="R140" s="114" t="s">
        <v>188</v>
      </c>
      <c r="S140" s="114" t="s">
        <v>189</v>
      </c>
      <c r="T140" s="248">
        <v>46143</v>
      </c>
      <c r="U140" s="114" t="s">
        <v>190</v>
      </c>
      <c r="V140" s="114" t="s">
        <v>191</v>
      </c>
      <c r="W140" s="114" t="s">
        <v>192</v>
      </c>
      <c r="X140" s="114" t="s">
        <v>193</v>
      </c>
      <c r="Y140" s="114" t="s">
        <v>194</v>
      </c>
      <c r="Z140" s="114" t="s">
        <v>195</v>
      </c>
      <c r="AA140" s="114" t="s">
        <v>196</v>
      </c>
      <c r="AB140" s="116">
        <v>2026</v>
      </c>
      <c r="AC140" s="123"/>
      <c r="AD140" s="123"/>
      <c r="AE140" s="123"/>
      <c r="AF140" s="123"/>
      <c r="AG140" s="123"/>
      <c r="AH140" s="123"/>
      <c r="AI140" s="123"/>
      <c r="AJ140" s="123"/>
      <c r="AK140" s="123"/>
      <c r="AL140" s="123"/>
      <c r="AM140" s="123"/>
      <c r="AN140" s="123"/>
      <c r="AO140" s="123"/>
      <c r="AP140" s="329"/>
    </row>
    <row r="141" spans="2:45" ht="10.25" customHeight="1" thickBot="1">
      <c r="B141" s="123"/>
      <c r="C141" s="124"/>
      <c r="D141" s="124"/>
      <c r="E141" s="124"/>
      <c r="F141" s="124"/>
      <c r="G141" s="124"/>
      <c r="H141" s="124"/>
      <c r="I141" s="124"/>
      <c r="J141" s="124"/>
      <c r="K141" s="124"/>
      <c r="L141" s="124"/>
      <c r="M141" s="124"/>
      <c r="N141" s="124"/>
      <c r="O141" s="124"/>
      <c r="P141" s="124"/>
      <c r="Q141" s="124"/>
      <c r="R141" s="124"/>
      <c r="S141" s="124"/>
      <c r="T141" s="124"/>
      <c r="U141" s="124"/>
      <c r="V141" s="124"/>
      <c r="W141" s="124"/>
      <c r="X141" s="124"/>
      <c r="Y141" s="124"/>
      <c r="Z141" s="124"/>
      <c r="AA141" s="124"/>
      <c r="AB141" s="123"/>
      <c r="AC141" s="123"/>
      <c r="AD141" s="123"/>
      <c r="AE141" s="123"/>
      <c r="AF141" s="123"/>
      <c r="AG141" s="123"/>
      <c r="AH141" s="123"/>
      <c r="AI141" s="123"/>
      <c r="AJ141" s="123"/>
      <c r="AK141" s="123"/>
      <c r="AL141" s="123"/>
      <c r="AM141" s="123"/>
      <c r="AN141" s="123"/>
      <c r="AO141" s="123"/>
      <c r="AP141" s="329"/>
    </row>
    <row r="142" spans="2:45" ht="20" customHeight="1">
      <c r="B142" s="125" t="s">
        <v>21</v>
      </c>
      <c r="C142" s="126">
        <f t="shared" ref="C142:O142" si="41">SUM(C143:C147)</f>
        <v>5</v>
      </c>
      <c r="D142" s="126">
        <f t="shared" si="41"/>
        <v>5</v>
      </c>
      <c r="E142" s="126">
        <f t="shared" si="41"/>
        <v>5</v>
      </c>
      <c r="F142" s="126">
        <f t="shared" si="41"/>
        <v>5</v>
      </c>
      <c r="G142" s="126">
        <f t="shared" si="41"/>
        <v>5</v>
      </c>
      <c r="H142" s="126">
        <f t="shared" si="41"/>
        <v>5</v>
      </c>
      <c r="I142" s="126">
        <f t="shared" si="41"/>
        <v>5</v>
      </c>
      <c r="J142" s="126">
        <f t="shared" si="41"/>
        <v>5</v>
      </c>
      <c r="K142" s="126">
        <f t="shared" si="41"/>
        <v>5</v>
      </c>
      <c r="L142" s="126">
        <f t="shared" si="41"/>
        <v>5</v>
      </c>
      <c r="M142" s="126">
        <f t="shared" si="41"/>
        <v>5</v>
      </c>
      <c r="N142" s="126">
        <f t="shared" si="41"/>
        <v>5</v>
      </c>
      <c r="O142" s="126">
        <f t="shared" si="41"/>
        <v>5</v>
      </c>
      <c r="P142" s="162">
        <f>SUM(P143:P147)</f>
        <v>0</v>
      </c>
      <c r="Q142" s="163">
        <f t="shared" ref="Q142:AA142" si="42">SUM(Q143:Q147)</f>
        <v>0</v>
      </c>
      <c r="R142" s="163">
        <f t="shared" si="42"/>
        <v>0</v>
      </c>
      <c r="S142" s="163">
        <f t="shared" si="42"/>
        <v>0</v>
      </c>
      <c r="T142" s="163">
        <f t="shared" si="42"/>
        <v>0</v>
      </c>
      <c r="U142" s="163">
        <f t="shared" si="42"/>
        <v>0</v>
      </c>
      <c r="V142" s="163">
        <f t="shared" si="42"/>
        <v>0</v>
      </c>
      <c r="W142" s="163">
        <f t="shared" si="42"/>
        <v>0</v>
      </c>
      <c r="X142" s="163">
        <f t="shared" si="42"/>
        <v>0</v>
      </c>
      <c r="Y142" s="163">
        <f t="shared" si="42"/>
        <v>0</v>
      </c>
      <c r="Z142" s="163">
        <f t="shared" si="42"/>
        <v>0</v>
      </c>
      <c r="AA142" s="163">
        <f t="shared" si="42"/>
        <v>0</v>
      </c>
      <c r="AB142" s="164">
        <f>SUM(AB143:AB147)</f>
        <v>0</v>
      </c>
      <c r="AC142" s="143"/>
      <c r="AD142" s="143"/>
      <c r="AE142" s="143"/>
      <c r="AF142" s="143"/>
      <c r="AG142" s="143"/>
      <c r="AH142" s="143"/>
      <c r="AI142" s="143"/>
      <c r="AJ142" s="143"/>
      <c r="AK142" s="143"/>
      <c r="AL142" s="143"/>
      <c r="AM142" s="143"/>
      <c r="AN142" s="143"/>
      <c r="AO142" s="143"/>
      <c r="AP142" s="329"/>
    </row>
    <row r="143" spans="2:45" ht="20" customHeight="1" outlineLevel="1">
      <c r="B143" s="117" t="s">
        <v>65</v>
      </c>
      <c r="C143" s="118">
        <v>1</v>
      </c>
      <c r="D143" s="118">
        <v>1</v>
      </c>
      <c r="E143" s="118">
        <v>1</v>
      </c>
      <c r="F143" s="118">
        <v>1</v>
      </c>
      <c r="G143" s="118">
        <v>1</v>
      </c>
      <c r="H143" s="118">
        <v>1</v>
      </c>
      <c r="I143" s="118">
        <v>1</v>
      </c>
      <c r="J143" s="118">
        <v>1</v>
      </c>
      <c r="K143" s="118">
        <v>1</v>
      </c>
      <c r="L143" s="118">
        <v>1</v>
      </c>
      <c r="M143" s="118">
        <v>1</v>
      </c>
      <c r="N143" s="118">
        <v>1</v>
      </c>
      <c r="O143" s="66">
        <f>N143</f>
        <v>1</v>
      </c>
      <c r="P143" s="145">
        <f>C143-Расчеты!C96</f>
        <v>0</v>
      </c>
      <c r="Q143" s="131">
        <f>D143-Расчеты!D96</f>
        <v>0</v>
      </c>
      <c r="R143" s="131">
        <f>E143-Расчеты!E96</f>
        <v>0</v>
      </c>
      <c r="S143" s="131">
        <f>F143-Расчеты!F96</f>
        <v>0</v>
      </c>
      <c r="T143" s="131">
        <f>G143-Расчеты!G96</f>
        <v>0</v>
      </c>
      <c r="U143" s="131">
        <f>H143-Расчеты!H96</f>
        <v>0</v>
      </c>
      <c r="V143" s="131">
        <f>I143-Расчеты!I96</f>
        <v>0</v>
      </c>
      <c r="W143" s="131">
        <f>J143-Расчеты!J96</f>
        <v>0</v>
      </c>
      <c r="X143" s="131">
        <f>K143-Расчеты!K96</f>
        <v>0</v>
      </c>
      <c r="Y143" s="131">
        <f>L143-Расчеты!L96</f>
        <v>0</v>
      </c>
      <c r="Z143" s="131">
        <f>M143-Расчеты!M96</f>
        <v>0</v>
      </c>
      <c r="AA143" s="131">
        <f>N143-Расчеты!N96</f>
        <v>0</v>
      </c>
      <c r="AB143" s="146">
        <f>O143-Расчеты!O96</f>
        <v>0</v>
      </c>
      <c r="AC143" s="143"/>
      <c r="AD143" s="143"/>
      <c r="AE143" s="143"/>
      <c r="AF143" s="143"/>
      <c r="AG143" s="143"/>
      <c r="AH143" s="143"/>
      <c r="AI143" s="143"/>
      <c r="AJ143" s="143"/>
      <c r="AK143" s="143"/>
      <c r="AL143" s="143"/>
      <c r="AM143" s="143"/>
      <c r="AN143" s="143"/>
      <c r="AO143" s="143"/>
      <c r="AP143" s="329"/>
    </row>
    <row r="144" spans="2:45" ht="20" customHeight="1" outlineLevel="1">
      <c r="B144" s="147" t="s">
        <v>66</v>
      </c>
      <c r="C144" s="86">
        <v>1</v>
      </c>
      <c r="D144" s="86">
        <v>1</v>
      </c>
      <c r="E144" s="86">
        <v>1</v>
      </c>
      <c r="F144" s="86">
        <v>1</v>
      </c>
      <c r="G144" s="86">
        <v>1</v>
      </c>
      <c r="H144" s="86">
        <v>1</v>
      </c>
      <c r="I144" s="86">
        <v>1</v>
      </c>
      <c r="J144" s="86">
        <v>1</v>
      </c>
      <c r="K144" s="86">
        <v>1</v>
      </c>
      <c r="L144" s="86">
        <v>1</v>
      </c>
      <c r="M144" s="86">
        <v>1</v>
      </c>
      <c r="N144" s="86">
        <v>1</v>
      </c>
      <c r="O144" s="77">
        <f t="shared" ref="O144:O147" si="43">N144</f>
        <v>1</v>
      </c>
      <c r="P144" s="88">
        <f>C144-Расчеты!C97</f>
        <v>0</v>
      </c>
      <c r="Q144" s="133">
        <f>D144-Расчеты!D97</f>
        <v>0</v>
      </c>
      <c r="R144" s="133">
        <f>E144-Расчеты!E97</f>
        <v>0</v>
      </c>
      <c r="S144" s="133">
        <f>F144-Расчеты!F97</f>
        <v>0</v>
      </c>
      <c r="T144" s="133">
        <f>G144-Расчеты!G97</f>
        <v>0</v>
      </c>
      <c r="U144" s="133">
        <f>H144-Расчеты!H97</f>
        <v>0</v>
      </c>
      <c r="V144" s="133">
        <f>I144-Расчеты!I97</f>
        <v>0</v>
      </c>
      <c r="W144" s="133">
        <f>J144-Расчеты!J97</f>
        <v>0</v>
      </c>
      <c r="X144" s="133">
        <f>K144-Расчеты!K97</f>
        <v>0</v>
      </c>
      <c r="Y144" s="133">
        <f>L144-Расчеты!L97</f>
        <v>0</v>
      </c>
      <c r="Z144" s="133">
        <f>M144-Расчеты!M97</f>
        <v>0</v>
      </c>
      <c r="AA144" s="133">
        <f>N144-Расчеты!N97</f>
        <v>0</v>
      </c>
      <c r="AB144" s="134">
        <f>O144-Расчеты!O97</f>
        <v>0</v>
      </c>
      <c r="AC144" s="143"/>
      <c r="AD144" s="143"/>
      <c r="AE144" s="143"/>
      <c r="AF144" s="143"/>
      <c r="AG144" s="143"/>
      <c r="AH144" s="143"/>
      <c r="AI144" s="143"/>
      <c r="AJ144" s="143"/>
      <c r="AK144" s="143"/>
      <c r="AL144" s="143"/>
      <c r="AM144" s="143"/>
      <c r="AN144" s="143"/>
      <c r="AO144" s="143"/>
      <c r="AP144" s="34"/>
    </row>
    <row r="145" spans="2:45" ht="20" customHeight="1" outlineLevel="1">
      <c r="B145" s="147" t="s">
        <v>67</v>
      </c>
      <c r="C145" s="86">
        <v>1</v>
      </c>
      <c r="D145" s="86">
        <v>1</v>
      </c>
      <c r="E145" s="86">
        <v>1</v>
      </c>
      <c r="F145" s="86">
        <v>1</v>
      </c>
      <c r="G145" s="86">
        <v>1</v>
      </c>
      <c r="H145" s="86">
        <v>1</v>
      </c>
      <c r="I145" s="86">
        <v>1</v>
      </c>
      <c r="J145" s="86">
        <v>1</v>
      </c>
      <c r="K145" s="86">
        <v>1</v>
      </c>
      <c r="L145" s="86">
        <v>1</v>
      </c>
      <c r="M145" s="86">
        <v>1</v>
      </c>
      <c r="N145" s="86">
        <v>1</v>
      </c>
      <c r="O145" s="77">
        <f t="shared" si="43"/>
        <v>1</v>
      </c>
      <c r="P145" s="88">
        <f>C145-Расчеты!C98</f>
        <v>0</v>
      </c>
      <c r="Q145" s="133">
        <f>D145-Расчеты!D98</f>
        <v>0</v>
      </c>
      <c r="R145" s="133">
        <f>E145-Расчеты!E98</f>
        <v>0</v>
      </c>
      <c r="S145" s="133">
        <f>F145-Расчеты!F98</f>
        <v>0</v>
      </c>
      <c r="T145" s="133">
        <f>G145-Расчеты!G98</f>
        <v>0</v>
      </c>
      <c r="U145" s="133">
        <f>H145-Расчеты!H98</f>
        <v>0</v>
      </c>
      <c r="V145" s="133">
        <f>I145-Расчеты!I98</f>
        <v>0</v>
      </c>
      <c r="W145" s="133">
        <f>J145-Расчеты!J98</f>
        <v>0</v>
      </c>
      <c r="X145" s="133">
        <f>K145-Расчеты!K98</f>
        <v>0</v>
      </c>
      <c r="Y145" s="133">
        <f>L145-Расчеты!L98</f>
        <v>0</v>
      </c>
      <c r="Z145" s="133">
        <f>M145-Расчеты!M98</f>
        <v>0</v>
      </c>
      <c r="AA145" s="133">
        <f>N145-Расчеты!N98</f>
        <v>0</v>
      </c>
      <c r="AB145" s="134">
        <f>O145-Расчеты!O98</f>
        <v>0</v>
      </c>
      <c r="AC145" s="143"/>
      <c r="AD145" s="143"/>
      <c r="AE145" s="143"/>
      <c r="AF145" s="143"/>
      <c r="AG145" s="143"/>
      <c r="AH145" s="143"/>
      <c r="AI145" s="143"/>
      <c r="AJ145" s="143"/>
      <c r="AK145" s="143"/>
      <c r="AL145" s="143"/>
      <c r="AM145" s="143"/>
      <c r="AN145" s="143"/>
      <c r="AO145" s="143"/>
      <c r="AP145" s="34"/>
    </row>
    <row r="146" spans="2:45" ht="20" customHeight="1" outlineLevel="1">
      <c r="B146" s="147" t="s">
        <v>68</v>
      </c>
      <c r="C146" s="86">
        <v>1</v>
      </c>
      <c r="D146" s="86">
        <v>1</v>
      </c>
      <c r="E146" s="86">
        <v>1</v>
      </c>
      <c r="F146" s="86">
        <v>1</v>
      </c>
      <c r="G146" s="86">
        <v>1</v>
      </c>
      <c r="H146" s="86">
        <v>1</v>
      </c>
      <c r="I146" s="86">
        <v>1</v>
      </c>
      <c r="J146" s="86">
        <v>1</v>
      </c>
      <c r="K146" s="86">
        <v>1</v>
      </c>
      <c r="L146" s="86">
        <v>1</v>
      </c>
      <c r="M146" s="86">
        <v>1</v>
      </c>
      <c r="N146" s="86">
        <v>1</v>
      </c>
      <c r="O146" s="77">
        <f t="shared" si="43"/>
        <v>1</v>
      </c>
      <c r="P146" s="88">
        <f>C146-Расчеты!C99</f>
        <v>0</v>
      </c>
      <c r="Q146" s="133">
        <f>D146-Расчеты!D99</f>
        <v>0</v>
      </c>
      <c r="R146" s="133">
        <f>E146-Расчеты!E99</f>
        <v>0</v>
      </c>
      <c r="S146" s="133">
        <f>F146-Расчеты!F99</f>
        <v>0</v>
      </c>
      <c r="T146" s="133">
        <f>G146-Расчеты!G99</f>
        <v>0</v>
      </c>
      <c r="U146" s="133">
        <f>H146-Расчеты!H99</f>
        <v>0</v>
      </c>
      <c r="V146" s="133">
        <f>I146-Расчеты!I99</f>
        <v>0</v>
      </c>
      <c r="W146" s="133">
        <f>J146-Расчеты!J99</f>
        <v>0</v>
      </c>
      <c r="X146" s="133">
        <f>K146-Расчеты!K99</f>
        <v>0</v>
      </c>
      <c r="Y146" s="133">
        <f>L146-Расчеты!L99</f>
        <v>0</v>
      </c>
      <c r="Z146" s="133">
        <f>M146-Расчеты!M99</f>
        <v>0</v>
      </c>
      <c r="AA146" s="133">
        <f>N146-Расчеты!N99</f>
        <v>0</v>
      </c>
      <c r="AB146" s="134">
        <f>O146-Расчеты!O99</f>
        <v>0</v>
      </c>
      <c r="AC146" s="143"/>
      <c r="AD146" s="143"/>
      <c r="AE146" s="143"/>
      <c r="AF146" s="143"/>
      <c r="AG146" s="143"/>
      <c r="AH146" s="143"/>
      <c r="AI146" s="143"/>
      <c r="AJ146" s="143"/>
      <c r="AK146" s="143"/>
      <c r="AL146" s="143"/>
      <c r="AM146" s="143"/>
      <c r="AN146" s="143"/>
      <c r="AO146" s="143"/>
      <c r="AP146" s="34"/>
      <c r="AR146" s="9"/>
      <c r="AS146"/>
    </row>
    <row r="147" spans="2:45" ht="20" customHeight="1" outlineLevel="1">
      <c r="B147" s="119" t="s">
        <v>69</v>
      </c>
      <c r="C147" s="120">
        <v>1</v>
      </c>
      <c r="D147" s="120">
        <v>1</v>
      </c>
      <c r="E147" s="120">
        <v>1</v>
      </c>
      <c r="F147" s="120">
        <v>1</v>
      </c>
      <c r="G147" s="120">
        <v>1</v>
      </c>
      <c r="H147" s="120">
        <v>1</v>
      </c>
      <c r="I147" s="120">
        <v>1</v>
      </c>
      <c r="J147" s="120">
        <v>1</v>
      </c>
      <c r="K147" s="120">
        <v>1</v>
      </c>
      <c r="L147" s="120">
        <v>1</v>
      </c>
      <c r="M147" s="120">
        <v>1</v>
      </c>
      <c r="N147" s="120">
        <v>1</v>
      </c>
      <c r="O147" s="122">
        <f t="shared" si="43"/>
        <v>1</v>
      </c>
      <c r="P147" s="140">
        <f>C147-Расчеты!C100</f>
        <v>0</v>
      </c>
      <c r="Q147" s="138">
        <f>D147-Расчеты!D100</f>
        <v>0</v>
      </c>
      <c r="R147" s="138">
        <f>E147-Расчеты!E100</f>
        <v>0</v>
      </c>
      <c r="S147" s="138">
        <f>F147-Расчеты!F100</f>
        <v>0</v>
      </c>
      <c r="T147" s="138">
        <f>G147-Расчеты!G100</f>
        <v>0</v>
      </c>
      <c r="U147" s="138">
        <f>H147-Расчеты!H100</f>
        <v>0</v>
      </c>
      <c r="V147" s="138">
        <f>I147-Расчеты!I100</f>
        <v>0</v>
      </c>
      <c r="W147" s="138">
        <f>J147-Расчеты!J100</f>
        <v>0</v>
      </c>
      <c r="X147" s="138">
        <f>K147-Расчеты!K100</f>
        <v>0</v>
      </c>
      <c r="Y147" s="138">
        <f>L147-Расчеты!L100</f>
        <v>0</v>
      </c>
      <c r="Z147" s="138">
        <f>M147-Расчеты!M100</f>
        <v>0</v>
      </c>
      <c r="AA147" s="138">
        <f>N147-Расчеты!N100</f>
        <v>0</v>
      </c>
      <c r="AB147" s="141">
        <f>O147-Расчеты!O100</f>
        <v>0</v>
      </c>
      <c r="AC147" s="143"/>
      <c r="AD147" s="143"/>
      <c r="AE147" s="143"/>
      <c r="AF147" s="143"/>
      <c r="AG147" s="143"/>
      <c r="AH147" s="143"/>
      <c r="AI147" s="143"/>
      <c r="AJ147" s="143"/>
      <c r="AK147" s="143"/>
      <c r="AL147" s="143"/>
      <c r="AM147" s="143"/>
      <c r="AN147" s="143"/>
      <c r="AO147" s="143"/>
      <c r="AP147" s="34"/>
    </row>
    <row r="148" spans="2:45" ht="20" customHeight="1">
      <c r="B148" s="125" t="s">
        <v>22</v>
      </c>
      <c r="C148" s="126">
        <f>SUM(C149:C152)</f>
        <v>4</v>
      </c>
      <c r="D148" s="126">
        <f t="shared" ref="D148:O148" si="44">SUM(D149:D152)</f>
        <v>5</v>
      </c>
      <c r="E148" s="126">
        <f t="shared" si="44"/>
        <v>6</v>
      </c>
      <c r="F148" s="126">
        <f t="shared" si="44"/>
        <v>7</v>
      </c>
      <c r="G148" s="126">
        <f t="shared" si="44"/>
        <v>7</v>
      </c>
      <c r="H148" s="126">
        <f t="shared" si="44"/>
        <v>8</v>
      </c>
      <c r="I148" s="126">
        <f t="shared" si="44"/>
        <v>9</v>
      </c>
      <c r="J148" s="126">
        <f t="shared" si="44"/>
        <v>10</v>
      </c>
      <c r="K148" s="126">
        <f t="shared" si="44"/>
        <v>11</v>
      </c>
      <c r="L148" s="126">
        <f t="shared" si="44"/>
        <v>12</v>
      </c>
      <c r="M148" s="126">
        <f t="shared" si="44"/>
        <v>12</v>
      </c>
      <c r="N148" s="126">
        <f t="shared" si="44"/>
        <v>13</v>
      </c>
      <c r="O148" s="126">
        <f t="shared" si="44"/>
        <v>13</v>
      </c>
      <c r="P148" s="142">
        <f>SUM(P149:P152)</f>
        <v>0</v>
      </c>
      <c r="Q148" s="143">
        <f t="shared" ref="Q148:AA148" si="45">SUM(Q149:Q152)</f>
        <v>0</v>
      </c>
      <c r="R148" s="143">
        <f t="shared" si="45"/>
        <v>1</v>
      </c>
      <c r="S148" s="143">
        <f t="shared" si="45"/>
        <v>1</v>
      </c>
      <c r="T148" s="143">
        <f t="shared" si="45"/>
        <v>0</v>
      </c>
      <c r="U148" s="143">
        <f t="shared" si="45"/>
        <v>0</v>
      </c>
      <c r="V148" s="143">
        <f t="shared" si="45"/>
        <v>1</v>
      </c>
      <c r="W148" s="143">
        <f t="shared" si="45"/>
        <v>1</v>
      </c>
      <c r="X148" s="143">
        <f t="shared" si="45"/>
        <v>1</v>
      </c>
      <c r="Y148" s="143">
        <f t="shared" si="45"/>
        <v>1</v>
      </c>
      <c r="Z148" s="143">
        <f t="shared" si="45"/>
        <v>1</v>
      </c>
      <c r="AA148" s="143">
        <f t="shared" si="45"/>
        <v>1</v>
      </c>
      <c r="AB148" s="144">
        <f>SUM(AB149:AB152)</f>
        <v>1</v>
      </c>
      <c r="AC148" s="143"/>
      <c r="AD148" s="143"/>
      <c r="AE148" s="143"/>
      <c r="AF148" s="143"/>
      <c r="AG148" s="143"/>
      <c r="AH148" s="143"/>
      <c r="AI148" s="143"/>
      <c r="AJ148" s="143"/>
      <c r="AK148" s="143"/>
      <c r="AL148" s="143"/>
      <c r="AM148" s="143"/>
      <c r="AN148" s="143"/>
      <c r="AO148" s="143"/>
      <c r="AP148" s="34"/>
    </row>
    <row r="149" spans="2:45" ht="20" customHeight="1" outlineLevel="1">
      <c r="B149" s="117" t="s">
        <v>65</v>
      </c>
      <c r="C149" s="118">
        <v>1</v>
      </c>
      <c r="D149" s="118">
        <v>1</v>
      </c>
      <c r="E149" s="118">
        <v>1</v>
      </c>
      <c r="F149" s="118">
        <v>1</v>
      </c>
      <c r="G149" s="118">
        <v>1</v>
      </c>
      <c r="H149" s="118">
        <v>1</v>
      </c>
      <c r="I149" s="118">
        <v>1</v>
      </c>
      <c r="J149" s="118">
        <v>1</v>
      </c>
      <c r="K149" s="118">
        <v>1</v>
      </c>
      <c r="L149" s="118">
        <v>1</v>
      </c>
      <c r="M149" s="118">
        <v>1</v>
      </c>
      <c r="N149" s="118">
        <v>1</v>
      </c>
      <c r="O149" s="66">
        <f>N149</f>
        <v>1</v>
      </c>
      <c r="P149" s="145">
        <f>C149-Расчеты!C102</f>
        <v>0</v>
      </c>
      <c r="Q149" s="131">
        <f>D149-Расчеты!D102</f>
        <v>0</v>
      </c>
      <c r="R149" s="131">
        <f>E149-Расчеты!E102</f>
        <v>0</v>
      </c>
      <c r="S149" s="131">
        <f>F149-Расчеты!F102</f>
        <v>0</v>
      </c>
      <c r="T149" s="131">
        <f>G149-Расчеты!G102</f>
        <v>0</v>
      </c>
      <c r="U149" s="131">
        <f>H149-Расчеты!H102</f>
        <v>0</v>
      </c>
      <c r="V149" s="131">
        <f>I149-Расчеты!I102</f>
        <v>0</v>
      </c>
      <c r="W149" s="131">
        <f>J149-Расчеты!J102</f>
        <v>0</v>
      </c>
      <c r="X149" s="131">
        <f>K149-Расчеты!K102</f>
        <v>0</v>
      </c>
      <c r="Y149" s="131">
        <f>L149-Расчеты!L102</f>
        <v>0</v>
      </c>
      <c r="Z149" s="131">
        <f>M149-Расчеты!M102</f>
        <v>0</v>
      </c>
      <c r="AA149" s="131">
        <f>N149-Расчеты!N102</f>
        <v>0</v>
      </c>
      <c r="AB149" s="146">
        <f>O149-Расчеты!O96</f>
        <v>0</v>
      </c>
      <c r="AC149" s="143"/>
      <c r="AD149" s="143"/>
      <c r="AE149" s="143"/>
      <c r="AF149" s="143"/>
      <c r="AG149" s="143"/>
      <c r="AH149" s="143"/>
      <c r="AI149" s="143"/>
      <c r="AJ149" s="143"/>
      <c r="AK149" s="143"/>
      <c r="AL149" s="143"/>
      <c r="AM149" s="143"/>
      <c r="AN149" s="143"/>
      <c r="AO149" s="143"/>
      <c r="AP149" s="34"/>
    </row>
    <row r="150" spans="2:45" ht="20" customHeight="1" outlineLevel="1">
      <c r="B150" s="147" t="s">
        <v>70</v>
      </c>
      <c r="C150" s="86">
        <v>1</v>
      </c>
      <c r="D150" s="86">
        <v>2</v>
      </c>
      <c r="E150" s="86">
        <v>3</v>
      </c>
      <c r="F150" s="86">
        <v>4</v>
      </c>
      <c r="G150" s="86">
        <v>4</v>
      </c>
      <c r="H150" s="86">
        <v>5</v>
      </c>
      <c r="I150" s="86">
        <v>6</v>
      </c>
      <c r="J150" s="86">
        <v>7</v>
      </c>
      <c r="K150" s="86">
        <v>8</v>
      </c>
      <c r="L150" s="86">
        <v>9</v>
      </c>
      <c r="M150" s="86">
        <v>9</v>
      </c>
      <c r="N150" s="86">
        <v>10</v>
      </c>
      <c r="O150" s="77">
        <f t="shared" ref="O150" si="46">N150</f>
        <v>10</v>
      </c>
      <c r="P150" s="88">
        <f>C150-Расчеты!C103</f>
        <v>0</v>
      </c>
      <c r="Q150" s="133">
        <f>D150-Расчеты!D103</f>
        <v>0</v>
      </c>
      <c r="R150" s="133">
        <f>E150-Расчеты!E103</f>
        <v>1</v>
      </c>
      <c r="S150" s="133">
        <f>F150-Расчеты!F103</f>
        <v>1</v>
      </c>
      <c r="T150" s="133">
        <f>G150-Расчеты!G103</f>
        <v>0</v>
      </c>
      <c r="U150" s="133">
        <f>H150-Расчеты!H103</f>
        <v>0</v>
      </c>
      <c r="V150" s="133">
        <f>I150-Расчеты!I103</f>
        <v>1</v>
      </c>
      <c r="W150" s="133">
        <f>J150-Расчеты!J103</f>
        <v>1</v>
      </c>
      <c r="X150" s="133">
        <f>K150-Расчеты!K103</f>
        <v>1</v>
      </c>
      <c r="Y150" s="133">
        <f>L150-Расчеты!L103</f>
        <v>1</v>
      </c>
      <c r="Z150" s="133">
        <f>M150-Расчеты!M103</f>
        <v>1</v>
      </c>
      <c r="AA150" s="133">
        <f>N150-Расчеты!N103</f>
        <v>1</v>
      </c>
      <c r="AB150" s="134">
        <f>O150-Расчеты!O103</f>
        <v>1</v>
      </c>
      <c r="AC150" s="143"/>
      <c r="AD150" s="143"/>
      <c r="AE150" s="143"/>
      <c r="AF150" s="143"/>
      <c r="AG150" s="143"/>
      <c r="AH150" s="143"/>
      <c r="AI150" s="143"/>
      <c r="AJ150" s="143"/>
      <c r="AK150" s="143"/>
      <c r="AL150" s="143"/>
      <c r="AM150" s="143"/>
      <c r="AN150" s="143"/>
      <c r="AO150" s="143"/>
      <c r="AP150" s="36"/>
    </row>
    <row r="151" spans="2:45" ht="20" customHeight="1" outlineLevel="1">
      <c r="B151" s="147" t="s">
        <v>67</v>
      </c>
      <c r="C151" s="86">
        <v>1</v>
      </c>
      <c r="D151" s="86">
        <v>1</v>
      </c>
      <c r="E151" s="86">
        <v>1</v>
      </c>
      <c r="F151" s="86">
        <v>1</v>
      </c>
      <c r="G151" s="86">
        <v>1</v>
      </c>
      <c r="H151" s="86">
        <v>1</v>
      </c>
      <c r="I151" s="86">
        <v>1</v>
      </c>
      <c r="J151" s="86">
        <v>1</v>
      </c>
      <c r="K151" s="86">
        <v>1</v>
      </c>
      <c r="L151" s="86">
        <v>1</v>
      </c>
      <c r="M151" s="86">
        <v>1</v>
      </c>
      <c r="N151" s="86">
        <v>1</v>
      </c>
      <c r="O151" s="77">
        <f t="shared" ref="O151:O153" si="47">N151</f>
        <v>1</v>
      </c>
      <c r="P151" s="88">
        <f>C151-Расчеты!C104</f>
        <v>0</v>
      </c>
      <c r="Q151" s="133">
        <f>D151-Расчеты!D104</f>
        <v>0</v>
      </c>
      <c r="R151" s="133">
        <f>E151-Расчеты!E104</f>
        <v>0</v>
      </c>
      <c r="S151" s="133">
        <f>F151-Расчеты!F104</f>
        <v>0</v>
      </c>
      <c r="T151" s="133">
        <f>G151-Расчеты!G104</f>
        <v>0</v>
      </c>
      <c r="U151" s="133">
        <f>H151-Расчеты!H104</f>
        <v>0</v>
      </c>
      <c r="V151" s="133">
        <f>I151-Расчеты!I104</f>
        <v>0</v>
      </c>
      <c r="W151" s="133">
        <f>J151-Расчеты!J104</f>
        <v>0</v>
      </c>
      <c r="X151" s="133">
        <f>K151-Расчеты!K104</f>
        <v>0</v>
      </c>
      <c r="Y151" s="133">
        <f>L151-Расчеты!L104</f>
        <v>0</v>
      </c>
      <c r="Z151" s="133">
        <f>M151-Расчеты!M104</f>
        <v>0</v>
      </c>
      <c r="AA151" s="133">
        <f>N151-Расчеты!N104</f>
        <v>0</v>
      </c>
      <c r="AB151" s="134">
        <f>O151-Расчеты!O104</f>
        <v>0</v>
      </c>
      <c r="AC151" s="143"/>
      <c r="AD151" s="143"/>
      <c r="AE151" s="143"/>
      <c r="AF151" s="143"/>
      <c r="AG151" s="143"/>
      <c r="AH151" s="143"/>
      <c r="AI151" s="143"/>
      <c r="AJ151" s="143"/>
      <c r="AK151" s="143"/>
      <c r="AL151" s="143"/>
      <c r="AM151" s="143"/>
      <c r="AN151" s="143"/>
      <c r="AO151" s="143"/>
      <c r="AP151" s="34"/>
    </row>
    <row r="152" spans="2:45" ht="20" customHeight="1" outlineLevel="1">
      <c r="B152" s="119" t="s">
        <v>69</v>
      </c>
      <c r="C152" s="120">
        <v>1</v>
      </c>
      <c r="D152" s="120">
        <v>1</v>
      </c>
      <c r="E152" s="120">
        <v>1</v>
      </c>
      <c r="F152" s="120">
        <v>1</v>
      </c>
      <c r="G152" s="120">
        <v>1</v>
      </c>
      <c r="H152" s="120">
        <v>1</v>
      </c>
      <c r="I152" s="120">
        <v>1</v>
      </c>
      <c r="J152" s="120">
        <v>1</v>
      </c>
      <c r="K152" s="120">
        <v>1</v>
      </c>
      <c r="L152" s="120">
        <v>1</v>
      </c>
      <c r="M152" s="120">
        <v>1</v>
      </c>
      <c r="N152" s="120">
        <v>1</v>
      </c>
      <c r="O152" s="122">
        <f t="shared" si="47"/>
        <v>1</v>
      </c>
      <c r="P152" s="140">
        <f>C152-Расчеты!C105</f>
        <v>0</v>
      </c>
      <c r="Q152" s="138">
        <f>D152-Расчеты!D105</f>
        <v>0</v>
      </c>
      <c r="R152" s="138">
        <f>E152-Расчеты!E105</f>
        <v>0</v>
      </c>
      <c r="S152" s="138">
        <f>F152-Расчеты!F105</f>
        <v>0</v>
      </c>
      <c r="T152" s="138">
        <f>G152-Расчеты!G105</f>
        <v>0</v>
      </c>
      <c r="U152" s="138">
        <f>H152-Расчеты!H105</f>
        <v>0</v>
      </c>
      <c r="V152" s="138">
        <f>I152-Расчеты!I105</f>
        <v>0</v>
      </c>
      <c r="W152" s="138">
        <f>J152-Расчеты!J105</f>
        <v>0</v>
      </c>
      <c r="X152" s="138">
        <f>K152-Расчеты!K105</f>
        <v>0</v>
      </c>
      <c r="Y152" s="138">
        <f>L152-Расчеты!L105</f>
        <v>0</v>
      </c>
      <c r="Z152" s="138">
        <f>M152-Расчеты!M105</f>
        <v>0</v>
      </c>
      <c r="AA152" s="138">
        <f>N152-Расчеты!N105</f>
        <v>0</v>
      </c>
      <c r="AB152" s="141">
        <f>O152-Расчеты!O105</f>
        <v>0</v>
      </c>
      <c r="AC152" s="143"/>
      <c r="AD152" s="143"/>
      <c r="AE152" s="143"/>
      <c r="AF152" s="143"/>
      <c r="AG152" s="143"/>
      <c r="AH152" s="143"/>
      <c r="AI152" s="143"/>
      <c r="AJ152" s="143"/>
      <c r="AK152" s="143"/>
      <c r="AL152" s="143"/>
      <c r="AM152" s="143"/>
      <c r="AN152" s="143"/>
      <c r="AO152" s="143"/>
      <c r="AP152" s="34"/>
    </row>
    <row r="153" spans="2:45" ht="20" customHeight="1" thickBot="1">
      <c r="B153" s="125" t="s">
        <v>71</v>
      </c>
      <c r="C153" s="126">
        <v>1</v>
      </c>
      <c r="D153" s="126">
        <v>1</v>
      </c>
      <c r="E153" s="126">
        <v>1</v>
      </c>
      <c r="F153" s="126">
        <v>1</v>
      </c>
      <c r="G153" s="126">
        <v>1</v>
      </c>
      <c r="H153" s="126">
        <v>1</v>
      </c>
      <c r="I153" s="126">
        <v>1</v>
      </c>
      <c r="J153" s="126">
        <v>1</v>
      </c>
      <c r="K153" s="126">
        <v>1</v>
      </c>
      <c r="L153" s="126">
        <v>1</v>
      </c>
      <c r="M153" s="126">
        <v>1</v>
      </c>
      <c r="N153" s="126">
        <v>1</v>
      </c>
      <c r="O153" s="126">
        <f t="shared" si="47"/>
        <v>1</v>
      </c>
      <c r="P153" s="172">
        <f>C153-Расчеты!C106</f>
        <v>0</v>
      </c>
      <c r="Q153" s="173">
        <f>D153-Расчеты!D106</f>
        <v>0</v>
      </c>
      <c r="R153" s="173">
        <f>E153-Расчеты!E106</f>
        <v>0</v>
      </c>
      <c r="S153" s="173">
        <f>F153-Расчеты!F106</f>
        <v>0</v>
      </c>
      <c r="T153" s="173">
        <f>G153-Расчеты!G106</f>
        <v>0</v>
      </c>
      <c r="U153" s="173">
        <f>H153-Расчеты!H106</f>
        <v>0</v>
      </c>
      <c r="V153" s="173">
        <f>I153-Расчеты!I106</f>
        <v>0</v>
      </c>
      <c r="W153" s="173">
        <f>J153-Расчеты!J106</f>
        <v>0</v>
      </c>
      <c r="X153" s="173">
        <f>K153-Расчеты!K106</f>
        <v>0</v>
      </c>
      <c r="Y153" s="173">
        <f>L153-Расчеты!L106</f>
        <v>0</v>
      </c>
      <c r="Z153" s="173">
        <f>M153-Расчеты!M106</f>
        <v>0</v>
      </c>
      <c r="AA153" s="173">
        <f>N153-Расчеты!N106</f>
        <v>0</v>
      </c>
      <c r="AB153" s="171">
        <f>O153-Расчеты!O106</f>
        <v>0</v>
      </c>
      <c r="AC153" s="143"/>
      <c r="AD153" s="143"/>
      <c r="AE153" s="143"/>
      <c r="AF153" s="143"/>
      <c r="AG153" s="143"/>
      <c r="AH153" s="143"/>
      <c r="AI153" s="143"/>
      <c r="AJ153" s="143"/>
      <c r="AK153" s="143"/>
      <c r="AL153" s="143"/>
      <c r="AM153" s="143"/>
      <c r="AN153" s="143"/>
      <c r="AO153" s="143"/>
      <c r="AP153" s="34"/>
    </row>
    <row r="154" spans="2:45" ht="20" customHeight="1">
      <c r="P154" s="9"/>
      <c r="AP154" s="34"/>
    </row>
    <row r="155" spans="2:45" ht="20" customHeight="1">
      <c r="B155" s="174" t="s">
        <v>75</v>
      </c>
      <c r="C155" s="174"/>
      <c r="D155" s="174"/>
      <c r="E155" s="174"/>
      <c r="F155" s="174"/>
      <c r="G155" s="174"/>
      <c r="H155" s="174"/>
      <c r="I155" s="174" t="s">
        <v>47</v>
      </c>
      <c r="J155" s="174"/>
      <c r="K155" s="174"/>
      <c r="L155" s="174"/>
      <c r="M155" s="174"/>
      <c r="N155" s="174"/>
      <c r="O155" s="174"/>
      <c r="P155" s="326" t="s">
        <v>48</v>
      </c>
      <c r="Q155" s="326"/>
      <c r="R155" s="326"/>
      <c r="S155" s="326"/>
      <c r="T155" s="326"/>
      <c r="U155" s="326"/>
      <c r="V155" s="326"/>
      <c r="W155" s="326"/>
      <c r="X155" s="326"/>
      <c r="Y155" s="326"/>
      <c r="Z155" s="326"/>
      <c r="AA155" s="326"/>
      <c r="AB155" s="326"/>
      <c r="AC155" s="251"/>
      <c r="AD155" s="251"/>
      <c r="AE155" s="251"/>
      <c r="AF155" s="251"/>
      <c r="AG155" s="251"/>
      <c r="AH155" s="251"/>
      <c r="AI155" s="251"/>
      <c r="AJ155" s="251"/>
      <c r="AK155" s="251"/>
      <c r="AL155" s="251"/>
      <c r="AM155" s="251"/>
      <c r="AN155" s="251"/>
      <c r="AO155" s="251"/>
      <c r="AP155" s="328" t="s">
        <v>242</v>
      </c>
      <c r="AR155" s="13" t="s">
        <v>18</v>
      </c>
      <c r="AS155" s="1" t="str">
        <f>IF(AR155="Нет", " ", "Подумайте, в чём причина отклонений фактических данных от плановых? Связано ли это с количеством сотрудников?")</f>
        <v xml:space="preserve"> </v>
      </c>
    </row>
    <row r="156" spans="2:45" ht="20" customHeight="1" thickBot="1">
      <c r="B156" s="113"/>
      <c r="C156" s="114" t="s">
        <v>186</v>
      </c>
      <c r="D156" s="114" t="s">
        <v>187</v>
      </c>
      <c r="E156" s="114" t="s">
        <v>188</v>
      </c>
      <c r="F156" s="114" t="s">
        <v>189</v>
      </c>
      <c r="G156" s="248">
        <v>46143</v>
      </c>
      <c r="H156" s="114" t="s">
        <v>190</v>
      </c>
      <c r="I156" s="114" t="s">
        <v>191</v>
      </c>
      <c r="J156" s="114" t="s">
        <v>192</v>
      </c>
      <c r="K156" s="114" t="s">
        <v>193</v>
      </c>
      <c r="L156" s="114" t="s">
        <v>194</v>
      </c>
      <c r="M156" s="114" t="s">
        <v>195</v>
      </c>
      <c r="N156" s="114" t="s">
        <v>196</v>
      </c>
      <c r="O156" s="115">
        <v>2026</v>
      </c>
      <c r="P156" s="114" t="s">
        <v>186</v>
      </c>
      <c r="Q156" s="114" t="s">
        <v>187</v>
      </c>
      <c r="R156" s="114" t="s">
        <v>188</v>
      </c>
      <c r="S156" s="114" t="s">
        <v>189</v>
      </c>
      <c r="T156" s="248">
        <v>46143</v>
      </c>
      <c r="U156" s="114" t="s">
        <v>190</v>
      </c>
      <c r="V156" s="114" t="s">
        <v>191</v>
      </c>
      <c r="W156" s="114" t="s">
        <v>192</v>
      </c>
      <c r="X156" s="114" t="s">
        <v>193</v>
      </c>
      <c r="Y156" s="114" t="s">
        <v>194</v>
      </c>
      <c r="Z156" s="114" t="s">
        <v>195</v>
      </c>
      <c r="AA156" s="114" t="s">
        <v>196</v>
      </c>
      <c r="AB156" s="116">
        <v>2026</v>
      </c>
      <c r="AC156" s="123"/>
      <c r="AD156" s="123"/>
      <c r="AE156" s="123"/>
      <c r="AF156" s="123"/>
      <c r="AG156" s="123"/>
      <c r="AH156" s="123"/>
      <c r="AI156" s="123"/>
      <c r="AJ156" s="123"/>
      <c r="AK156" s="123"/>
      <c r="AL156" s="123"/>
      <c r="AM156" s="123"/>
      <c r="AN156" s="123"/>
      <c r="AO156" s="123"/>
      <c r="AP156" s="329"/>
    </row>
    <row r="157" spans="2:45" ht="10.25" customHeight="1" thickBot="1">
      <c r="B157" s="123"/>
      <c r="C157" s="124"/>
      <c r="D157" s="124"/>
      <c r="E157" s="124"/>
      <c r="F157" s="124"/>
      <c r="G157" s="124"/>
      <c r="H157" s="124"/>
      <c r="I157" s="124"/>
      <c r="J157" s="124"/>
      <c r="K157" s="124"/>
      <c r="L157" s="124"/>
      <c r="M157" s="124"/>
      <c r="N157" s="124"/>
      <c r="O157" s="124"/>
      <c r="P157" s="124"/>
      <c r="Q157" s="124"/>
      <c r="R157" s="124"/>
      <c r="S157" s="124"/>
      <c r="T157" s="124"/>
      <c r="U157" s="124"/>
      <c r="V157" s="124"/>
      <c r="W157" s="124"/>
      <c r="X157" s="124"/>
      <c r="Y157" s="124"/>
      <c r="Z157" s="124"/>
      <c r="AA157" s="124"/>
      <c r="AB157" s="123"/>
      <c r="AC157" s="123"/>
      <c r="AD157" s="123"/>
      <c r="AE157" s="123"/>
      <c r="AF157" s="123"/>
      <c r="AG157" s="123"/>
      <c r="AH157" s="123"/>
      <c r="AI157" s="123"/>
      <c r="AJ157" s="123"/>
      <c r="AK157" s="123"/>
      <c r="AL157" s="123"/>
      <c r="AM157" s="123"/>
      <c r="AN157" s="123"/>
      <c r="AO157" s="123"/>
      <c r="AP157" s="329"/>
    </row>
    <row r="158" spans="2:45" ht="20" customHeight="1">
      <c r="B158" s="125" t="s">
        <v>21</v>
      </c>
      <c r="C158" s="126">
        <f t="shared" ref="C158:N158" si="48">SUM(C159:C163)</f>
        <v>10</v>
      </c>
      <c r="D158" s="126">
        <f t="shared" si="48"/>
        <v>10</v>
      </c>
      <c r="E158" s="126">
        <f t="shared" si="48"/>
        <v>10</v>
      </c>
      <c r="F158" s="126">
        <f t="shared" si="48"/>
        <v>10</v>
      </c>
      <c r="G158" s="126">
        <f t="shared" si="48"/>
        <v>10</v>
      </c>
      <c r="H158" s="126">
        <f t="shared" si="48"/>
        <v>10</v>
      </c>
      <c r="I158" s="126">
        <f t="shared" si="48"/>
        <v>10</v>
      </c>
      <c r="J158" s="126">
        <f t="shared" si="48"/>
        <v>10</v>
      </c>
      <c r="K158" s="126">
        <f t="shared" si="48"/>
        <v>10</v>
      </c>
      <c r="L158" s="126">
        <f t="shared" si="48"/>
        <v>10</v>
      </c>
      <c r="M158" s="126">
        <f t="shared" si="48"/>
        <v>10</v>
      </c>
      <c r="N158" s="126">
        <f t="shared" si="48"/>
        <v>10</v>
      </c>
      <c r="O158" s="126">
        <f>SUM(C158:N158)</f>
        <v>120</v>
      </c>
      <c r="P158" s="162">
        <f>SUM(P159:P163)</f>
        <v>0</v>
      </c>
      <c r="Q158" s="163">
        <f t="shared" ref="Q158:AA158" si="49">SUM(Q159:Q163)</f>
        <v>0</v>
      </c>
      <c r="R158" s="163">
        <f t="shared" si="49"/>
        <v>0</v>
      </c>
      <c r="S158" s="163">
        <f t="shared" si="49"/>
        <v>0</v>
      </c>
      <c r="T158" s="163">
        <f t="shared" si="49"/>
        <v>0</v>
      </c>
      <c r="U158" s="163">
        <f t="shared" si="49"/>
        <v>0</v>
      </c>
      <c r="V158" s="163">
        <f t="shared" si="49"/>
        <v>0</v>
      </c>
      <c r="W158" s="163">
        <f t="shared" si="49"/>
        <v>0</v>
      </c>
      <c r="X158" s="163">
        <f t="shared" si="49"/>
        <v>0</v>
      </c>
      <c r="Y158" s="163">
        <f t="shared" si="49"/>
        <v>0</v>
      </c>
      <c r="Z158" s="163">
        <f t="shared" si="49"/>
        <v>0</v>
      </c>
      <c r="AA158" s="163">
        <f t="shared" si="49"/>
        <v>0</v>
      </c>
      <c r="AB158" s="164">
        <f>SUM(P158:AA158)</f>
        <v>0</v>
      </c>
      <c r="AC158" s="143"/>
      <c r="AD158" s="143"/>
      <c r="AE158" s="143"/>
      <c r="AF158" s="143"/>
      <c r="AG158" s="143"/>
      <c r="AH158" s="143"/>
      <c r="AI158" s="143"/>
      <c r="AJ158" s="143"/>
      <c r="AK158" s="143"/>
      <c r="AL158" s="143"/>
      <c r="AM158" s="143"/>
      <c r="AN158" s="143"/>
      <c r="AO158" s="143"/>
      <c r="AP158" s="329"/>
    </row>
    <row r="159" spans="2:45" ht="20" customHeight="1" outlineLevel="1">
      <c r="B159" s="117" t="s">
        <v>65</v>
      </c>
      <c r="C159" s="118">
        <v>2</v>
      </c>
      <c r="D159" s="118">
        <v>2</v>
      </c>
      <c r="E159" s="118">
        <v>2</v>
      </c>
      <c r="F159" s="118">
        <v>2</v>
      </c>
      <c r="G159" s="118">
        <v>2</v>
      </c>
      <c r="H159" s="118">
        <v>2</v>
      </c>
      <c r="I159" s="118">
        <v>2</v>
      </c>
      <c r="J159" s="118">
        <v>2</v>
      </c>
      <c r="K159" s="118">
        <v>2</v>
      </c>
      <c r="L159" s="118">
        <v>2</v>
      </c>
      <c r="M159" s="118">
        <v>2</v>
      </c>
      <c r="N159" s="118">
        <v>2</v>
      </c>
      <c r="O159" s="66">
        <f>SUM(C159:N159)</f>
        <v>24</v>
      </c>
      <c r="P159" s="145">
        <f>C159-Расчеты!C112</f>
        <v>0</v>
      </c>
      <c r="Q159" s="131">
        <f>D159-Расчеты!D112</f>
        <v>0</v>
      </c>
      <c r="R159" s="131">
        <f>E159-Расчеты!E112</f>
        <v>0</v>
      </c>
      <c r="S159" s="131">
        <f>F159-Расчеты!F112</f>
        <v>0</v>
      </c>
      <c r="T159" s="131">
        <f>G159-Расчеты!G112</f>
        <v>0</v>
      </c>
      <c r="U159" s="131">
        <f>H159-Расчеты!H112</f>
        <v>0</v>
      </c>
      <c r="V159" s="131">
        <f>I159-Расчеты!I112</f>
        <v>0</v>
      </c>
      <c r="W159" s="131">
        <f>J159-Расчеты!J112</f>
        <v>0</v>
      </c>
      <c r="X159" s="131">
        <f>K159-Расчеты!K112</f>
        <v>0</v>
      </c>
      <c r="Y159" s="131">
        <f>L159-Расчеты!L112</f>
        <v>0</v>
      </c>
      <c r="Z159" s="131">
        <f>M159-Расчеты!M112</f>
        <v>0</v>
      </c>
      <c r="AA159" s="131">
        <f>N159-Расчеты!N112</f>
        <v>0</v>
      </c>
      <c r="AB159" s="146">
        <f t="shared" ref="AB159:AB169" si="50">SUM(P159:AA159)</f>
        <v>0</v>
      </c>
      <c r="AC159" s="143"/>
      <c r="AD159" s="143"/>
      <c r="AE159" s="143"/>
      <c r="AF159" s="143"/>
      <c r="AG159" s="143"/>
      <c r="AH159" s="143"/>
      <c r="AI159" s="143"/>
      <c r="AJ159" s="143"/>
      <c r="AK159" s="143"/>
      <c r="AL159" s="143"/>
      <c r="AM159" s="143"/>
      <c r="AN159" s="143"/>
      <c r="AO159" s="143"/>
      <c r="AP159" s="329"/>
    </row>
    <row r="160" spans="2:45" ht="20" customHeight="1" outlineLevel="1">
      <c r="B160" s="147" t="s">
        <v>66</v>
      </c>
      <c r="C160" s="86">
        <v>2</v>
      </c>
      <c r="D160" s="86">
        <v>2</v>
      </c>
      <c r="E160" s="86">
        <v>2</v>
      </c>
      <c r="F160" s="86">
        <v>2</v>
      </c>
      <c r="G160" s="86">
        <v>2</v>
      </c>
      <c r="H160" s="86">
        <v>2</v>
      </c>
      <c r="I160" s="86">
        <v>2</v>
      </c>
      <c r="J160" s="86">
        <v>2</v>
      </c>
      <c r="K160" s="86">
        <v>2</v>
      </c>
      <c r="L160" s="86">
        <v>2</v>
      </c>
      <c r="M160" s="86">
        <v>2</v>
      </c>
      <c r="N160" s="86">
        <v>2</v>
      </c>
      <c r="O160" s="77">
        <f>SUM(C160:N160)</f>
        <v>24</v>
      </c>
      <c r="P160" s="88">
        <f>C160-Расчеты!C113</f>
        <v>0</v>
      </c>
      <c r="Q160" s="133">
        <f>D160-Расчеты!D113</f>
        <v>0</v>
      </c>
      <c r="R160" s="133">
        <f>E160-Расчеты!E113</f>
        <v>0</v>
      </c>
      <c r="S160" s="133">
        <f>F160-Расчеты!F113</f>
        <v>0</v>
      </c>
      <c r="T160" s="133">
        <f>G160-Расчеты!G113</f>
        <v>0</v>
      </c>
      <c r="U160" s="133">
        <f>H160-Расчеты!H113</f>
        <v>0</v>
      </c>
      <c r="V160" s="133">
        <f>I160-Расчеты!I113</f>
        <v>0</v>
      </c>
      <c r="W160" s="133">
        <f>J160-Расчеты!J113</f>
        <v>0</v>
      </c>
      <c r="X160" s="133">
        <f>K160-Расчеты!K113</f>
        <v>0</v>
      </c>
      <c r="Y160" s="133">
        <f>L160-Расчеты!L113</f>
        <v>0</v>
      </c>
      <c r="Z160" s="133">
        <f>M160-Расчеты!M113</f>
        <v>0</v>
      </c>
      <c r="AA160" s="133">
        <f>N160-Расчеты!N113</f>
        <v>0</v>
      </c>
      <c r="AB160" s="134">
        <f t="shared" si="50"/>
        <v>0</v>
      </c>
      <c r="AC160" s="143"/>
      <c r="AD160" s="143"/>
      <c r="AE160" s="143"/>
      <c r="AF160" s="143"/>
      <c r="AG160" s="143"/>
      <c r="AH160" s="143"/>
      <c r="AI160" s="143"/>
      <c r="AJ160" s="143"/>
      <c r="AK160" s="143"/>
      <c r="AL160" s="143"/>
      <c r="AM160" s="143"/>
      <c r="AN160" s="143"/>
      <c r="AO160" s="143"/>
      <c r="AP160" s="329"/>
    </row>
    <row r="161" spans="2:45" ht="20" customHeight="1" outlineLevel="1">
      <c r="B161" s="147" t="s">
        <v>67</v>
      </c>
      <c r="C161" s="86">
        <v>2</v>
      </c>
      <c r="D161" s="86">
        <v>2</v>
      </c>
      <c r="E161" s="86">
        <v>2</v>
      </c>
      <c r="F161" s="86">
        <v>2</v>
      </c>
      <c r="G161" s="86">
        <v>2</v>
      </c>
      <c r="H161" s="86">
        <v>2</v>
      </c>
      <c r="I161" s="86">
        <v>2</v>
      </c>
      <c r="J161" s="86">
        <v>2</v>
      </c>
      <c r="K161" s="86">
        <v>2</v>
      </c>
      <c r="L161" s="86">
        <v>2</v>
      </c>
      <c r="M161" s="86">
        <v>2</v>
      </c>
      <c r="N161" s="86">
        <v>2</v>
      </c>
      <c r="O161" s="77">
        <f t="shared" ref="O161:O163" si="51">SUM(C161:N161)</f>
        <v>24</v>
      </c>
      <c r="P161" s="88">
        <f>C161-Расчеты!C114</f>
        <v>0</v>
      </c>
      <c r="Q161" s="133">
        <f>D161-Расчеты!D114</f>
        <v>0</v>
      </c>
      <c r="R161" s="133">
        <f>E161-Расчеты!E114</f>
        <v>0</v>
      </c>
      <c r="S161" s="133">
        <f>F161-Расчеты!F114</f>
        <v>0</v>
      </c>
      <c r="T161" s="133">
        <f>G161-Расчеты!G114</f>
        <v>0</v>
      </c>
      <c r="U161" s="133">
        <f>H161-Расчеты!H114</f>
        <v>0</v>
      </c>
      <c r="V161" s="133">
        <f>I161-Расчеты!I114</f>
        <v>0</v>
      </c>
      <c r="W161" s="133">
        <f>J161-Расчеты!J114</f>
        <v>0</v>
      </c>
      <c r="X161" s="133">
        <f>K161-Расчеты!K114</f>
        <v>0</v>
      </c>
      <c r="Y161" s="133">
        <f>L161-Расчеты!L114</f>
        <v>0</v>
      </c>
      <c r="Z161" s="133">
        <f>M161-Расчеты!M114</f>
        <v>0</v>
      </c>
      <c r="AA161" s="133">
        <f>N161-Расчеты!N114</f>
        <v>0</v>
      </c>
      <c r="AB161" s="134">
        <f t="shared" si="50"/>
        <v>0</v>
      </c>
      <c r="AC161" s="143"/>
      <c r="AD161" s="143"/>
      <c r="AE161" s="143"/>
      <c r="AF161" s="143"/>
      <c r="AG161" s="143"/>
      <c r="AH161" s="143"/>
      <c r="AI161" s="143"/>
      <c r="AJ161" s="143"/>
      <c r="AK161" s="143"/>
      <c r="AL161" s="143"/>
      <c r="AM161" s="143"/>
      <c r="AN161" s="143"/>
      <c r="AO161" s="143"/>
      <c r="AP161" s="329"/>
    </row>
    <row r="162" spans="2:45" ht="20" customHeight="1" outlineLevel="1">
      <c r="B162" s="147" t="s">
        <v>68</v>
      </c>
      <c r="C162" s="86">
        <v>2</v>
      </c>
      <c r="D162" s="86">
        <v>2</v>
      </c>
      <c r="E162" s="86">
        <v>2</v>
      </c>
      <c r="F162" s="86">
        <v>2</v>
      </c>
      <c r="G162" s="86">
        <v>2</v>
      </c>
      <c r="H162" s="86">
        <v>2</v>
      </c>
      <c r="I162" s="86">
        <v>2</v>
      </c>
      <c r="J162" s="86">
        <v>2</v>
      </c>
      <c r="K162" s="86">
        <v>2</v>
      </c>
      <c r="L162" s="86">
        <v>2</v>
      </c>
      <c r="M162" s="86">
        <v>2</v>
      </c>
      <c r="N162" s="86">
        <v>2</v>
      </c>
      <c r="O162" s="77">
        <f t="shared" si="51"/>
        <v>24</v>
      </c>
      <c r="P162" s="88">
        <f>C162-Расчеты!C115</f>
        <v>0</v>
      </c>
      <c r="Q162" s="133">
        <f>D162-Расчеты!D115</f>
        <v>0</v>
      </c>
      <c r="R162" s="133">
        <f>E162-Расчеты!E115</f>
        <v>0</v>
      </c>
      <c r="S162" s="133">
        <f>F162-Расчеты!F115</f>
        <v>0</v>
      </c>
      <c r="T162" s="133">
        <f>G162-Расчеты!G115</f>
        <v>0</v>
      </c>
      <c r="U162" s="133">
        <f>H162-Расчеты!H115</f>
        <v>0</v>
      </c>
      <c r="V162" s="133">
        <f>I162-Расчеты!I115</f>
        <v>0</v>
      </c>
      <c r="W162" s="133">
        <f>J162-Расчеты!J115</f>
        <v>0</v>
      </c>
      <c r="X162" s="133">
        <f>K162-Расчеты!K115</f>
        <v>0</v>
      </c>
      <c r="Y162" s="133">
        <f>L162-Расчеты!L115</f>
        <v>0</v>
      </c>
      <c r="Z162" s="133">
        <f>M162-Расчеты!M115</f>
        <v>0</v>
      </c>
      <c r="AA162" s="133">
        <f>N162-Расчеты!N115</f>
        <v>0</v>
      </c>
      <c r="AB162" s="134">
        <f t="shared" si="50"/>
        <v>0</v>
      </c>
      <c r="AC162" s="143"/>
      <c r="AD162" s="143"/>
      <c r="AE162" s="143"/>
      <c r="AF162" s="143"/>
      <c r="AG162" s="143"/>
      <c r="AH162" s="143"/>
      <c r="AI162" s="143"/>
      <c r="AJ162" s="143"/>
      <c r="AK162" s="143"/>
      <c r="AL162" s="143"/>
      <c r="AM162" s="143"/>
      <c r="AN162" s="143"/>
      <c r="AO162" s="143"/>
      <c r="AP162" s="329"/>
    </row>
    <row r="163" spans="2:45" ht="20" customHeight="1" outlineLevel="1">
      <c r="B163" s="119" t="s">
        <v>69</v>
      </c>
      <c r="C163" s="120">
        <v>2</v>
      </c>
      <c r="D163" s="120">
        <v>2</v>
      </c>
      <c r="E163" s="120">
        <v>2</v>
      </c>
      <c r="F163" s="120">
        <v>2</v>
      </c>
      <c r="G163" s="120">
        <v>2</v>
      </c>
      <c r="H163" s="120">
        <v>2</v>
      </c>
      <c r="I163" s="120">
        <v>2</v>
      </c>
      <c r="J163" s="120">
        <v>2</v>
      </c>
      <c r="K163" s="120">
        <v>2</v>
      </c>
      <c r="L163" s="120">
        <v>2</v>
      </c>
      <c r="M163" s="120">
        <v>2</v>
      </c>
      <c r="N163" s="120">
        <v>2</v>
      </c>
      <c r="O163" s="122">
        <f t="shared" si="51"/>
        <v>24</v>
      </c>
      <c r="P163" s="140">
        <f>C163-Расчеты!C116</f>
        <v>0</v>
      </c>
      <c r="Q163" s="138">
        <f>D163-Расчеты!D116</f>
        <v>0</v>
      </c>
      <c r="R163" s="138">
        <f>E163-Расчеты!E116</f>
        <v>0</v>
      </c>
      <c r="S163" s="138">
        <f>F163-Расчеты!F116</f>
        <v>0</v>
      </c>
      <c r="T163" s="138">
        <f>G163-Расчеты!G116</f>
        <v>0</v>
      </c>
      <c r="U163" s="138">
        <f>H163-Расчеты!H116</f>
        <v>0</v>
      </c>
      <c r="V163" s="138">
        <f>I163-Расчеты!I116</f>
        <v>0</v>
      </c>
      <c r="W163" s="138">
        <f>J163-Расчеты!J116</f>
        <v>0</v>
      </c>
      <c r="X163" s="138">
        <f>K163-Расчеты!K116</f>
        <v>0</v>
      </c>
      <c r="Y163" s="138">
        <f>L163-Расчеты!L116</f>
        <v>0</v>
      </c>
      <c r="Z163" s="138">
        <f>M163-Расчеты!M116</f>
        <v>0</v>
      </c>
      <c r="AA163" s="138">
        <f>N163-Расчеты!N116</f>
        <v>0</v>
      </c>
      <c r="AB163" s="141">
        <f t="shared" si="50"/>
        <v>0</v>
      </c>
      <c r="AC163" s="143"/>
      <c r="AD163" s="143"/>
      <c r="AE163" s="143"/>
      <c r="AF163" s="143"/>
      <c r="AG163" s="143"/>
      <c r="AH163" s="143"/>
      <c r="AI163" s="143"/>
      <c r="AJ163" s="143"/>
      <c r="AK163" s="143"/>
      <c r="AL163" s="143"/>
      <c r="AM163" s="143"/>
      <c r="AN163" s="143"/>
      <c r="AO163" s="143"/>
      <c r="AP163" s="329"/>
    </row>
    <row r="164" spans="2:45" ht="20" customHeight="1">
      <c r="B164" s="125" t="s">
        <v>22</v>
      </c>
      <c r="C164" s="126">
        <f>SUM(C165:C168)</f>
        <v>8</v>
      </c>
      <c r="D164" s="126">
        <f t="shared" ref="D164:N164" si="52">SUM(D165:D168)</f>
        <v>10</v>
      </c>
      <c r="E164" s="126">
        <f t="shared" si="52"/>
        <v>12</v>
      </c>
      <c r="F164" s="126">
        <f t="shared" si="52"/>
        <v>14</v>
      </c>
      <c r="G164" s="126">
        <f t="shared" si="52"/>
        <v>14</v>
      </c>
      <c r="H164" s="126">
        <f t="shared" si="52"/>
        <v>16</v>
      </c>
      <c r="I164" s="126">
        <f t="shared" si="52"/>
        <v>18</v>
      </c>
      <c r="J164" s="126">
        <f t="shared" si="52"/>
        <v>20</v>
      </c>
      <c r="K164" s="126">
        <f t="shared" si="52"/>
        <v>22</v>
      </c>
      <c r="L164" s="126">
        <f t="shared" si="52"/>
        <v>24</v>
      </c>
      <c r="M164" s="126">
        <f t="shared" si="52"/>
        <v>24</v>
      </c>
      <c r="N164" s="126">
        <f t="shared" si="52"/>
        <v>26</v>
      </c>
      <c r="O164" s="126">
        <f>SUM(C164:N164)</f>
        <v>208</v>
      </c>
      <c r="P164" s="142">
        <f>SUM(P165:P168)</f>
        <v>0</v>
      </c>
      <c r="Q164" s="143">
        <f t="shared" ref="Q164:AA164" si="53">SUM(Q165:Q168)</f>
        <v>2</v>
      </c>
      <c r="R164" s="143">
        <f t="shared" si="53"/>
        <v>4</v>
      </c>
      <c r="S164" s="143">
        <f t="shared" si="53"/>
        <v>6</v>
      </c>
      <c r="T164" s="143">
        <f t="shared" si="53"/>
        <v>6</v>
      </c>
      <c r="U164" s="143">
        <f t="shared" si="53"/>
        <v>8</v>
      </c>
      <c r="V164" s="143">
        <f t="shared" si="53"/>
        <v>10</v>
      </c>
      <c r="W164" s="143">
        <f t="shared" si="53"/>
        <v>12</v>
      </c>
      <c r="X164" s="143">
        <f t="shared" si="53"/>
        <v>14</v>
      </c>
      <c r="Y164" s="143">
        <f t="shared" si="53"/>
        <v>16</v>
      </c>
      <c r="Z164" s="143">
        <f t="shared" si="53"/>
        <v>16</v>
      </c>
      <c r="AA164" s="143">
        <f t="shared" si="53"/>
        <v>18</v>
      </c>
      <c r="AB164" s="144">
        <f t="shared" si="50"/>
        <v>112</v>
      </c>
      <c r="AC164" s="143"/>
      <c r="AD164" s="143"/>
      <c r="AE164" s="143"/>
      <c r="AF164" s="143"/>
      <c r="AG164" s="143"/>
      <c r="AH164" s="143"/>
      <c r="AI164" s="143"/>
      <c r="AJ164" s="143"/>
      <c r="AK164" s="143"/>
      <c r="AL164" s="143"/>
      <c r="AM164" s="143"/>
      <c r="AN164" s="143"/>
      <c r="AO164" s="143"/>
      <c r="AP164" s="329"/>
    </row>
    <row r="165" spans="2:45" ht="20" customHeight="1" outlineLevel="1">
      <c r="B165" s="117" t="s">
        <v>65</v>
      </c>
      <c r="C165" s="118">
        <v>2</v>
      </c>
      <c r="D165" s="118">
        <v>2</v>
      </c>
      <c r="E165" s="118">
        <v>2</v>
      </c>
      <c r="F165" s="118">
        <v>2</v>
      </c>
      <c r="G165" s="118">
        <v>2</v>
      </c>
      <c r="H165" s="118">
        <v>2</v>
      </c>
      <c r="I165" s="118">
        <v>2</v>
      </c>
      <c r="J165" s="118">
        <v>2</v>
      </c>
      <c r="K165" s="118">
        <v>2</v>
      </c>
      <c r="L165" s="118">
        <v>2</v>
      </c>
      <c r="M165" s="118">
        <v>2</v>
      </c>
      <c r="N165" s="118">
        <v>2</v>
      </c>
      <c r="O165" s="66">
        <f t="shared" ref="O165:O169" si="54">SUM(C165:N165)</f>
        <v>24</v>
      </c>
      <c r="P165" s="145">
        <f>C165-Расчеты!C118</f>
        <v>0</v>
      </c>
      <c r="Q165" s="131">
        <f>D165-Расчеты!D118</f>
        <v>0</v>
      </c>
      <c r="R165" s="131">
        <f>E165-Расчеты!E118</f>
        <v>0</v>
      </c>
      <c r="S165" s="131">
        <f>F165-Расчеты!F118</f>
        <v>0</v>
      </c>
      <c r="T165" s="131">
        <f>G165-Расчеты!G118</f>
        <v>0</v>
      </c>
      <c r="U165" s="131">
        <f>H165-Расчеты!H118</f>
        <v>0</v>
      </c>
      <c r="V165" s="131">
        <f>I165-Расчеты!I118</f>
        <v>0</v>
      </c>
      <c r="W165" s="131">
        <f>J165-Расчеты!J118</f>
        <v>0</v>
      </c>
      <c r="X165" s="131">
        <f>K165-Расчеты!K118</f>
        <v>0</v>
      </c>
      <c r="Y165" s="131">
        <f>L165-Расчеты!L118</f>
        <v>0</v>
      </c>
      <c r="Z165" s="131">
        <f>M165-Расчеты!M118</f>
        <v>0</v>
      </c>
      <c r="AA165" s="131">
        <f>N165-Расчеты!N118</f>
        <v>0</v>
      </c>
      <c r="AB165" s="146">
        <f t="shared" si="50"/>
        <v>0</v>
      </c>
      <c r="AC165" s="143"/>
      <c r="AD165" s="143"/>
      <c r="AE165" s="143"/>
      <c r="AF165" s="143"/>
      <c r="AG165" s="143"/>
      <c r="AH165" s="143"/>
      <c r="AI165" s="143"/>
      <c r="AJ165" s="143"/>
      <c r="AK165" s="143"/>
      <c r="AL165" s="143"/>
      <c r="AM165" s="143"/>
      <c r="AN165" s="143"/>
      <c r="AO165" s="143"/>
      <c r="AP165" s="329"/>
    </row>
    <row r="166" spans="2:45" ht="20" customHeight="1" outlineLevel="1">
      <c r="B166" s="147" t="s">
        <v>70</v>
      </c>
      <c r="C166" s="86">
        <v>2</v>
      </c>
      <c r="D166" s="86">
        <v>4</v>
      </c>
      <c r="E166" s="86">
        <v>6</v>
      </c>
      <c r="F166" s="86">
        <v>8</v>
      </c>
      <c r="G166" s="86">
        <v>8</v>
      </c>
      <c r="H166" s="86">
        <v>10</v>
      </c>
      <c r="I166" s="86">
        <v>12</v>
      </c>
      <c r="J166" s="86">
        <v>14</v>
      </c>
      <c r="K166" s="86">
        <v>16</v>
      </c>
      <c r="L166" s="86">
        <v>18</v>
      </c>
      <c r="M166" s="86">
        <v>18</v>
      </c>
      <c r="N166" s="86">
        <v>20</v>
      </c>
      <c r="O166" s="77">
        <f t="shared" si="54"/>
        <v>136</v>
      </c>
      <c r="P166" s="88">
        <f>C166-Расчеты!C119</f>
        <v>0</v>
      </c>
      <c r="Q166" s="133">
        <f>D166-Расчеты!D119</f>
        <v>2</v>
      </c>
      <c r="R166" s="133">
        <f>E166-Расчеты!E119</f>
        <v>4</v>
      </c>
      <c r="S166" s="133">
        <f>F166-Расчеты!F119</f>
        <v>6</v>
      </c>
      <c r="T166" s="133">
        <f>G166-Расчеты!G119</f>
        <v>6</v>
      </c>
      <c r="U166" s="133">
        <f>H166-Расчеты!H119</f>
        <v>8</v>
      </c>
      <c r="V166" s="133">
        <f>I166-Расчеты!I119</f>
        <v>10</v>
      </c>
      <c r="W166" s="133">
        <f>J166-Расчеты!J119</f>
        <v>12</v>
      </c>
      <c r="X166" s="133">
        <f>K166-Расчеты!K119</f>
        <v>14</v>
      </c>
      <c r="Y166" s="133">
        <f>L166-Расчеты!L119</f>
        <v>16</v>
      </c>
      <c r="Z166" s="133">
        <f>M166-Расчеты!M119</f>
        <v>16</v>
      </c>
      <c r="AA166" s="133">
        <f>N166-Расчеты!N119</f>
        <v>18</v>
      </c>
      <c r="AB166" s="134">
        <f t="shared" si="50"/>
        <v>112</v>
      </c>
      <c r="AC166" s="143"/>
      <c r="AD166" s="143"/>
      <c r="AE166" s="143"/>
      <c r="AF166" s="143"/>
      <c r="AG166" s="143"/>
      <c r="AH166" s="143"/>
      <c r="AI166" s="143"/>
      <c r="AJ166" s="143"/>
      <c r="AK166" s="143"/>
      <c r="AL166" s="143"/>
      <c r="AM166" s="143"/>
      <c r="AN166" s="143"/>
      <c r="AO166" s="143"/>
      <c r="AP166" s="329"/>
    </row>
    <row r="167" spans="2:45" ht="20" customHeight="1" outlineLevel="1">
      <c r="B167" s="147" t="s">
        <v>67</v>
      </c>
      <c r="C167" s="86">
        <v>2</v>
      </c>
      <c r="D167" s="86">
        <v>2</v>
      </c>
      <c r="E167" s="86">
        <v>2</v>
      </c>
      <c r="F167" s="86">
        <v>2</v>
      </c>
      <c r="G167" s="86">
        <v>2</v>
      </c>
      <c r="H167" s="86">
        <v>2</v>
      </c>
      <c r="I167" s="86">
        <v>2</v>
      </c>
      <c r="J167" s="86">
        <v>2</v>
      </c>
      <c r="K167" s="86">
        <v>2</v>
      </c>
      <c r="L167" s="86">
        <v>2</v>
      </c>
      <c r="M167" s="86">
        <v>2</v>
      </c>
      <c r="N167" s="86">
        <v>2</v>
      </c>
      <c r="O167" s="77">
        <f t="shared" si="54"/>
        <v>24</v>
      </c>
      <c r="P167" s="88">
        <f>C167-Расчеты!C120</f>
        <v>0</v>
      </c>
      <c r="Q167" s="133">
        <f>D167-Расчеты!D120</f>
        <v>0</v>
      </c>
      <c r="R167" s="133">
        <f>E167-Расчеты!E120</f>
        <v>0</v>
      </c>
      <c r="S167" s="133">
        <f>F167-Расчеты!F120</f>
        <v>0</v>
      </c>
      <c r="T167" s="133">
        <f>G167-Расчеты!G120</f>
        <v>0</v>
      </c>
      <c r="U167" s="133">
        <f>H167-Расчеты!H120</f>
        <v>0</v>
      </c>
      <c r="V167" s="133">
        <f>I167-Расчеты!I120</f>
        <v>0</v>
      </c>
      <c r="W167" s="133">
        <f>J167-Расчеты!J120</f>
        <v>0</v>
      </c>
      <c r="X167" s="133">
        <f>K167-Расчеты!K120</f>
        <v>0</v>
      </c>
      <c r="Y167" s="133">
        <f>L167-Расчеты!L120</f>
        <v>0</v>
      </c>
      <c r="Z167" s="133">
        <f>M167-Расчеты!M120</f>
        <v>0</v>
      </c>
      <c r="AA167" s="133">
        <f>N167-Расчеты!N120</f>
        <v>0</v>
      </c>
      <c r="AB167" s="134">
        <f t="shared" si="50"/>
        <v>0</v>
      </c>
      <c r="AC167" s="143"/>
      <c r="AD167" s="143"/>
      <c r="AE167" s="143"/>
      <c r="AF167" s="143"/>
      <c r="AG167" s="143"/>
      <c r="AH167" s="143"/>
      <c r="AI167" s="143"/>
      <c r="AJ167" s="143"/>
      <c r="AK167" s="143"/>
      <c r="AL167" s="143"/>
      <c r="AM167" s="143"/>
      <c r="AN167" s="143"/>
      <c r="AO167" s="143"/>
      <c r="AP167" s="329"/>
    </row>
    <row r="168" spans="2:45" ht="20" customHeight="1" outlineLevel="1">
      <c r="B168" s="119" t="s">
        <v>69</v>
      </c>
      <c r="C168" s="120">
        <v>2</v>
      </c>
      <c r="D168" s="120">
        <v>2</v>
      </c>
      <c r="E168" s="120">
        <v>2</v>
      </c>
      <c r="F168" s="120">
        <v>2</v>
      </c>
      <c r="G168" s="120">
        <v>2</v>
      </c>
      <c r="H168" s="120">
        <v>2</v>
      </c>
      <c r="I168" s="120">
        <v>2</v>
      </c>
      <c r="J168" s="120">
        <v>2</v>
      </c>
      <c r="K168" s="120">
        <v>2</v>
      </c>
      <c r="L168" s="120">
        <v>2</v>
      </c>
      <c r="M168" s="120">
        <v>2</v>
      </c>
      <c r="N168" s="120">
        <v>2</v>
      </c>
      <c r="O168" s="122">
        <f t="shared" si="54"/>
        <v>24</v>
      </c>
      <c r="P168" s="140">
        <f>C168-Расчеты!C121</f>
        <v>0</v>
      </c>
      <c r="Q168" s="138">
        <f>D168-Расчеты!D121</f>
        <v>0</v>
      </c>
      <c r="R168" s="138">
        <f>E168-Расчеты!E121</f>
        <v>0</v>
      </c>
      <c r="S168" s="138">
        <f>F168-Расчеты!F121</f>
        <v>0</v>
      </c>
      <c r="T168" s="138">
        <f>G168-Расчеты!G121</f>
        <v>0</v>
      </c>
      <c r="U168" s="138">
        <f>H168-Расчеты!H121</f>
        <v>0</v>
      </c>
      <c r="V168" s="138">
        <f>I168-Расчеты!I121</f>
        <v>0</v>
      </c>
      <c r="W168" s="138">
        <f>J168-Расчеты!J121</f>
        <v>0</v>
      </c>
      <c r="X168" s="138">
        <f>K168-Расчеты!K121</f>
        <v>0</v>
      </c>
      <c r="Y168" s="138">
        <f>L168-Расчеты!L121</f>
        <v>0</v>
      </c>
      <c r="Z168" s="138">
        <f>M168-Расчеты!M121</f>
        <v>0</v>
      </c>
      <c r="AA168" s="138">
        <f>N168-Расчеты!N121</f>
        <v>0</v>
      </c>
      <c r="AB168" s="141">
        <f t="shared" si="50"/>
        <v>0</v>
      </c>
      <c r="AC168" s="143"/>
      <c r="AD168" s="143"/>
      <c r="AE168" s="143"/>
      <c r="AF168" s="143"/>
      <c r="AG168" s="143"/>
      <c r="AH168" s="143"/>
      <c r="AI168" s="143"/>
      <c r="AJ168" s="143"/>
      <c r="AK168" s="143"/>
      <c r="AL168" s="143"/>
      <c r="AM168" s="143"/>
      <c r="AN168" s="143"/>
      <c r="AO168" s="143"/>
      <c r="AP168" s="329"/>
    </row>
    <row r="169" spans="2:45" ht="20" customHeight="1" thickBot="1">
      <c r="B169" s="125" t="s">
        <v>71</v>
      </c>
      <c r="C169" s="126">
        <v>2</v>
      </c>
      <c r="D169" s="126">
        <v>2</v>
      </c>
      <c r="E169" s="126">
        <v>2</v>
      </c>
      <c r="F169" s="126">
        <v>2</v>
      </c>
      <c r="G169" s="126">
        <v>2</v>
      </c>
      <c r="H169" s="126">
        <v>2</v>
      </c>
      <c r="I169" s="126">
        <v>2</v>
      </c>
      <c r="J169" s="126">
        <v>2</v>
      </c>
      <c r="K169" s="126">
        <v>2</v>
      </c>
      <c r="L169" s="126">
        <v>2</v>
      </c>
      <c r="M169" s="126">
        <v>2</v>
      </c>
      <c r="N169" s="126">
        <v>2</v>
      </c>
      <c r="O169" s="126">
        <f t="shared" si="54"/>
        <v>24</v>
      </c>
      <c r="P169" s="172">
        <f>C169-Расчеты!C122</f>
        <v>0</v>
      </c>
      <c r="Q169" s="173">
        <f>D169-Расчеты!D122</f>
        <v>0</v>
      </c>
      <c r="R169" s="173">
        <f>E169-Расчеты!E122</f>
        <v>0</v>
      </c>
      <c r="S169" s="173">
        <f>F169-Расчеты!F122</f>
        <v>0</v>
      </c>
      <c r="T169" s="173">
        <f>G169-Расчеты!G122</f>
        <v>0</v>
      </c>
      <c r="U169" s="173">
        <f>H169-Расчеты!H122</f>
        <v>0</v>
      </c>
      <c r="V169" s="173">
        <f>I169-Расчеты!I122</f>
        <v>0</v>
      </c>
      <c r="W169" s="173">
        <f>J169-Расчеты!J122</f>
        <v>0</v>
      </c>
      <c r="X169" s="173">
        <f>K169-Расчеты!K122</f>
        <v>0</v>
      </c>
      <c r="Y169" s="173">
        <f>L169-Расчеты!L122</f>
        <v>0</v>
      </c>
      <c r="Z169" s="173">
        <f>M169-Расчеты!M122</f>
        <v>0</v>
      </c>
      <c r="AA169" s="173">
        <f>N169-Расчеты!N122</f>
        <v>0</v>
      </c>
      <c r="AB169" s="171">
        <f t="shared" si="50"/>
        <v>0</v>
      </c>
      <c r="AC169" s="143"/>
      <c r="AD169" s="143"/>
      <c r="AE169" s="143"/>
      <c r="AF169" s="143"/>
      <c r="AG169" s="143"/>
      <c r="AH169" s="143"/>
      <c r="AI169" s="143"/>
      <c r="AJ169" s="143"/>
      <c r="AK169" s="143"/>
      <c r="AL169" s="143"/>
      <c r="AM169" s="143"/>
      <c r="AN169" s="143"/>
      <c r="AO169" s="143"/>
      <c r="AP169" s="329"/>
    </row>
    <row r="170" spans="2:45" ht="20" customHeight="1">
      <c r="P170" s="9"/>
      <c r="Q170" s="9"/>
      <c r="R170" s="9"/>
      <c r="S170" s="9"/>
      <c r="T170" s="9"/>
      <c r="U170" s="9"/>
      <c r="V170" s="9"/>
      <c r="W170" s="9"/>
      <c r="X170" s="9"/>
      <c r="Y170" s="9"/>
      <c r="Z170" s="9"/>
      <c r="AA170" s="9"/>
      <c r="AP170" s="34"/>
    </row>
    <row r="171" spans="2:45" ht="20" customHeight="1">
      <c r="B171" s="174" t="s">
        <v>76</v>
      </c>
      <c r="C171" s="174"/>
      <c r="D171" s="174"/>
      <c r="E171" s="174"/>
      <c r="F171" s="174"/>
      <c r="G171" s="174"/>
      <c r="H171" s="174"/>
      <c r="I171" s="174"/>
      <c r="J171" s="174" t="s">
        <v>47</v>
      </c>
      <c r="K171" s="174"/>
      <c r="L171" s="174"/>
      <c r="M171" s="174"/>
      <c r="N171" s="174"/>
      <c r="O171" s="174"/>
      <c r="P171" s="326" t="s">
        <v>48</v>
      </c>
      <c r="Q171" s="326"/>
      <c r="R171" s="326"/>
      <c r="S171" s="326"/>
      <c r="T171" s="326"/>
      <c r="U171" s="326"/>
      <c r="V171" s="326"/>
      <c r="W171" s="326"/>
      <c r="X171" s="326"/>
      <c r="Y171" s="326"/>
      <c r="Z171" s="326"/>
      <c r="AA171" s="326"/>
      <c r="AB171" s="326"/>
      <c r="AC171" s="251"/>
      <c r="AD171" s="251"/>
      <c r="AE171" s="251"/>
      <c r="AF171" s="251"/>
      <c r="AG171" s="251"/>
      <c r="AH171" s="251"/>
      <c r="AI171" s="251"/>
      <c r="AJ171" s="251"/>
      <c r="AK171" s="251"/>
      <c r="AL171" s="251"/>
      <c r="AM171" s="251"/>
      <c r="AN171" s="251"/>
      <c r="AO171" s="251"/>
      <c r="AP171" s="328" t="s">
        <v>243</v>
      </c>
      <c r="AR171" s="13" t="s">
        <v>18</v>
      </c>
      <c r="AS171" s="1" t="str">
        <f>IF(AR171="Нет", " ", "В выгрузке отпускные учтены в выплатах авансов и заработной платы.")</f>
        <v xml:space="preserve"> </v>
      </c>
    </row>
    <row r="172" spans="2:45" ht="20" customHeight="1" thickBot="1">
      <c r="B172" s="153"/>
      <c r="C172" s="114" t="s">
        <v>186</v>
      </c>
      <c r="D172" s="114" t="s">
        <v>187</v>
      </c>
      <c r="E172" s="114" t="s">
        <v>188</v>
      </c>
      <c r="F172" s="114" t="s">
        <v>189</v>
      </c>
      <c r="G172" s="248">
        <v>46143</v>
      </c>
      <c r="H172" s="114" t="s">
        <v>190</v>
      </c>
      <c r="I172" s="114" t="s">
        <v>191</v>
      </c>
      <c r="J172" s="114" t="s">
        <v>192</v>
      </c>
      <c r="K172" s="114" t="s">
        <v>193</v>
      </c>
      <c r="L172" s="114" t="s">
        <v>194</v>
      </c>
      <c r="M172" s="114" t="s">
        <v>195</v>
      </c>
      <c r="N172" s="114" t="s">
        <v>196</v>
      </c>
      <c r="O172" s="115">
        <v>2026</v>
      </c>
      <c r="P172" s="114" t="s">
        <v>186</v>
      </c>
      <c r="Q172" s="114" t="s">
        <v>187</v>
      </c>
      <c r="R172" s="114" t="s">
        <v>188</v>
      </c>
      <c r="S172" s="114" t="s">
        <v>189</v>
      </c>
      <c r="T172" s="248">
        <v>46143</v>
      </c>
      <c r="U172" s="114" t="s">
        <v>190</v>
      </c>
      <c r="V172" s="114" t="s">
        <v>191</v>
      </c>
      <c r="W172" s="114" t="s">
        <v>192</v>
      </c>
      <c r="X172" s="114" t="s">
        <v>193</v>
      </c>
      <c r="Y172" s="114" t="s">
        <v>194</v>
      </c>
      <c r="Z172" s="114" t="s">
        <v>195</v>
      </c>
      <c r="AA172" s="114" t="s">
        <v>196</v>
      </c>
      <c r="AB172" s="116">
        <v>2026</v>
      </c>
      <c r="AC172" s="123"/>
      <c r="AD172" s="123"/>
      <c r="AE172" s="123"/>
      <c r="AF172" s="123"/>
      <c r="AG172" s="123"/>
      <c r="AH172" s="123"/>
      <c r="AI172" s="123"/>
      <c r="AJ172" s="123"/>
      <c r="AK172" s="123"/>
      <c r="AL172" s="123"/>
      <c r="AM172" s="123"/>
      <c r="AN172" s="123"/>
      <c r="AO172" s="123"/>
      <c r="AP172" s="328"/>
      <c r="AR172" s="13"/>
    </row>
    <row r="173" spans="2:45" ht="10.25" customHeight="1" thickBot="1">
      <c r="B173" s="123"/>
      <c r="C173" s="124"/>
      <c r="D173" s="124"/>
      <c r="E173" s="124"/>
      <c r="F173" s="124"/>
      <c r="G173" s="124"/>
      <c r="H173" s="124"/>
      <c r="I173" s="124"/>
      <c r="J173" s="124"/>
      <c r="K173" s="124"/>
      <c r="L173" s="124"/>
      <c r="M173" s="124"/>
      <c r="N173" s="124"/>
      <c r="O173" s="124"/>
      <c r="P173" s="124"/>
      <c r="Q173" s="124"/>
      <c r="R173" s="124"/>
      <c r="S173" s="124"/>
      <c r="T173" s="124"/>
      <c r="U173" s="124"/>
      <c r="V173" s="124"/>
      <c r="W173" s="124"/>
      <c r="X173" s="124"/>
      <c r="Y173" s="124"/>
      <c r="Z173" s="124"/>
      <c r="AA173" s="124"/>
      <c r="AB173" s="123"/>
      <c r="AC173" s="123"/>
      <c r="AD173" s="123"/>
      <c r="AE173" s="123"/>
      <c r="AF173" s="123"/>
      <c r="AG173" s="123"/>
      <c r="AH173" s="123"/>
      <c r="AI173" s="123"/>
      <c r="AJ173" s="123"/>
      <c r="AK173" s="123"/>
      <c r="AL173" s="123"/>
      <c r="AM173" s="123"/>
      <c r="AN173" s="123"/>
      <c r="AO173" s="123"/>
      <c r="AP173" s="328"/>
      <c r="AR173" s="13"/>
    </row>
    <row r="174" spans="2:45" ht="20" customHeight="1">
      <c r="B174" s="125" t="s">
        <v>21</v>
      </c>
      <c r="C174" s="126"/>
      <c r="D174" s="126"/>
      <c r="E174" s="126"/>
      <c r="F174" s="126"/>
      <c r="G174" s="126"/>
      <c r="H174" s="126"/>
      <c r="I174" s="126"/>
      <c r="J174" s="126"/>
      <c r="K174" s="126"/>
      <c r="L174" s="126"/>
      <c r="M174" s="126"/>
      <c r="N174" s="126"/>
      <c r="O174" s="126"/>
      <c r="P174" s="162">
        <f>SUM(P175:P179)</f>
        <v>-29.150684931506849</v>
      </c>
      <c r="Q174" s="163">
        <f t="shared" ref="Q174:AA174" si="55">SUM(Q175:Q179)</f>
        <v>-29.150684931506849</v>
      </c>
      <c r="R174" s="163">
        <f t="shared" si="55"/>
        <v>-29.150684931506849</v>
      </c>
      <c r="S174" s="163">
        <f t="shared" si="55"/>
        <v>-29.150684931506849</v>
      </c>
      <c r="T174" s="163">
        <f t="shared" si="55"/>
        <v>-29.150684931506849</v>
      </c>
      <c r="U174" s="163">
        <f t="shared" si="55"/>
        <v>-29.150684931506849</v>
      </c>
      <c r="V174" s="163">
        <f t="shared" si="55"/>
        <v>-29.150684931506849</v>
      </c>
      <c r="W174" s="163">
        <f t="shared" si="55"/>
        <v>-29.150684931506849</v>
      </c>
      <c r="X174" s="163">
        <f t="shared" si="55"/>
        <v>-29.150684931506849</v>
      </c>
      <c r="Y174" s="163">
        <f t="shared" si="55"/>
        <v>-29.150684931506849</v>
      </c>
      <c r="Z174" s="163">
        <f t="shared" si="55"/>
        <v>-29.150684931506849</v>
      </c>
      <c r="AA174" s="163">
        <f t="shared" si="55"/>
        <v>-29.150684931506849</v>
      </c>
      <c r="AB174" s="164">
        <f>SUM(P174:AA174)</f>
        <v>-349.80821917808225</v>
      </c>
      <c r="AC174" s="143"/>
      <c r="AD174" s="143"/>
      <c r="AE174" s="143"/>
      <c r="AF174" s="143"/>
      <c r="AG174" s="143"/>
      <c r="AH174" s="143"/>
      <c r="AI174" s="143"/>
      <c r="AJ174" s="143"/>
      <c r="AK174" s="143"/>
      <c r="AL174" s="143"/>
      <c r="AM174" s="143"/>
      <c r="AN174" s="143"/>
      <c r="AO174" s="143"/>
      <c r="AP174" s="328"/>
    </row>
    <row r="175" spans="2:45" ht="20" customHeight="1" outlineLevel="1">
      <c r="B175" s="117" t="s">
        <v>65</v>
      </c>
      <c r="C175" s="118"/>
      <c r="D175" s="118"/>
      <c r="E175" s="118"/>
      <c r="F175" s="118"/>
      <c r="G175" s="118"/>
      <c r="H175" s="118"/>
      <c r="I175" s="118"/>
      <c r="J175" s="118"/>
      <c r="K175" s="118"/>
      <c r="L175" s="118"/>
      <c r="M175" s="118"/>
      <c r="N175" s="118"/>
      <c r="O175" s="66"/>
      <c r="P175" s="145">
        <f>C175-Расчеты!C128</f>
        <v>-7.6712328767123283</v>
      </c>
      <c r="Q175" s="131">
        <f>D175-Расчеты!D128</f>
        <v>-7.6712328767123283</v>
      </c>
      <c r="R175" s="131">
        <f>E175-Расчеты!E128</f>
        <v>-7.6712328767123283</v>
      </c>
      <c r="S175" s="131">
        <f>F175-Расчеты!F128</f>
        <v>-7.6712328767123283</v>
      </c>
      <c r="T175" s="131">
        <f>G175-Расчеты!G128</f>
        <v>-7.6712328767123283</v>
      </c>
      <c r="U175" s="131">
        <f>H175-Расчеты!H128</f>
        <v>-7.6712328767123283</v>
      </c>
      <c r="V175" s="131">
        <f>I175-Расчеты!I128</f>
        <v>-7.6712328767123283</v>
      </c>
      <c r="W175" s="131">
        <f>J175-Расчеты!J128</f>
        <v>-7.6712328767123283</v>
      </c>
      <c r="X175" s="131">
        <f>K175-Расчеты!K128</f>
        <v>-7.6712328767123283</v>
      </c>
      <c r="Y175" s="131">
        <f>L175-Расчеты!L128</f>
        <v>-7.6712328767123283</v>
      </c>
      <c r="Z175" s="131">
        <f>M175-Расчеты!M128</f>
        <v>-7.6712328767123283</v>
      </c>
      <c r="AA175" s="131">
        <f>N175-Расчеты!N128</f>
        <v>-7.6712328767123283</v>
      </c>
      <c r="AB175" s="146">
        <f t="shared" ref="AB175:AB185" si="56">SUM(P175:AA175)</f>
        <v>-92.054794520547929</v>
      </c>
      <c r="AC175" s="143"/>
      <c r="AD175" s="143"/>
      <c r="AE175" s="143"/>
      <c r="AF175" s="143"/>
      <c r="AG175" s="143"/>
      <c r="AH175" s="143"/>
      <c r="AI175" s="143"/>
      <c r="AJ175" s="143"/>
      <c r="AK175" s="143"/>
      <c r="AL175" s="143"/>
      <c r="AM175" s="143"/>
      <c r="AN175" s="143"/>
      <c r="AO175" s="143"/>
      <c r="AP175" s="328"/>
    </row>
    <row r="176" spans="2:45" ht="20" customHeight="1" outlineLevel="1">
      <c r="B176" s="147" t="s">
        <v>66</v>
      </c>
      <c r="C176" s="86"/>
      <c r="D176" s="86"/>
      <c r="E176" s="86"/>
      <c r="F176" s="86"/>
      <c r="G176" s="86"/>
      <c r="H176" s="86"/>
      <c r="I176" s="86"/>
      <c r="J176" s="86"/>
      <c r="K176" s="86"/>
      <c r="L176" s="86"/>
      <c r="M176" s="86"/>
      <c r="N176" s="86"/>
      <c r="O176" s="77"/>
      <c r="P176" s="88">
        <f>C176-Расчеты!C129</f>
        <v>-4.602739726027397</v>
      </c>
      <c r="Q176" s="133">
        <f>D176-Расчеты!D129</f>
        <v>-4.602739726027397</v>
      </c>
      <c r="R176" s="133">
        <f>E176-Расчеты!E129</f>
        <v>-4.602739726027397</v>
      </c>
      <c r="S176" s="133">
        <f>F176-Расчеты!F129</f>
        <v>-4.602739726027397</v>
      </c>
      <c r="T176" s="133">
        <f>G176-Расчеты!G129</f>
        <v>-4.602739726027397</v>
      </c>
      <c r="U176" s="133">
        <f>H176-Расчеты!H129</f>
        <v>-4.602739726027397</v>
      </c>
      <c r="V176" s="133">
        <f>I176-Расчеты!I129</f>
        <v>-4.602739726027397</v>
      </c>
      <c r="W176" s="133">
        <f>J176-Расчеты!J129</f>
        <v>-4.602739726027397</v>
      </c>
      <c r="X176" s="133">
        <f>K176-Расчеты!K129</f>
        <v>-4.602739726027397</v>
      </c>
      <c r="Y176" s="133">
        <f>L176-Расчеты!L129</f>
        <v>-4.602739726027397</v>
      </c>
      <c r="Z176" s="133">
        <f>M176-Расчеты!M129</f>
        <v>-4.602739726027397</v>
      </c>
      <c r="AA176" s="133">
        <f>N176-Расчеты!N129</f>
        <v>-4.602739726027397</v>
      </c>
      <c r="AB176" s="134">
        <f t="shared" si="56"/>
        <v>-55.232876712328753</v>
      </c>
      <c r="AC176" s="143"/>
      <c r="AD176" s="143"/>
      <c r="AE176" s="143"/>
      <c r="AF176" s="143"/>
      <c r="AG176" s="143"/>
      <c r="AH176" s="143"/>
      <c r="AI176" s="143"/>
      <c r="AJ176" s="143"/>
      <c r="AK176" s="143"/>
      <c r="AL176" s="143"/>
      <c r="AM176" s="143"/>
      <c r="AN176" s="143"/>
      <c r="AO176" s="143"/>
      <c r="AP176" s="328"/>
    </row>
    <row r="177" spans="2:45" ht="20" customHeight="1" outlineLevel="1">
      <c r="B177" s="147" t="s">
        <v>67</v>
      </c>
      <c r="C177" s="86"/>
      <c r="D177" s="86"/>
      <c r="E177" s="86"/>
      <c r="F177" s="86"/>
      <c r="G177" s="86"/>
      <c r="H177" s="86"/>
      <c r="I177" s="86"/>
      <c r="J177" s="86"/>
      <c r="K177" s="86"/>
      <c r="L177" s="86"/>
      <c r="M177" s="86"/>
      <c r="N177" s="86"/>
      <c r="O177" s="77"/>
      <c r="P177" s="88">
        <f>C177-Расчеты!C130</f>
        <v>-4.602739726027397</v>
      </c>
      <c r="Q177" s="133">
        <f>D177-Расчеты!D130</f>
        <v>-4.602739726027397</v>
      </c>
      <c r="R177" s="133">
        <f>E177-Расчеты!E130</f>
        <v>-4.602739726027397</v>
      </c>
      <c r="S177" s="133">
        <f>F177-Расчеты!F130</f>
        <v>-4.602739726027397</v>
      </c>
      <c r="T177" s="133">
        <f>G177-Расчеты!G130</f>
        <v>-4.602739726027397</v>
      </c>
      <c r="U177" s="133">
        <f>H177-Расчеты!H130</f>
        <v>-4.602739726027397</v>
      </c>
      <c r="V177" s="133">
        <f>I177-Расчеты!I130</f>
        <v>-4.602739726027397</v>
      </c>
      <c r="W177" s="133">
        <f>J177-Расчеты!J130</f>
        <v>-4.602739726027397</v>
      </c>
      <c r="X177" s="133">
        <f>K177-Расчеты!K130</f>
        <v>-4.602739726027397</v>
      </c>
      <c r="Y177" s="133">
        <f>L177-Расчеты!L130</f>
        <v>-4.602739726027397</v>
      </c>
      <c r="Z177" s="133">
        <f>M177-Расчеты!M130</f>
        <v>-4.602739726027397</v>
      </c>
      <c r="AA177" s="133">
        <f>N177-Расчеты!N130</f>
        <v>-4.602739726027397</v>
      </c>
      <c r="AB177" s="134">
        <f t="shared" si="56"/>
        <v>-55.232876712328753</v>
      </c>
      <c r="AC177" s="143"/>
      <c r="AD177" s="143"/>
      <c r="AE177" s="143"/>
      <c r="AF177" s="143"/>
      <c r="AG177" s="143"/>
      <c r="AH177" s="143"/>
      <c r="AI177" s="143"/>
      <c r="AJ177" s="143"/>
      <c r="AK177" s="143"/>
      <c r="AL177" s="143"/>
      <c r="AM177" s="143"/>
      <c r="AN177" s="143"/>
      <c r="AO177" s="143"/>
      <c r="AP177" s="328"/>
    </row>
    <row r="178" spans="2:45" ht="20" customHeight="1" outlineLevel="1">
      <c r="B178" s="147" t="s">
        <v>68</v>
      </c>
      <c r="C178" s="86"/>
      <c r="D178" s="86"/>
      <c r="E178" s="86"/>
      <c r="F178" s="86"/>
      <c r="G178" s="86"/>
      <c r="H178" s="86"/>
      <c r="I178" s="86"/>
      <c r="J178" s="86"/>
      <c r="K178" s="86"/>
      <c r="L178" s="86"/>
      <c r="M178" s="86"/>
      <c r="N178" s="86"/>
      <c r="O178" s="77"/>
      <c r="P178" s="88">
        <f>C178-Расчеты!C131</f>
        <v>-6.1369863013698627</v>
      </c>
      <c r="Q178" s="133">
        <f>D178-Расчеты!D131</f>
        <v>-6.1369863013698627</v>
      </c>
      <c r="R178" s="133">
        <f>E178-Расчеты!E131</f>
        <v>-6.1369863013698627</v>
      </c>
      <c r="S178" s="133">
        <f>F178-Расчеты!F131</f>
        <v>-6.1369863013698627</v>
      </c>
      <c r="T178" s="133">
        <f>G178-Расчеты!G131</f>
        <v>-6.1369863013698627</v>
      </c>
      <c r="U178" s="133">
        <f>H178-Расчеты!H131</f>
        <v>-6.1369863013698627</v>
      </c>
      <c r="V178" s="133">
        <f>I178-Расчеты!I131</f>
        <v>-6.1369863013698627</v>
      </c>
      <c r="W178" s="133">
        <f>J178-Расчеты!J131</f>
        <v>-6.1369863013698627</v>
      </c>
      <c r="X178" s="133">
        <f>K178-Расчеты!K131</f>
        <v>-6.1369863013698627</v>
      </c>
      <c r="Y178" s="133">
        <f>L178-Расчеты!L131</f>
        <v>-6.1369863013698627</v>
      </c>
      <c r="Z178" s="133">
        <f>M178-Расчеты!M131</f>
        <v>-6.1369863013698627</v>
      </c>
      <c r="AA178" s="133">
        <f>N178-Расчеты!N131</f>
        <v>-6.1369863013698627</v>
      </c>
      <c r="AB178" s="134">
        <f t="shared" si="56"/>
        <v>-73.643835616438338</v>
      </c>
      <c r="AC178" s="143"/>
      <c r="AD178" s="143"/>
      <c r="AE178" s="143"/>
      <c r="AF178" s="143"/>
      <c r="AG178" s="143"/>
      <c r="AH178" s="143"/>
      <c r="AI178" s="143"/>
      <c r="AJ178" s="143"/>
      <c r="AK178" s="143"/>
      <c r="AL178" s="143"/>
      <c r="AM178" s="143"/>
      <c r="AN178" s="143"/>
      <c r="AO178" s="143"/>
      <c r="AP178" s="328"/>
    </row>
    <row r="179" spans="2:45" ht="20" customHeight="1" outlineLevel="1">
      <c r="B179" s="119" t="s">
        <v>69</v>
      </c>
      <c r="C179" s="120"/>
      <c r="D179" s="120"/>
      <c r="E179" s="120"/>
      <c r="F179" s="120"/>
      <c r="G179" s="120"/>
      <c r="H179" s="120"/>
      <c r="I179" s="120"/>
      <c r="J179" s="120"/>
      <c r="K179" s="120"/>
      <c r="L179" s="120"/>
      <c r="M179" s="120"/>
      <c r="N179" s="120"/>
      <c r="O179" s="122"/>
      <c r="P179" s="140">
        <f>C179-Расчеты!C132</f>
        <v>-6.1369863013698627</v>
      </c>
      <c r="Q179" s="138">
        <f>D179-Расчеты!D132</f>
        <v>-6.1369863013698627</v>
      </c>
      <c r="R179" s="138">
        <f>E179-Расчеты!E132</f>
        <v>-6.1369863013698627</v>
      </c>
      <c r="S179" s="138">
        <f>F179-Расчеты!F132</f>
        <v>-6.1369863013698627</v>
      </c>
      <c r="T179" s="138">
        <f>G179-Расчеты!G132</f>
        <v>-6.1369863013698627</v>
      </c>
      <c r="U179" s="138">
        <f>H179-Расчеты!H132</f>
        <v>-6.1369863013698627</v>
      </c>
      <c r="V179" s="138">
        <f>I179-Расчеты!I132</f>
        <v>-6.1369863013698627</v>
      </c>
      <c r="W179" s="138">
        <f>J179-Расчеты!J132</f>
        <v>-6.1369863013698627</v>
      </c>
      <c r="X179" s="138">
        <f>K179-Расчеты!K132</f>
        <v>-6.1369863013698627</v>
      </c>
      <c r="Y179" s="138">
        <f>L179-Расчеты!L132</f>
        <v>-6.1369863013698627</v>
      </c>
      <c r="Z179" s="138">
        <f>M179-Расчеты!M132</f>
        <v>-6.1369863013698627</v>
      </c>
      <c r="AA179" s="138">
        <f>N179-Расчеты!N132</f>
        <v>-6.1369863013698627</v>
      </c>
      <c r="AB179" s="141">
        <f t="shared" si="56"/>
        <v>-73.643835616438338</v>
      </c>
      <c r="AC179" s="143"/>
      <c r="AD179" s="143"/>
      <c r="AE179" s="143"/>
      <c r="AF179" s="143"/>
      <c r="AG179" s="143"/>
      <c r="AH179" s="143"/>
      <c r="AI179" s="143"/>
      <c r="AJ179" s="143"/>
      <c r="AK179" s="143"/>
      <c r="AL179" s="143"/>
      <c r="AM179" s="143"/>
      <c r="AN179" s="143"/>
      <c r="AO179" s="143"/>
      <c r="AP179" s="328"/>
    </row>
    <row r="180" spans="2:45" ht="20" customHeight="1">
      <c r="B180" s="125" t="s">
        <v>22</v>
      </c>
      <c r="C180" s="126"/>
      <c r="D180" s="126"/>
      <c r="E180" s="126"/>
      <c r="F180" s="126"/>
      <c r="G180" s="126"/>
      <c r="H180" s="126"/>
      <c r="I180" s="126"/>
      <c r="J180" s="126"/>
      <c r="K180" s="126"/>
      <c r="L180" s="126"/>
      <c r="M180" s="126"/>
      <c r="N180" s="126"/>
      <c r="O180" s="126"/>
      <c r="P180" s="142">
        <f>SUM(P181:P184)</f>
        <v>-26.849315068493151</v>
      </c>
      <c r="Q180" s="143">
        <f t="shared" ref="Q180:AA180" si="57">SUM(Q181:Q184)</f>
        <v>-26.849315068493151</v>
      </c>
      <c r="R180" s="143">
        <f t="shared" si="57"/>
        <v>-26.849315068493151</v>
      </c>
      <c r="S180" s="143">
        <f t="shared" si="57"/>
        <v>-26.849315068493151</v>
      </c>
      <c r="T180" s="143">
        <f t="shared" si="57"/>
        <v>-26.849315068493151</v>
      </c>
      <c r="U180" s="143">
        <f t="shared" si="57"/>
        <v>-26.849315068493151</v>
      </c>
      <c r="V180" s="143">
        <f t="shared" si="57"/>
        <v>-26.849315068493151</v>
      </c>
      <c r="W180" s="143">
        <f t="shared" si="57"/>
        <v>-26.849315068493151</v>
      </c>
      <c r="X180" s="143">
        <f t="shared" si="57"/>
        <v>-26.849315068493151</v>
      </c>
      <c r="Y180" s="143">
        <f t="shared" si="57"/>
        <v>-26.849315068493151</v>
      </c>
      <c r="Z180" s="143">
        <f t="shared" si="57"/>
        <v>-26.849315068493151</v>
      </c>
      <c r="AA180" s="143">
        <f t="shared" si="57"/>
        <v>-26.849315068493151</v>
      </c>
      <c r="AB180" s="144">
        <f t="shared" si="56"/>
        <v>-322.19178082191775</v>
      </c>
      <c r="AC180" s="143"/>
      <c r="AD180" s="143"/>
      <c r="AE180" s="143"/>
      <c r="AF180" s="143"/>
      <c r="AG180" s="143"/>
      <c r="AH180" s="143"/>
      <c r="AI180" s="143"/>
      <c r="AJ180" s="143"/>
      <c r="AK180" s="143"/>
      <c r="AL180" s="143"/>
      <c r="AM180" s="143"/>
      <c r="AN180" s="143"/>
      <c r="AO180" s="143"/>
      <c r="AP180" s="328"/>
    </row>
    <row r="181" spans="2:45" ht="20" customHeight="1" outlineLevel="1">
      <c r="B181" s="117" t="s">
        <v>65</v>
      </c>
      <c r="C181" s="118"/>
      <c r="D181" s="118"/>
      <c r="E181" s="118"/>
      <c r="F181" s="118"/>
      <c r="G181" s="118"/>
      <c r="H181" s="118"/>
      <c r="I181" s="118"/>
      <c r="J181" s="118"/>
      <c r="K181" s="118"/>
      <c r="L181" s="118"/>
      <c r="M181" s="118"/>
      <c r="N181" s="118"/>
      <c r="O181" s="66"/>
      <c r="P181" s="145">
        <f>C181-Расчеты!C134</f>
        <v>-7.6712328767123283</v>
      </c>
      <c r="Q181" s="131">
        <f>D181-Расчеты!D134</f>
        <v>-7.6712328767123283</v>
      </c>
      <c r="R181" s="131">
        <f>E181-Расчеты!E134</f>
        <v>-7.6712328767123283</v>
      </c>
      <c r="S181" s="131">
        <f>F181-Расчеты!F134</f>
        <v>-7.6712328767123283</v>
      </c>
      <c r="T181" s="131">
        <f>G181-Расчеты!G134</f>
        <v>-7.6712328767123283</v>
      </c>
      <c r="U181" s="131">
        <f>H181-Расчеты!H134</f>
        <v>-7.6712328767123283</v>
      </c>
      <c r="V181" s="131">
        <f>I181-Расчеты!I134</f>
        <v>-7.6712328767123283</v>
      </c>
      <c r="W181" s="131">
        <f>J181-Расчеты!J134</f>
        <v>-7.6712328767123283</v>
      </c>
      <c r="X181" s="131">
        <f>K181-Расчеты!K134</f>
        <v>-7.6712328767123283</v>
      </c>
      <c r="Y181" s="131">
        <f>L181-Расчеты!L134</f>
        <v>-7.6712328767123283</v>
      </c>
      <c r="Z181" s="131">
        <f>M181-Расчеты!M134</f>
        <v>-7.6712328767123283</v>
      </c>
      <c r="AA181" s="131">
        <f>N181-Расчеты!N134</f>
        <v>-7.6712328767123283</v>
      </c>
      <c r="AB181" s="146">
        <f t="shared" si="56"/>
        <v>-92.054794520547929</v>
      </c>
      <c r="AC181" s="143"/>
      <c r="AD181" s="143"/>
      <c r="AE181" s="143"/>
      <c r="AF181" s="143"/>
      <c r="AG181" s="143"/>
      <c r="AH181" s="143"/>
      <c r="AI181" s="143"/>
      <c r="AJ181" s="143"/>
      <c r="AK181" s="143"/>
      <c r="AL181" s="143"/>
      <c r="AM181" s="143"/>
      <c r="AN181" s="143"/>
      <c r="AO181" s="143"/>
      <c r="AP181" s="328"/>
    </row>
    <row r="182" spans="2:45" ht="20" customHeight="1" outlineLevel="1">
      <c r="B182" s="147" t="s">
        <v>70</v>
      </c>
      <c r="C182" s="86"/>
      <c r="D182" s="86"/>
      <c r="E182" s="86"/>
      <c r="F182" s="86"/>
      <c r="G182" s="86"/>
      <c r="H182" s="86"/>
      <c r="I182" s="86"/>
      <c r="J182" s="86"/>
      <c r="K182" s="86"/>
      <c r="L182" s="86"/>
      <c r="M182" s="86"/>
      <c r="N182" s="86"/>
      <c r="O182" s="77"/>
      <c r="P182" s="88">
        <f>C182-Расчеты!C135</f>
        <v>-7.6712328767123283</v>
      </c>
      <c r="Q182" s="133">
        <f>D182-Расчеты!D135</f>
        <v>-7.6712328767123283</v>
      </c>
      <c r="R182" s="133">
        <f>E182-Расчеты!E135</f>
        <v>-7.6712328767123283</v>
      </c>
      <c r="S182" s="133">
        <f>F182-Расчеты!F135</f>
        <v>-7.6712328767123283</v>
      </c>
      <c r="T182" s="133">
        <f>G182-Расчеты!G135</f>
        <v>-7.6712328767123283</v>
      </c>
      <c r="U182" s="133">
        <f>H182-Расчеты!H135</f>
        <v>-7.6712328767123283</v>
      </c>
      <c r="V182" s="133">
        <f>I182-Расчеты!I135</f>
        <v>-7.6712328767123283</v>
      </c>
      <c r="W182" s="133">
        <f>J182-Расчеты!J135</f>
        <v>-7.6712328767123283</v>
      </c>
      <c r="X182" s="133">
        <f>K182-Расчеты!K135</f>
        <v>-7.6712328767123283</v>
      </c>
      <c r="Y182" s="133">
        <f>L182-Расчеты!L135</f>
        <v>-7.6712328767123283</v>
      </c>
      <c r="Z182" s="133">
        <f>M182-Расчеты!M135</f>
        <v>-7.6712328767123283</v>
      </c>
      <c r="AA182" s="133">
        <f>N182-Расчеты!N135</f>
        <v>-7.6712328767123283</v>
      </c>
      <c r="AB182" s="134">
        <f t="shared" si="56"/>
        <v>-92.054794520547929</v>
      </c>
      <c r="AC182" s="143"/>
      <c r="AD182" s="143"/>
      <c r="AE182" s="143"/>
      <c r="AF182" s="143"/>
      <c r="AG182" s="143"/>
      <c r="AH182" s="143"/>
      <c r="AI182" s="143"/>
      <c r="AJ182" s="143"/>
      <c r="AK182" s="143"/>
      <c r="AL182" s="143"/>
      <c r="AM182" s="143"/>
      <c r="AN182" s="143"/>
      <c r="AO182" s="143"/>
      <c r="AP182" s="328"/>
    </row>
    <row r="183" spans="2:45" ht="20" customHeight="1" outlineLevel="1">
      <c r="B183" s="147" t="s">
        <v>67</v>
      </c>
      <c r="C183" s="86"/>
      <c r="D183" s="86"/>
      <c r="E183" s="86"/>
      <c r="F183" s="86"/>
      <c r="G183" s="86"/>
      <c r="H183" s="86"/>
      <c r="I183" s="86"/>
      <c r="J183" s="86"/>
      <c r="K183" s="86"/>
      <c r="L183" s="86"/>
      <c r="M183" s="86"/>
      <c r="N183" s="86"/>
      <c r="O183" s="77"/>
      <c r="P183" s="88">
        <f>C183-Расчеты!C136</f>
        <v>-5.3698630136986303</v>
      </c>
      <c r="Q183" s="133">
        <f>D183-Расчеты!D136</f>
        <v>-5.3698630136986303</v>
      </c>
      <c r="R183" s="133">
        <f>E183-Расчеты!E136</f>
        <v>-5.3698630136986303</v>
      </c>
      <c r="S183" s="133">
        <f>F183-Расчеты!F136</f>
        <v>-5.3698630136986303</v>
      </c>
      <c r="T183" s="133">
        <f>G183-Расчеты!G136</f>
        <v>-5.3698630136986303</v>
      </c>
      <c r="U183" s="133">
        <f>H183-Расчеты!H136</f>
        <v>-5.3698630136986303</v>
      </c>
      <c r="V183" s="133">
        <f>I183-Расчеты!I136</f>
        <v>-5.3698630136986303</v>
      </c>
      <c r="W183" s="133">
        <f>J183-Расчеты!J136</f>
        <v>-5.3698630136986303</v>
      </c>
      <c r="X183" s="133">
        <f>K183-Расчеты!K136</f>
        <v>-5.3698630136986303</v>
      </c>
      <c r="Y183" s="133">
        <f>L183-Расчеты!L136</f>
        <v>-5.3698630136986303</v>
      </c>
      <c r="Z183" s="133">
        <f>M183-Расчеты!M136</f>
        <v>-5.3698630136986303</v>
      </c>
      <c r="AA183" s="133">
        <f>N183-Расчеты!N136</f>
        <v>-5.3698630136986303</v>
      </c>
      <c r="AB183" s="134">
        <f t="shared" si="56"/>
        <v>-64.438356164383578</v>
      </c>
      <c r="AC183" s="143"/>
      <c r="AD183" s="143"/>
      <c r="AE183" s="143"/>
      <c r="AF183" s="143"/>
      <c r="AG183" s="143"/>
      <c r="AH183" s="143"/>
      <c r="AI183" s="143"/>
      <c r="AJ183" s="143"/>
      <c r="AK183" s="143"/>
      <c r="AL183" s="143"/>
      <c r="AM183" s="143"/>
      <c r="AN183" s="143"/>
      <c r="AO183" s="143"/>
      <c r="AP183" s="328"/>
    </row>
    <row r="184" spans="2:45" ht="20" customHeight="1" outlineLevel="1">
      <c r="B184" s="119" t="s">
        <v>69</v>
      </c>
      <c r="C184" s="120"/>
      <c r="D184" s="120"/>
      <c r="E184" s="120"/>
      <c r="F184" s="120"/>
      <c r="G184" s="120"/>
      <c r="H184" s="120"/>
      <c r="I184" s="120"/>
      <c r="J184" s="120"/>
      <c r="K184" s="120"/>
      <c r="L184" s="120"/>
      <c r="M184" s="120"/>
      <c r="N184" s="120"/>
      <c r="O184" s="122"/>
      <c r="P184" s="140">
        <f>C184-Расчеты!C137</f>
        <v>-6.1369863013698627</v>
      </c>
      <c r="Q184" s="138">
        <f>D184-Расчеты!D137</f>
        <v>-6.1369863013698627</v>
      </c>
      <c r="R184" s="138">
        <f>E184-Расчеты!E137</f>
        <v>-6.1369863013698627</v>
      </c>
      <c r="S184" s="138">
        <f>F184-Расчеты!F137</f>
        <v>-6.1369863013698627</v>
      </c>
      <c r="T184" s="138">
        <f>G184-Расчеты!G137</f>
        <v>-6.1369863013698627</v>
      </c>
      <c r="U184" s="138">
        <f>H184-Расчеты!H137</f>
        <v>-6.1369863013698627</v>
      </c>
      <c r="V184" s="138">
        <f>I184-Расчеты!I137</f>
        <v>-6.1369863013698627</v>
      </c>
      <c r="W184" s="138">
        <f>J184-Расчеты!J137</f>
        <v>-6.1369863013698627</v>
      </c>
      <c r="X184" s="138">
        <f>K184-Расчеты!K137</f>
        <v>-6.1369863013698627</v>
      </c>
      <c r="Y184" s="138">
        <f>L184-Расчеты!L137</f>
        <v>-6.1369863013698627</v>
      </c>
      <c r="Z184" s="138">
        <f>M184-Расчеты!M137</f>
        <v>-6.1369863013698627</v>
      </c>
      <c r="AA184" s="138">
        <f>N184-Расчеты!N137</f>
        <v>-6.1369863013698627</v>
      </c>
      <c r="AB184" s="141">
        <f t="shared" si="56"/>
        <v>-73.643835616438338</v>
      </c>
      <c r="AC184" s="143"/>
      <c r="AD184" s="143"/>
      <c r="AE184" s="143"/>
      <c r="AF184" s="143"/>
      <c r="AG184" s="143"/>
      <c r="AH184" s="143"/>
      <c r="AI184" s="143"/>
      <c r="AJ184" s="143"/>
      <c r="AK184" s="143"/>
      <c r="AL184" s="143"/>
      <c r="AM184" s="143"/>
      <c r="AN184" s="143"/>
      <c r="AO184" s="143"/>
      <c r="AP184" s="328"/>
    </row>
    <row r="185" spans="2:45" ht="20" customHeight="1" thickBot="1">
      <c r="B185" s="125" t="s">
        <v>71</v>
      </c>
      <c r="C185" s="126"/>
      <c r="D185" s="126"/>
      <c r="E185" s="126"/>
      <c r="F185" s="126"/>
      <c r="G185" s="126"/>
      <c r="H185" s="126"/>
      <c r="I185" s="126"/>
      <c r="J185" s="126"/>
      <c r="K185" s="126"/>
      <c r="L185" s="126"/>
      <c r="M185" s="126"/>
      <c r="N185" s="126"/>
      <c r="O185" s="126"/>
      <c r="P185" s="172">
        <f>C185-Расчеты!C138</f>
        <v>-3.0684931506849313</v>
      </c>
      <c r="Q185" s="173">
        <f>D185-Расчеты!D138</f>
        <v>-3.0684931506849313</v>
      </c>
      <c r="R185" s="173">
        <f>E185-Расчеты!E138</f>
        <v>-3.0684931506849313</v>
      </c>
      <c r="S185" s="173">
        <f>F185-Расчеты!F138</f>
        <v>-3.0684931506849313</v>
      </c>
      <c r="T185" s="173">
        <f>G185-Расчеты!G138</f>
        <v>-3.0684931506849313</v>
      </c>
      <c r="U185" s="173">
        <f>H185-Расчеты!H138</f>
        <v>-3.0684931506849313</v>
      </c>
      <c r="V185" s="173">
        <f>I185-Расчеты!I138</f>
        <v>-3.0684931506849313</v>
      </c>
      <c r="W185" s="173">
        <f>J185-Расчеты!J138</f>
        <v>-3.0684931506849313</v>
      </c>
      <c r="X185" s="173">
        <f>K185-Расчеты!K138</f>
        <v>-3.0684931506849313</v>
      </c>
      <c r="Y185" s="173">
        <f>L185-Расчеты!L138</f>
        <v>-3.0684931506849313</v>
      </c>
      <c r="Z185" s="173">
        <f>M185-Расчеты!M138</f>
        <v>-3.0684931506849313</v>
      </c>
      <c r="AA185" s="173">
        <f>N185-Расчеты!N138</f>
        <v>-3.0684931506849313</v>
      </c>
      <c r="AB185" s="171">
        <f t="shared" si="56"/>
        <v>-36.821917808219169</v>
      </c>
      <c r="AC185" s="143"/>
      <c r="AD185" s="143"/>
      <c r="AE185" s="143"/>
      <c r="AF185" s="143"/>
      <c r="AG185" s="143"/>
      <c r="AH185" s="143"/>
      <c r="AI185" s="143"/>
      <c r="AJ185" s="143"/>
      <c r="AK185" s="143"/>
      <c r="AL185" s="143"/>
      <c r="AM185" s="143"/>
      <c r="AN185" s="143"/>
      <c r="AO185" s="143"/>
      <c r="AP185" s="328"/>
    </row>
    <row r="186" spans="2:45" ht="20" customHeight="1">
      <c r="AP186" s="34"/>
    </row>
    <row r="187" spans="2:45" ht="20" customHeight="1">
      <c r="B187" s="174" t="s">
        <v>77</v>
      </c>
      <c r="C187" s="174"/>
      <c r="D187" s="174"/>
      <c r="E187" s="174"/>
      <c r="F187" s="174"/>
      <c r="G187" s="174"/>
      <c r="H187" s="174"/>
      <c r="I187" s="174" t="s">
        <v>47</v>
      </c>
      <c r="J187" s="174"/>
      <c r="K187" s="174"/>
      <c r="L187" s="174"/>
      <c r="M187" s="174"/>
      <c r="N187" s="174"/>
      <c r="O187" s="174"/>
      <c r="P187" s="326" t="s">
        <v>48</v>
      </c>
      <c r="Q187" s="326"/>
      <c r="R187" s="326"/>
      <c r="S187" s="326"/>
      <c r="T187" s="326"/>
      <c r="U187" s="326"/>
      <c r="V187" s="326"/>
      <c r="W187" s="326"/>
      <c r="X187" s="326"/>
      <c r="Y187" s="326"/>
      <c r="Z187" s="326"/>
      <c r="AA187" s="326"/>
      <c r="AB187" s="326"/>
      <c r="AC187" s="251"/>
      <c r="AD187" s="251"/>
      <c r="AE187" s="251"/>
      <c r="AF187" s="251"/>
      <c r="AG187" s="251"/>
      <c r="AH187" s="251"/>
      <c r="AI187" s="251"/>
      <c r="AJ187" s="251"/>
      <c r="AK187" s="251"/>
      <c r="AL187" s="251"/>
      <c r="AM187" s="251"/>
      <c r="AN187" s="251"/>
      <c r="AO187" s="251"/>
      <c r="AP187" s="328" t="s">
        <v>244</v>
      </c>
      <c r="AR187" s="13" t="s">
        <v>18</v>
      </c>
      <c r="AS187" s="1" t="str">
        <f>IF(AR187="Нет", " ", "Подумайте, в чём причина отклонений фактических данных от плановых? Связано ли это с количеством сотрудников?")</f>
        <v xml:space="preserve"> </v>
      </c>
    </row>
    <row r="188" spans="2:45" ht="20" customHeight="1" thickBot="1">
      <c r="B188" s="153"/>
      <c r="C188" s="114" t="s">
        <v>186</v>
      </c>
      <c r="D188" s="114" t="s">
        <v>187</v>
      </c>
      <c r="E188" s="114" t="s">
        <v>188</v>
      </c>
      <c r="F188" s="114" t="s">
        <v>189</v>
      </c>
      <c r="G188" s="248">
        <v>46143</v>
      </c>
      <c r="H188" s="114" t="s">
        <v>190</v>
      </c>
      <c r="I188" s="114" t="s">
        <v>191</v>
      </c>
      <c r="J188" s="114" t="s">
        <v>192</v>
      </c>
      <c r="K188" s="114" t="s">
        <v>193</v>
      </c>
      <c r="L188" s="114" t="s">
        <v>194</v>
      </c>
      <c r="M188" s="114" t="s">
        <v>195</v>
      </c>
      <c r="N188" s="114" t="s">
        <v>196</v>
      </c>
      <c r="O188" s="115">
        <v>2026</v>
      </c>
      <c r="P188" s="114" t="s">
        <v>186</v>
      </c>
      <c r="Q188" s="114" t="s">
        <v>187</v>
      </c>
      <c r="R188" s="114" t="s">
        <v>188</v>
      </c>
      <c r="S188" s="114" t="s">
        <v>189</v>
      </c>
      <c r="T188" s="248">
        <v>46143</v>
      </c>
      <c r="U188" s="114" t="s">
        <v>190</v>
      </c>
      <c r="V188" s="114" t="s">
        <v>191</v>
      </c>
      <c r="W188" s="114" t="s">
        <v>192</v>
      </c>
      <c r="X188" s="114" t="s">
        <v>193</v>
      </c>
      <c r="Y188" s="114" t="s">
        <v>194</v>
      </c>
      <c r="Z188" s="114" t="s">
        <v>195</v>
      </c>
      <c r="AA188" s="114" t="s">
        <v>196</v>
      </c>
      <c r="AB188" s="116">
        <v>2026</v>
      </c>
      <c r="AC188" s="123"/>
      <c r="AD188" s="123"/>
      <c r="AE188" s="123"/>
      <c r="AF188" s="123"/>
      <c r="AG188" s="123"/>
      <c r="AH188" s="123"/>
      <c r="AI188" s="123"/>
      <c r="AJ188" s="123"/>
      <c r="AK188" s="123"/>
      <c r="AL188" s="123"/>
      <c r="AM188" s="123"/>
      <c r="AN188" s="123"/>
      <c r="AO188" s="123"/>
      <c r="AP188" s="329"/>
    </row>
    <row r="189" spans="2:45" ht="10.25" customHeight="1" thickBot="1">
      <c r="B189" s="123"/>
      <c r="C189" s="124"/>
      <c r="D189" s="124"/>
      <c r="E189" s="124"/>
      <c r="F189" s="124"/>
      <c r="G189" s="124"/>
      <c r="H189" s="124"/>
      <c r="I189" s="124"/>
      <c r="J189" s="124"/>
      <c r="K189" s="124"/>
      <c r="L189" s="124"/>
      <c r="M189" s="124"/>
      <c r="N189" s="124"/>
      <c r="O189" s="124"/>
      <c r="P189" s="124"/>
      <c r="Q189" s="124"/>
      <c r="R189" s="124"/>
      <c r="S189" s="124"/>
      <c r="T189" s="124"/>
      <c r="U189" s="124"/>
      <c r="V189" s="124"/>
      <c r="W189" s="124"/>
      <c r="X189" s="124"/>
      <c r="Y189" s="124"/>
      <c r="Z189" s="124"/>
      <c r="AA189" s="124"/>
      <c r="AB189" s="123"/>
      <c r="AC189" s="123"/>
      <c r="AD189" s="123"/>
      <c r="AE189" s="123"/>
      <c r="AF189" s="123"/>
      <c r="AG189" s="123"/>
      <c r="AH189" s="123"/>
      <c r="AI189" s="123"/>
      <c r="AJ189" s="123"/>
      <c r="AK189" s="123"/>
      <c r="AL189" s="123"/>
      <c r="AM189" s="123"/>
      <c r="AN189" s="123"/>
      <c r="AO189" s="123"/>
      <c r="AP189" s="329"/>
    </row>
    <row r="190" spans="2:45" ht="20" customHeight="1">
      <c r="B190" s="125" t="s">
        <v>21</v>
      </c>
      <c r="C190" s="126">
        <f t="shared" ref="C190:N190" si="58">SUM(C191:C195)</f>
        <v>114</v>
      </c>
      <c r="D190" s="126">
        <f t="shared" si="58"/>
        <v>114</v>
      </c>
      <c r="E190" s="126">
        <f t="shared" si="58"/>
        <v>114</v>
      </c>
      <c r="F190" s="126">
        <f t="shared" si="58"/>
        <v>114</v>
      </c>
      <c r="G190" s="126">
        <f t="shared" si="58"/>
        <v>114</v>
      </c>
      <c r="H190" s="126">
        <f t="shared" si="58"/>
        <v>114</v>
      </c>
      <c r="I190" s="126">
        <f t="shared" si="58"/>
        <v>114</v>
      </c>
      <c r="J190" s="126">
        <f t="shared" si="58"/>
        <v>114</v>
      </c>
      <c r="K190" s="126">
        <f t="shared" si="58"/>
        <v>114</v>
      </c>
      <c r="L190" s="126">
        <f t="shared" si="58"/>
        <v>114</v>
      </c>
      <c r="M190" s="126">
        <f t="shared" si="58"/>
        <v>114</v>
      </c>
      <c r="N190" s="126">
        <f t="shared" si="58"/>
        <v>114</v>
      </c>
      <c r="O190" s="126">
        <f>SUM(C190:N190)</f>
        <v>1368</v>
      </c>
      <c r="P190" s="162">
        <f>SUM(P191:P195)</f>
        <v>0</v>
      </c>
      <c r="Q190" s="163">
        <f t="shared" ref="Q190:AA190" si="59">SUM(Q191:Q195)</f>
        <v>0</v>
      </c>
      <c r="R190" s="163">
        <f t="shared" si="59"/>
        <v>0</v>
      </c>
      <c r="S190" s="163">
        <f t="shared" si="59"/>
        <v>0</v>
      </c>
      <c r="T190" s="163">
        <f t="shared" si="59"/>
        <v>0</v>
      </c>
      <c r="U190" s="163">
        <f t="shared" si="59"/>
        <v>0</v>
      </c>
      <c r="V190" s="163">
        <f t="shared" si="59"/>
        <v>0</v>
      </c>
      <c r="W190" s="163">
        <f t="shared" si="59"/>
        <v>0</v>
      </c>
      <c r="X190" s="163">
        <f t="shared" si="59"/>
        <v>0</v>
      </c>
      <c r="Y190" s="163">
        <f t="shared" si="59"/>
        <v>0</v>
      </c>
      <c r="Z190" s="163">
        <f t="shared" si="59"/>
        <v>0</v>
      </c>
      <c r="AA190" s="163">
        <f t="shared" si="59"/>
        <v>0</v>
      </c>
      <c r="AB190" s="164">
        <f>SUM(P190:AA190)</f>
        <v>0</v>
      </c>
      <c r="AC190" s="143"/>
      <c r="AD190" s="143"/>
      <c r="AE190" s="143"/>
      <c r="AF190" s="143"/>
      <c r="AG190" s="143"/>
      <c r="AH190" s="143"/>
      <c r="AI190" s="143"/>
      <c r="AJ190" s="143"/>
      <c r="AK190" s="143"/>
      <c r="AL190" s="143"/>
      <c r="AM190" s="143"/>
      <c r="AN190" s="143"/>
      <c r="AO190" s="143"/>
      <c r="AP190" s="329"/>
    </row>
    <row r="191" spans="2:45" ht="20" customHeight="1" outlineLevel="1">
      <c r="B191" s="117" t="s">
        <v>65</v>
      </c>
      <c r="C191" s="118">
        <v>30</v>
      </c>
      <c r="D191" s="118">
        <v>30</v>
      </c>
      <c r="E191" s="118">
        <v>30</v>
      </c>
      <c r="F191" s="118">
        <v>30</v>
      </c>
      <c r="G191" s="118">
        <v>30</v>
      </c>
      <c r="H191" s="118">
        <v>30</v>
      </c>
      <c r="I191" s="118">
        <v>30</v>
      </c>
      <c r="J191" s="118">
        <v>30</v>
      </c>
      <c r="K191" s="118">
        <v>30</v>
      </c>
      <c r="L191" s="118">
        <v>30</v>
      </c>
      <c r="M191" s="118">
        <v>30</v>
      </c>
      <c r="N191" s="118">
        <v>30</v>
      </c>
      <c r="O191" s="66">
        <f>SUM(C191:N191)</f>
        <v>360</v>
      </c>
      <c r="P191" s="145">
        <f>C191-Расчеты!C144</f>
        <v>0</v>
      </c>
      <c r="Q191" s="131">
        <f>D191-Расчеты!D144</f>
        <v>0</v>
      </c>
      <c r="R191" s="131">
        <f>E191-Расчеты!E144</f>
        <v>0</v>
      </c>
      <c r="S191" s="131">
        <f>F191-Расчеты!F144</f>
        <v>0</v>
      </c>
      <c r="T191" s="131">
        <f>G191-Расчеты!G144</f>
        <v>0</v>
      </c>
      <c r="U191" s="131">
        <f>H191-Расчеты!H144</f>
        <v>0</v>
      </c>
      <c r="V191" s="131">
        <f>I191-Расчеты!I144</f>
        <v>0</v>
      </c>
      <c r="W191" s="131">
        <f>J191-Расчеты!J144</f>
        <v>0</v>
      </c>
      <c r="X191" s="131">
        <f>K191-Расчеты!K144</f>
        <v>0</v>
      </c>
      <c r="Y191" s="131">
        <f>L191-Расчеты!L144</f>
        <v>0</v>
      </c>
      <c r="Z191" s="131">
        <f>M191-Расчеты!M144</f>
        <v>0</v>
      </c>
      <c r="AA191" s="131">
        <f>N191-Расчеты!N144</f>
        <v>0</v>
      </c>
      <c r="AB191" s="146">
        <f t="shared" ref="AB191:AB195" si="60">SUM(P191:AA191)</f>
        <v>0</v>
      </c>
      <c r="AC191" s="143"/>
      <c r="AD191" s="143"/>
      <c r="AE191" s="143"/>
      <c r="AF191" s="143"/>
      <c r="AG191" s="143"/>
      <c r="AH191" s="143"/>
      <c r="AI191" s="143"/>
      <c r="AJ191" s="143"/>
      <c r="AK191" s="143"/>
      <c r="AL191" s="143"/>
      <c r="AM191" s="143"/>
      <c r="AN191" s="143"/>
      <c r="AO191" s="143"/>
      <c r="AP191" s="329"/>
    </row>
    <row r="192" spans="2:45" ht="20" customHeight="1" outlineLevel="1">
      <c r="B192" s="147" t="s">
        <v>66</v>
      </c>
      <c r="C192" s="86">
        <v>18</v>
      </c>
      <c r="D192" s="86">
        <v>18</v>
      </c>
      <c r="E192" s="86">
        <v>18</v>
      </c>
      <c r="F192" s="86">
        <v>18</v>
      </c>
      <c r="G192" s="86">
        <v>18</v>
      </c>
      <c r="H192" s="86">
        <v>18</v>
      </c>
      <c r="I192" s="86">
        <v>18</v>
      </c>
      <c r="J192" s="86">
        <v>18</v>
      </c>
      <c r="K192" s="86">
        <v>18</v>
      </c>
      <c r="L192" s="86">
        <v>18</v>
      </c>
      <c r="M192" s="86">
        <v>18</v>
      </c>
      <c r="N192" s="86">
        <v>18</v>
      </c>
      <c r="O192" s="77">
        <f>SUM(C192:N192)</f>
        <v>216</v>
      </c>
      <c r="P192" s="88">
        <f>C192-Расчеты!C145</f>
        <v>0</v>
      </c>
      <c r="Q192" s="133">
        <f>D192-Расчеты!D145</f>
        <v>0</v>
      </c>
      <c r="R192" s="133">
        <f>E192-Расчеты!E145</f>
        <v>0</v>
      </c>
      <c r="S192" s="133">
        <f>F192-Расчеты!F145</f>
        <v>0</v>
      </c>
      <c r="T192" s="133">
        <f>G192-Расчеты!G145</f>
        <v>0</v>
      </c>
      <c r="U192" s="133">
        <f>H192-Расчеты!H145</f>
        <v>0</v>
      </c>
      <c r="V192" s="133">
        <f>I192-Расчеты!I145</f>
        <v>0</v>
      </c>
      <c r="W192" s="133">
        <f>J192-Расчеты!J145</f>
        <v>0</v>
      </c>
      <c r="X192" s="133">
        <f>K192-Расчеты!K145</f>
        <v>0</v>
      </c>
      <c r="Y192" s="133">
        <f>L192-Расчеты!L145</f>
        <v>0</v>
      </c>
      <c r="Z192" s="133">
        <f>M192-Расчеты!M145</f>
        <v>0</v>
      </c>
      <c r="AA192" s="133">
        <f>N192-Расчеты!N145</f>
        <v>0</v>
      </c>
      <c r="AB192" s="134">
        <f t="shared" si="60"/>
        <v>0</v>
      </c>
      <c r="AC192" s="143"/>
      <c r="AD192" s="143"/>
      <c r="AE192" s="143"/>
      <c r="AF192" s="143"/>
      <c r="AG192" s="143"/>
      <c r="AH192" s="143"/>
      <c r="AI192" s="143"/>
      <c r="AJ192" s="143"/>
      <c r="AK192" s="143"/>
      <c r="AL192" s="143"/>
      <c r="AM192" s="143"/>
      <c r="AN192" s="143"/>
      <c r="AO192" s="143"/>
      <c r="AP192" s="329"/>
    </row>
    <row r="193" spans="2:45" ht="20" customHeight="1" outlineLevel="1">
      <c r="B193" s="147" t="s">
        <v>67</v>
      </c>
      <c r="C193" s="86">
        <v>18</v>
      </c>
      <c r="D193" s="86">
        <v>18</v>
      </c>
      <c r="E193" s="86">
        <v>18</v>
      </c>
      <c r="F193" s="86">
        <v>18</v>
      </c>
      <c r="G193" s="86">
        <v>18</v>
      </c>
      <c r="H193" s="86">
        <v>18</v>
      </c>
      <c r="I193" s="86">
        <v>18</v>
      </c>
      <c r="J193" s="86">
        <v>18</v>
      </c>
      <c r="K193" s="86">
        <v>18</v>
      </c>
      <c r="L193" s="86">
        <v>18</v>
      </c>
      <c r="M193" s="86">
        <v>18</v>
      </c>
      <c r="N193" s="86">
        <v>18</v>
      </c>
      <c r="O193" s="77">
        <f t="shared" ref="O193:O195" si="61">SUM(C193:N193)</f>
        <v>216</v>
      </c>
      <c r="P193" s="88">
        <f>C193-Расчеты!C146</f>
        <v>0</v>
      </c>
      <c r="Q193" s="133">
        <f>D193-Расчеты!D146</f>
        <v>0</v>
      </c>
      <c r="R193" s="133">
        <f>E193-Расчеты!E146</f>
        <v>0</v>
      </c>
      <c r="S193" s="133">
        <f>F193-Расчеты!F146</f>
        <v>0</v>
      </c>
      <c r="T193" s="133">
        <f>G193-Расчеты!G146</f>
        <v>0</v>
      </c>
      <c r="U193" s="133">
        <f>H193-Расчеты!H146</f>
        <v>0</v>
      </c>
      <c r="V193" s="133">
        <f>I193-Расчеты!I146</f>
        <v>0</v>
      </c>
      <c r="W193" s="133">
        <f>J193-Расчеты!J146</f>
        <v>0</v>
      </c>
      <c r="X193" s="133">
        <f>K193-Расчеты!K146</f>
        <v>0</v>
      </c>
      <c r="Y193" s="133">
        <f>L193-Расчеты!L146</f>
        <v>0</v>
      </c>
      <c r="Z193" s="133">
        <f>M193-Расчеты!M146</f>
        <v>0</v>
      </c>
      <c r="AA193" s="133">
        <f>N193-Расчеты!N146</f>
        <v>0</v>
      </c>
      <c r="AB193" s="134">
        <f t="shared" si="60"/>
        <v>0</v>
      </c>
      <c r="AC193" s="143"/>
      <c r="AD193" s="143"/>
      <c r="AE193" s="143"/>
      <c r="AF193" s="143"/>
      <c r="AG193" s="143"/>
      <c r="AH193" s="143"/>
      <c r="AI193" s="143"/>
      <c r="AJ193" s="143"/>
      <c r="AK193" s="143"/>
      <c r="AL193" s="143"/>
      <c r="AM193" s="143"/>
      <c r="AN193" s="143"/>
      <c r="AO193" s="143"/>
      <c r="AP193" s="329"/>
    </row>
    <row r="194" spans="2:45" ht="20" customHeight="1" outlineLevel="1">
      <c r="B194" s="147" t="s">
        <v>68</v>
      </c>
      <c r="C194" s="86">
        <v>24</v>
      </c>
      <c r="D194" s="86">
        <v>24</v>
      </c>
      <c r="E194" s="86">
        <v>24</v>
      </c>
      <c r="F194" s="86">
        <v>24</v>
      </c>
      <c r="G194" s="86">
        <v>24</v>
      </c>
      <c r="H194" s="86">
        <v>24</v>
      </c>
      <c r="I194" s="86">
        <v>24</v>
      </c>
      <c r="J194" s="86">
        <v>24</v>
      </c>
      <c r="K194" s="86">
        <v>24</v>
      </c>
      <c r="L194" s="86">
        <v>24</v>
      </c>
      <c r="M194" s="86">
        <v>24</v>
      </c>
      <c r="N194" s="86">
        <v>24</v>
      </c>
      <c r="O194" s="77">
        <f t="shared" si="61"/>
        <v>288</v>
      </c>
      <c r="P194" s="88">
        <f>C194-Расчеты!C147</f>
        <v>0</v>
      </c>
      <c r="Q194" s="133">
        <f>D194-Расчеты!D147</f>
        <v>0</v>
      </c>
      <c r="R194" s="133">
        <f>E194-Расчеты!E147</f>
        <v>0</v>
      </c>
      <c r="S194" s="133">
        <f>F194-Расчеты!F147</f>
        <v>0</v>
      </c>
      <c r="T194" s="133">
        <f>G194-Расчеты!G147</f>
        <v>0</v>
      </c>
      <c r="U194" s="133">
        <f>H194-Расчеты!H147</f>
        <v>0</v>
      </c>
      <c r="V194" s="133">
        <f>I194-Расчеты!I147</f>
        <v>0</v>
      </c>
      <c r="W194" s="133">
        <f>J194-Расчеты!J147</f>
        <v>0</v>
      </c>
      <c r="X194" s="133">
        <f>K194-Расчеты!K147</f>
        <v>0</v>
      </c>
      <c r="Y194" s="133">
        <f>L194-Расчеты!L147</f>
        <v>0</v>
      </c>
      <c r="Z194" s="133">
        <f>M194-Расчеты!M147</f>
        <v>0</v>
      </c>
      <c r="AA194" s="133">
        <f>N194-Расчеты!N147</f>
        <v>0</v>
      </c>
      <c r="AB194" s="134">
        <f t="shared" si="60"/>
        <v>0</v>
      </c>
      <c r="AC194" s="143"/>
      <c r="AD194" s="143"/>
      <c r="AE194" s="143"/>
      <c r="AF194" s="143"/>
      <c r="AG194" s="143"/>
      <c r="AH194" s="143"/>
      <c r="AI194" s="143"/>
      <c r="AJ194" s="143"/>
      <c r="AK194" s="143"/>
      <c r="AL194" s="143"/>
      <c r="AM194" s="143"/>
      <c r="AN194" s="143"/>
      <c r="AO194" s="143"/>
      <c r="AP194" s="329"/>
    </row>
    <row r="195" spans="2:45" ht="20" customHeight="1" outlineLevel="1">
      <c r="B195" s="119" t="s">
        <v>69</v>
      </c>
      <c r="C195" s="120">
        <v>24</v>
      </c>
      <c r="D195" s="120">
        <v>24</v>
      </c>
      <c r="E195" s="120">
        <v>24</v>
      </c>
      <c r="F195" s="120">
        <v>24</v>
      </c>
      <c r="G195" s="120">
        <v>24</v>
      </c>
      <c r="H195" s="120">
        <v>24</v>
      </c>
      <c r="I195" s="120">
        <v>24</v>
      </c>
      <c r="J195" s="120">
        <v>24</v>
      </c>
      <c r="K195" s="120">
        <v>24</v>
      </c>
      <c r="L195" s="120">
        <v>24</v>
      </c>
      <c r="M195" s="120">
        <v>24</v>
      </c>
      <c r="N195" s="120">
        <v>24</v>
      </c>
      <c r="O195" s="122">
        <f t="shared" si="61"/>
        <v>288</v>
      </c>
      <c r="P195" s="140">
        <f>C195-Расчеты!C148</f>
        <v>0</v>
      </c>
      <c r="Q195" s="138">
        <f>D195-Расчеты!D148</f>
        <v>0</v>
      </c>
      <c r="R195" s="138">
        <f>E195-Расчеты!E148</f>
        <v>0</v>
      </c>
      <c r="S195" s="138">
        <f>F195-Расчеты!F148</f>
        <v>0</v>
      </c>
      <c r="T195" s="138">
        <f>G195-Расчеты!G148</f>
        <v>0</v>
      </c>
      <c r="U195" s="138">
        <f>H195-Расчеты!H148</f>
        <v>0</v>
      </c>
      <c r="V195" s="138">
        <f>I195-Расчеты!I148</f>
        <v>0</v>
      </c>
      <c r="W195" s="138">
        <f>J195-Расчеты!J148</f>
        <v>0</v>
      </c>
      <c r="X195" s="138">
        <f>K195-Расчеты!K148</f>
        <v>0</v>
      </c>
      <c r="Y195" s="138">
        <f>L195-Расчеты!L148</f>
        <v>0</v>
      </c>
      <c r="Z195" s="138">
        <f>M195-Расчеты!M148</f>
        <v>0</v>
      </c>
      <c r="AA195" s="138">
        <f>N195-Расчеты!N148</f>
        <v>0</v>
      </c>
      <c r="AB195" s="141">
        <f t="shared" si="60"/>
        <v>0</v>
      </c>
      <c r="AC195" s="143"/>
      <c r="AD195" s="143"/>
      <c r="AE195" s="143"/>
      <c r="AF195" s="143"/>
      <c r="AG195" s="143"/>
      <c r="AH195" s="143"/>
      <c r="AI195" s="143"/>
      <c r="AJ195" s="143"/>
      <c r="AK195" s="143"/>
      <c r="AL195" s="143"/>
      <c r="AM195" s="143"/>
      <c r="AN195" s="143"/>
      <c r="AO195" s="143"/>
      <c r="AP195" s="329"/>
    </row>
    <row r="196" spans="2:45" ht="20" customHeight="1">
      <c r="B196" s="125" t="s">
        <v>22</v>
      </c>
      <c r="C196" s="126">
        <f>SUM(C197:C200)</f>
        <v>105</v>
      </c>
      <c r="D196" s="126">
        <f t="shared" ref="D196:N196" si="62">SUM(D197:D200)</f>
        <v>135</v>
      </c>
      <c r="E196" s="126">
        <f t="shared" si="62"/>
        <v>165</v>
      </c>
      <c r="F196" s="126">
        <f t="shared" si="62"/>
        <v>195</v>
      </c>
      <c r="G196" s="126">
        <f t="shared" si="62"/>
        <v>195</v>
      </c>
      <c r="H196" s="126">
        <f t="shared" si="62"/>
        <v>225</v>
      </c>
      <c r="I196" s="126">
        <f t="shared" si="62"/>
        <v>255</v>
      </c>
      <c r="J196" s="126">
        <f t="shared" si="62"/>
        <v>285</v>
      </c>
      <c r="K196" s="126">
        <f t="shared" si="62"/>
        <v>315</v>
      </c>
      <c r="L196" s="126">
        <f t="shared" si="62"/>
        <v>345</v>
      </c>
      <c r="M196" s="126">
        <f t="shared" si="62"/>
        <v>345</v>
      </c>
      <c r="N196" s="126">
        <f t="shared" si="62"/>
        <v>374.99999999999994</v>
      </c>
      <c r="O196" s="126">
        <f>SUM(C196:N196)</f>
        <v>2940</v>
      </c>
      <c r="P196" s="142">
        <f>SUM(P197:P200)</f>
        <v>0</v>
      </c>
      <c r="Q196" s="143">
        <f t="shared" ref="Q196:AA196" si="63">SUM(Q197:Q200)</f>
        <v>30</v>
      </c>
      <c r="R196" s="143">
        <f t="shared" si="63"/>
        <v>60</v>
      </c>
      <c r="S196" s="143">
        <f t="shared" si="63"/>
        <v>90</v>
      </c>
      <c r="T196" s="143">
        <f t="shared" si="63"/>
        <v>90</v>
      </c>
      <c r="U196" s="143">
        <f t="shared" si="63"/>
        <v>120</v>
      </c>
      <c r="V196" s="143">
        <f t="shared" si="63"/>
        <v>150</v>
      </c>
      <c r="W196" s="143">
        <f t="shared" si="63"/>
        <v>180</v>
      </c>
      <c r="X196" s="143">
        <f t="shared" si="63"/>
        <v>210</v>
      </c>
      <c r="Y196" s="143">
        <f t="shared" si="63"/>
        <v>240</v>
      </c>
      <c r="Z196" s="143">
        <f t="shared" si="63"/>
        <v>240</v>
      </c>
      <c r="AA196" s="143">
        <f t="shared" si="63"/>
        <v>269.99999999999994</v>
      </c>
      <c r="AB196" s="144">
        <f>SUM(P196:AA196)</f>
        <v>1680</v>
      </c>
      <c r="AC196" s="143"/>
      <c r="AD196" s="143"/>
      <c r="AE196" s="143"/>
      <c r="AF196" s="143"/>
      <c r="AG196" s="143"/>
      <c r="AH196" s="143"/>
      <c r="AI196" s="143"/>
      <c r="AJ196" s="143"/>
      <c r="AK196" s="143"/>
      <c r="AL196" s="143"/>
      <c r="AM196" s="143"/>
      <c r="AN196" s="143"/>
      <c r="AO196" s="143"/>
      <c r="AP196" s="329"/>
    </row>
    <row r="197" spans="2:45" ht="20" customHeight="1" outlineLevel="1">
      <c r="B197" s="117" t="s">
        <v>65</v>
      </c>
      <c r="C197" s="118">
        <v>30</v>
      </c>
      <c r="D197" s="118">
        <v>30</v>
      </c>
      <c r="E197" s="118">
        <v>30</v>
      </c>
      <c r="F197" s="118">
        <v>30</v>
      </c>
      <c r="G197" s="118">
        <v>30</v>
      </c>
      <c r="H197" s="118">
        <v>30</v>
      </c>
      <c r="I197" s="118">
        <v>30</v>
      </c>
      <c r="J197" s="118">
        <v>30</v>
      </c>
      <c r="K197" s="118">
        <v>30</v>
      </c>
      <c r="L197" s="118">
        <v>30</v>
      </c>
      <c r="M197" s="118">
        <v>30</v>
      </c>
      <c r="N197" s="118">
        <v>30</v>
      </c>
      <c r="O197" s="66">
        <f t="shared" ref="O197:O201" si="64">SUM(C197:N197)</f>
        <v>360</v>
      </c>
      <c r="P197" s="145">
        <f>C197-Расчеты!C150</f>
        <v>0</v>
      </c>
      <c r="Q197" s="131">
        <f>D197-Расчеты!D150</f>
        <v>0</v>
      </c>
      <c r="R197" s="131">
        <f>E197-Расчеты!E150</f>
        <v>0</v>
      </c>
      <c r="S197" s="131">
        <f>F197-Расчеты!F150</f>
        <v>0</v>
      </c>
      <c r="T197" s="131">
        <f>G197-Расчеты!G150</f>
        <v>0</v>
      </c>
      <c r="U197" s="131">
        <f>H197-Расчеты!H150</f>
        <v>0</v>
      </c>
      <c r="V197" s="131">
        <f>I197-Расчеты!I150</f>
        <v>0</v>
      </c>
      <c r="W197" s="131">
        <f>J197-Расчеты!J150</f>
        <v>0</v>
      </c>
      <c r="X197" s="131">
        <f>K197-Расчеты!K150</f>
        <v>0</v>
      </c>
      <c r="Y197" s="131">
        <f>L197-Расчеты!L150</f>
        <v>0</v>
      </c>
      <c r="Z197" s="131">
        <f>M197-Расчеты!M150</f>
        <v>0</v>
      </c>
      <c r="AA197" s="131">
        <f>N197-Расчеты!N150</f>
        <v>0</v>
      </c>
      <c r="AB197" s="146">
        <f t="shared" ref="AB197:AB201" si="65">SUM(P197:AA197)</f>
        <v>0</v>
      </c>
      <c r="AC197" s="143"/>
      <c r="AD197" s="143"/>
      <c r="AE197" s="143"/>
      <c r="AF197" s="143"/>
      <c r="AG197" s="143"/>
      <c r="AH197" s="143"/>
      <c r="AI197" s="143"/>
      <c r="AJ197" s="143"/>
      <c r="AK197" s="143"/>
      <c r="AL197" s="143"/>
      <c r="AM197" s="143"/>
      <c r="AN197" s="143"/>
      <c r="AO197" s="143"/>
      <c r="AP197" s="329"/>
    </row>
    <row r="198" spans="2:45" ht="20" customHeight="1" outlineLevel="1">
      <c r="B198" s="147" t="s">
        <v>70</v>
      </c>
      <c r="C198" s="86">
        <v>30</v>
      </c>
      <c r="D198" s="86">
        <v>60</v>
      </c>
      <c r="E198" s="86">
        <v>90</v>
      </c>
      <c r="F198" s="86">
        <v>120</v>
      </c>
      <c r="G198" s="86">
        <v>120</v>
      </c>
      <c r="H198" s="86">
        <v>150</v>
      </c>
      <c r="I198" s="86">
        <v>180</v>
      </c>
      <c r="J198" s="86">
        <v>210</v>
      </c>
      <c r="K198" s="86">
        <v>240</v>
      </c>
      <c r="L198" s="86">
        <v>270</v>
      </c>
      <c r="M198" s="86">
        <v>270</v>
      </c>
      <c r="N198" s="86">
        <v>299.99999999999994</v>
      </c>
      <c r="O198" s="77">
        <f t="shared" si="64"/>
        <v>2040</v>
      </c>
      <c r="P198" s="88">
        <f>C198-Расчеты!C151</f>
        <v>0</v>
      </c>
      <c r="Q198" s="133">
        <f>D198-Расчеты!D151</f>
        <v>30</v>
      </c>
      <c r="R198" s="133">
        <f>E198-Расчеты!E151</f>
        <v>60</v>
      </c>
      <c r="S198" s="133">
        <f>F198-Расчеты!F151</f>
        <v>90</v>
      </c>
      <c r="T198" s="133">
        <f>G198-Расчеты!G151</f>
        <v>90</v>
      </c>
      <c r="U198" s="133">
        <f>H198-Расчеты!H151</f>
        <v>120</v>
      </c>
      <c r="V198" s="133">
        <f>I198-Расчеты!I151</f>
        <v>150</v>
      </c>
      <c r="W198" s="133">
        <f>J198-Расчеты!J151</f>
        <v>180</v>
      </c>
      <c r="X198" s="133">
        <f>K198-Расчеты!K151</f>
        <v>210</v>
      </c>
      <c r="Y198" s="133">
        <f>L198-Расчеты!L151</f>
        <v>240</v>
      </c>
      <c r="Z198" s="133">
        <f>M198-Расчеты!M151</f>
        <v>240</v>
      </c>
      <c r="AA198" s="133">
        <f>N198-Расчеты!N151</f>
        <v>269.99999999999994</v>
      </c>
      <c r="AB198" s="134">
        <f t="shared" si="65"/>
        <v>1680</v>
      </c>
      <c r="AC198" s="143"/>
      <c r="AD198" s="143"/>
      <c r="AE198" s="143"/>
      <c r="AF198" s="143"/>
      <c r="AG198" s="143"/>
      <c r="AH198" s="143"/>
      <c r="AI198" s="143"/>
      <c r="AJ198" s="143"/>
      <c r="AK198" s="143"/>
      <c r="AL198" s="143"/>
      <c r="AM198" s="143"/>
      <c r="AN198" s="143"/>
      <c r="AO198" s="143"/>
      <c r="AP198" s="329"/>
    </row>
    <row r="199" spans="2:45" ht="20" customHeight="1" outlineLevel="1">
      <c r="B199" s="147" t="s">
        <v>67</v>
      </c>
      <c r="C199" s="86">
        <v>21</v>
      </c>
      <c r="D199" s="86">
        <v>21</v>
      </c>
      <c r="E199" s="86">
        <v>21</v>
      </c>
      <c r="F199" s="86">
        <v>21</v>
      </c>
      <c r="G199" s="86">
        <v>21</v>
      </c>
      <c r="H199" s="86">
        <v>21</v>
      </c>
      <c r="I199" s="86">
        <v>21</v>
      </c>
      <c r="J199" s="86">
        <v>21</v>
      </c>
      <c r="K199" s="86">
        <v>21</v>
      </c>
      <c r="L199" s="86">
        <v>21</v>
      </c>
      <c r="M199" s="86">
        <v>21</v>
      </c>
      <c r="N199" s="86">
        <v>21</v>
      </c>
      <c r="O199" s="77">
        <f t="shared" si="64"/>
        <v>252</v>
      </c>
      <c r="P199" s="88">
        <f>C199-Расчеты!C152</f>
        <v>0</v>
      </c>
      <c r="Q199" s="133">
        <f>D199-Расчеты!D152</f>
        <v>0</v>
      </c>
      <c r="R199" s="133">
        <f>E199-Расчеты!E152</f>
        <v>0</v>
      </c>
      <c r="S199" s="133">
        <f>F199-Расчеты!F152</f>
        <v>0</v>
      </c>
      <c r="T199" s="133">
        <f>G199-Расчеты!G152</f>
        <v>0</v>
      </c>
      <c r="U199" s="133">
        <f>H199-Расчеты!H152</f>
        <v>0</v>
      </c>
      <c r="V199" s="133">
        <f>I199-Расчеты!I152</f>
        <v>0</v>
      </c>
      <c r="W199" s="133">
        <f>J199-Расчеты!J152</f>
        <v>0</v>
      </c>
      <c r="X199" s="133">
        <f>K199-Расчеты!K152</f>
        <v>0</v>
      </c>
      <c r="Y199" s="133">
        <f>L199-Расчеты!L152</f>
        <v>0</v>
      </c>
      <c r="Z199" s="133">
        <f>M199-Расчеты!M152</f>
        <v>0</v>
      </c>
      <c r="AA199" s="133">
        <f>N199-Расчеты!N152</f>
        <v>0</v>
      </c>
      <c r="AB199" s="134">
        <f t="shared" si="65"/>
        <v>0</v>
      </c>
      <c r="AC199" s="143"/>
      <c r="AD199" s="143"/>
      <c r="AE199" s="143"/>
      <c r="AF199" s="143"/>
      <c r="AG199" s="143"/>
      <c r="AH199" s="143"/>
      <c r="AI199" s="143"/>
      <c r="AJ199" s="143"/>
      <c r="AK199" s="143"/>
      <c r="AL199" s="143"/>
      <c r="AM199" s="143"/>
      <c r="AN199" s="143"/>
      <c r="AO199" s="143"/>
      <c r="AP199" s="329"/>
    </row>
    <row r="200" spans="2:45" ht="20" customHeight="1" outlineLevel="1">
      <c r="B200" s="119" t="s">
        <v>69</v>
      </c>
      <c r="C200" s="120">
        <v>24</v>
      </c>
      <c r="D200" s="120">
        <v>24</v>
      </c>
      <c r="E200" s="120">
        <v>24</v>
      </c>
      <c r="F200" s="120">
        <v>24</v>
      </c>
      <c r="G200" s="120">
        <v>24</v>
      </c>
      <c r="H200" s="120">
        <v>24</v>
      </c>
      <c r="I200" s="120">
        <v>24</v>
      </c>
      <c r="J200" s="120">
        <v>24</v>
      </c>
      <c r="K200" s="120">
        <v>24</v>
      </c>
      <c r="L200" s="120">
        <v>24</v>
      </c>
      <c r="M200" s="120">
        <v>24</v>
      </c>
      <c r="N200" s="120">
        <v>24</v>
      </c>
      <c r="O200" s="122">
        <f t="shared" si="64"/>
        <v>288</v>
      </c>
      <c r="P200" s="140">
        <f>C200-Расчеты!C153</f>
        <v>0</v>
      </c>
      <c r="Q200" s="138">
        <f>D200-Расчеты!D153</f>
        <v>0</v>
      </c>
      <c r="R200" s="138">
        <f>E200-Расчеты!E153</f>
        <v>0</v>
      </c>
      <c r="S200" s="138">
        <f>F200-Расчеты!F153</f>
        <v>0</v>
      </c>
      <c r="T200" s="138">
        <f>G200-Расчеты!G153</f>
        <v>0</v>
      </c>
      <c r="U200" s="138">
        <f>H200-Расчеты!H153</f>
        <v>0</v>
      </c>
      <c r="V200" s="138">
        <f>I200-Расчеты!I153</f>
        <v>0</v>
      </c>
      <c r="W200" s="138">
        <f>J200-Расчеты!J153</f>
        <v>0</v>
      </c>
      <c r="X200" s="138">
        <f>K200-Расчеты!K153</f>
        <v>0</v>
      </c>
      <c r="Y200" s="138">
        <f>L200-Расчеты!L153</f>
        <v>0</v>
      </c>
      <c r="Z200" s="138">
        <f>M200-Расчеты!M153</f>
        <v>0</v>
      </c>
      <c r="AA200" s="138">
        <f>N200-Расчеты!N153</f>
        <v>0</v>
      </c>
      <c r="AB200" s="141">
        <f t="shared" si="65"/>
        <v>0</v>
      </c>
      <c r="AC200" s="143"/>
      <c r="AD200" s="143"/>
      <c r="AE200" s="143"/>
      <c r="AF200" s="143"/>
      <c r="AG200" s="143"/>
      <c r="AH200" s="143"/>
      <c r="AI200" s="143"/>
      <c r="AJ200" s="143"/>
      <c r="AK200" s="143"/>
      <c r="AL200" s="143"/>
      <c r="AM200" s="143"/>
      <c r="AN200" s="143"/>
      <c r="AO200" s="143"/>
      <c r="AP200" s="329"/>
    </row>
    <row r="201" spans="2:45" ht="20" customHeight="1" thickBot="1">
      <c r="B201" s="125" t="s">
        <v>71</v>
      </c>
      <c r="C201" s="126">
        <v>12</v>
      </c>
      <c r="D201" s="126">
        <v>12</v>
      </c>
      <c r="E201" s="126">
        <v>12</v>
      </c>
      <c r="F201" s="126">
        <v>12</v>
      </c>
      <c r="G201" s="126">
        <v>12</v>
      </c>
      <c r="H201" s="126">
        <v>12</v>
      </c>
      <c r="I201" s="126">
        <v>12</v>
      </c>
      <c r="J201" s="126">
        <v>12</v>
      </c>
      <c r="K201" s="126">
        <v>12</v>
      </c>
      <c r="L201" s="126">
        <v>12</v>
      </c>
      <c r="M201" s="126">
        <v>12</v>
      </c>
      <c r="N201" s="126">
        <v>12</v>
      </c>
      <c r="O201" s="126">
        <f t="shared" si="64"/>
        <v>144</v>
      </c>
      <c r="P201" s="172">
        <f>C201-Расчеты!C154</f>
        <v>0</v>
      </c>
      <c r="Q201" s="173">
        <f>D201-Расчеты!D154</f>
        <v>0</v>
      </c>
      <c r="R201" s="173">
        <f>E201-Расчеты!E154</f>
        <v>0</v>
      </c>
      <c r="S201" s="173">
        <f>F201-Расчеты!F154</f>
        <v>0</v>
      </c>
      <c r="T201" s="173">
        <f>G201-Расчеты!G154</f>
        <v>0</v>
      </c>
      <c r="U201" s="173">
        <f>H201-Расчеты!H154</f>
        <v>0</v>
      </c>
      <c r="V201" s="173">
        <f>I201-Расчеты!I154</f>
        <v>0</v>
      </c>
      <c r="W201" s="173">
        <f>J201-Расчеты!J154</f>
        <v>0</v>
      </c>
      <c r="X201" s="173">
        <f>K201-Расчеты!K154</f>
        <v>0</v>
      </c>
      <c r="Y201" s="173">
        <f>L201-Расчеты!L154</f>
        <v>0</v>
      </c>
      <c r="Z201" s="173">
        <f>M201-Расчеты!M154</f>
        <v>0</v>
      </c>
      <c r="AA201" s="173">
        <f>N201-Расчеты!N154</f>
        <v>0</v>
      </c>
      <c r="AB201" s="171">
        <f t="shared" si="65"/>
        <v>0</v>
      </c>
      <c r="AC201" s="143"/>
      <c r="AD201" s="143"/>
      <c r="AE201" s="143"/>
      <c r="AF201" s="143"/>
      <c r="AG201" s="143"/>
      <c r="AH201" s="143"/>
      <c r="AI201" s="143"/>
      <c r="AJ201" s="143"/>
      <c r="AK201" s="143"/>
      <c r="AL201" s="143"/>
      <c r="AM201" s="143"/>
      <c r="AN201" s="143"/>
      <c r="AO201" s="143"/>
      <c r="AP201" s="329"/>
    </row>
    <row r="202" spans="2:45" ht="21" customHeight="1">
      <c r="AP202" s="34"/>
    </row>
    <row r="203" spans="2:45" ht="21" customHeight="1">
      <c r="B203" s="174" t="s">
        <v>222</v>
      </c>
      <c r="C203" s="174"/>
      <c r="D203" s="174"/>
      <c r="E203" s="174"/>
      <c r="F203" s="174"/>
      <c r="G203" s="174"/>
      <c r="H203" s="174"/>
      <c r="I203" s="174" t="s">
        <v>47</v>
      </c>
      <c r="J203" s="174"/>
      <c r="K203" s="174"/>
      <c r="L203" s="174"/>
      <c r="M203" s="174"/>
      <c r="N203" s="174"/>
      <c r="O203" s="174"/>
      <c r="AP203" s="292"/>
      <c r="AS203"/>
    </row>
    <row r="204" spans="2:45" ht="21" customHeight="1" thickBot="1">
      <c r="B204" s="153"/>
      <c r="C204" s="114" t="s">
        <v>186</v>
      </c>
      <c r="D204" s="114" t="s">
        <v>187</v>
      </c>
      <c r="E204" s="114" t="s">
        <v>188</v>
      </c>
      <c r="F204" s="114" t="s">
        <v>189</v>
      </c>
      <c r="G204" s="248">
        <v>46143</v>
      </c>
      <c r="H204" s="114" t="s">
        <v>190</v>
      </c>
      <c r="I204" s="114" t="s">
        <v>191</v>
      </c>
      <c r="J204" s="114" t="s">
        <v>192</v>
      </c>
      <c r="K204" s="114" t="s">
        <v>193</v>
      </c>
      <c r="L204" s="114" t="s">
        <v>194</v>
      </c>
      <c r="M204" s="114" t="s">
        <v>195</v>
      </c>
      <c r="N204" s="114" t="s">
        <v>196</v>
      </c>
      <c r="O204" s="115">
        <v>2026</v>
      </c>
      <c r="AP204" s="292"/>
      <c r="AS204"/>
    </row>
    <row r="205" spans="2:45" ht="12" customHeight="1">
      <c r="B205" s="123"/>
      <c r="C205" s="124"/>
      <c r="D205" s="124"/>
      <c r="E205" s="124"/>
      <c r="F205" s="124"/>
      <c r="G205" s="124"/>
      <c r="H205" s="124"/>
      <c r="I205" s="124"/>
      <c r="J205" s="124"/>
      <c r="K205" s="124"/>
      <c r="L205" s="124"/>
      <c r="M205" s="124"/>
      <c r="N205" s="124"/>
      <c r="O205" s="124"/>
      <c r="AP205" s="292"/>
      <c r="AS205"/>
    </row>
    <row r="206" spans="2:45" ht="21" customHeight="1">
      <c r="B206" s="125" t="s">
        <v>21</v>
      </c>
      <c r="C206" s="126">
        <f>SUM(C207:C211)</f>
        <v>17</v>
      </c>
      <c r="D206" s="126">
        <f t="shared" ref="D206:N206" si="66">SUM(D207:D211)</f>
        <v>20</v>
      </c>
      <c r="E206" s="126">
        <f t="shared" si="66"/>
        <v>20</v>
      </c>
      <c r="F206" s="126">
        <f t="shared" si="66"/>
        <v>21</v>
      </c>
      <c r="G206" s="126">
        <f t="shared" si="66"/>
        <v>20</v>
      </c>
      <c r="H206" s="126">
        <f t="shared" si="66"/>
        <v>19</v>
      </c>
      <c r="I206" s="126">
        <f t="shared" si="66"/>
        <v>23</v>
      </c>
      <c r="J206" s="126">
        <f t="shared" si="66"/>
        <v>22</v>
      </c>
      <c r="K206" s="126">
        <f t="shared" si="66"/>
        <v>21</v>
      </c>
      <c r="L206" s="126">
        <f t="shared" si="66"/>
        <v>23</v>
      </c>
      <c r="M206" s="126">
        <f t="shared" si="66"/>
        <v>21</v>
      </c>
      <c r="N206" s="126">
        <f t="shared" si="66"/>
        <v>21</v>
      </c>
      <c r="O206" s="126">
        <f>SUM(C206:N206)</f>
        <v>248</v>
      </c>
      <c r="AP206" s="292"/>
      <c r="AS206"/>
    </row>
    <row r="207" spans="2:45" ht="21" customHeight="1">
      <c r="B207" s="117" t="s">
        <v>65</v>
      </c>
      <c r="C207" s="118">
        <f>'Выгрузка персонал'!I96/1000</f>
        <v>3.4</v>
      </c>
      <c r="D207" s="118">
        <f>'Выгрузка персонал'!J96/1000</f>
        <v>4</v>
      </c>
      <c r="E207" s="118">
        <f>'Выгрузка персонал'!K96/1000</f>
        <v>4</v>
      </c>
      <c r="F207" s="118">
        <f>'Выгрузка персонал'!L96/1000</f>
        <v>4.2</v>
      </c>
      <c r="G207" s="118">
        <f>'Выгрузка персонал'!M96/1000</f>
        <v>4</v>
      </c>
      <c r="H207" s="118">
        <f>'Выгрузка персонал'!N96/1000</f>
        <v>3.8</v>
      </c>
      <c r="I207" s="118">
        <f>'Выгрузка персонал'!O96/1000</f>
        <v>4.5999999999999996</v>
      </c>
      <c r="J207" s="118">
        <f>'Выгрузка персонал'!P96/1000</f>
        <v>4.4000000000000004</v>
      </c>
      <c r="K207" s="118">
        <f>'Выгрузка персонал'!Q96/1000</f>
        <v>4.2</v>
      </c>
      <c r="L207" s="118">
        <f>'Выгрузка персонал'!R96/1000</f>
        <v>4.5999999999999996</v>
      </c>
      <c r="M207" s="118">
        <f>'Выгрузка персонал'!S96/1000</f>
        <v>4.2</v>
      </c>
      <c r="N207" s="118">
        <f>'Выгрузка персонал'!T96/1000</f>
        <v>4.2</v>
      </c>
      <c r="O207" s="66">
        <f>SUM(C207:N207)</f>
        <v>49.600000000000009</v>
      </c>
      <c r="AP207" s="292"/>
      <c r="AS207"/>
    </row>
    <row r="208" spans="2:45" ht="21" customHeight="1">
      <c r="B208" s="147" t="s">
        <v>66</v>
      </c>
      <c r="C208" s="86">
        <f>'Выгрузка персонал'!I95/1000</f>
        <v>3.4</v>
      </c>
      <c r="D208" s="86">
        <f>'Выгрузка персонал'!J95/1000</f>
        <v>4</v>
      </c>
      <c r="E208" s="86">
        <f>'Выгрузка персонал'!K95/1000</f>
        <v>4</v>
      </c>
      <c r="F208" s="86">
        <f>'Выгрузка персонал'!L95/1000</f>
        <v>4.2</v>
      </c>
      <c r="G208" s="86">
        <f>'Выгрузка персонал'!M95/1000</f>
        <v>4</v>
      </c>
      <c r="H208" s="86">
        <f>'Выгрузка персонал'!N95/1000</f>
        <v>3.8</v>
      </c>
      <c r="I208" s="86">
        <f>'Выгрузка персонал'!O95/1000</f>
        <v>4.5999999999999996</v>
      </c>
      <c r="J208" s="86">
        <f>'Выгрузка персонал'!P95/1000</f>
        <v>4.4000000000000004</v>
      </c>
      <c r="K208" s="86">
        <f>'Выгрузка персонал'!Q95/1000</f>
        <v>4.2</v>
      </c>
      <c r="L208" s="86">
        <f>'Выгрузка персонал'!R95/1000</f>
        <v>4.5999999999999996</v>
      </c>
      <c r="M208" s="86">
        <f>'Выгрузка персонал'!S95/1000</f>
        <v>4.2</v>
      </c>
      <c r="N208" s="86">
        <f>'Выгрузка персонал'!T95/1000</f>
        <v>4.2</v>
      </c>
      <c r="O208" s="66">
        <f>SUM(C208:N208)</f>
        <v>49.600000000000009</v>
      </c>
      <c r="AP208" s="292"/>
      <c r="AS208"/>
    </row>
    <row r="209" spans="2:45" ht="21" customHeight="1">
      <c r="B209" s="147" t="s">
        <v>67</v>
      </c>
      <c r="C209" s="86">
        <f>'Выгрузка персонал'!I93/1000</f>
        <v>3.4</v>
      </c>
      <c r="D209" s="86">
        <f>'Выгрузка персонал'!J93/1000</f>
        <v>4</v>
      </c>
      <c r="E209" s="86">
        <f>'Выгрузка персонал'!K93/1000</f>
        <v>4</v>
      </c>
      <c r="F209" s="86">
        <f>'Выгрузка персонал'!L93/1000</f>
        <v>4.2</v>
      </c>
      <c r="G209" s="86">
        <f>'Выгрузка персонал'!M93/1000</f>
        <v>4</v>
      </c>
      <c r="H209" s="86">
        <f>'Выгрузка персонал'!N93/1000</f>
        <v>3.8</v>
      </c>
      <c r="I209" s="86">
        <f>'Выгрузка персонал'!O93/1000</f>
        <v>4.5999999999999996</v>
      </c>
      <c r="J209" s="86">
        <f>'Выгрузка персонал'!P93/1000</f>
        <v>4.4000000000000004</v>
      </c>
      <c r="K209" s="86">
        <f>'Выгрузка персонал'!Q93/1000</f>
        <v>4.2</v>
      </c>
      <c r="L209" s="86">
        <f>'Выгрузка персонал'!R93/1000</f>
        <v>4.5999999999999996</v>
      </c>
      <c r="M209" s="86">
        <f>'Выгрузка персонал'!S93/1000</f>
        <v>4.2</v>
      </c>
      <c r="N209" s="86">
        <f>'Выгрузка персонал'!T93/1000</f>
        <v>4.2</v>
      </c>
      <c r="O209" s="66">
        <f>SUM(C209:N209)</f>
        <v>49.600000000000009</v>
      </c>
      <c r="AP209" s="292"/>
      <c r="AS209"/>
    </row>
    <row r="210" spans="2:45" ht="21" customHeight="1">
      <c r="B210" s="147" t="s">
        <v>68</v>
      </c>
      <c r="C210" s="86">
        <f>'Выгрузка персонал'!I94/1000</f>
        <v>3.4</v>
      </c>
      <c r="D210" s="86">
        <f>'Выгрузка персонал'!J94/1000</f>
        <v>4</v>
      </c>
      <c r="E210" s="86">
        <f>'Выгрузка персонал'!K94/1000</f>
        <v>4</v>
      </c>
      <c r="F210" s="86">
        <f>'Выгрузка персонал'!L94/1000</f>
        <v>4.2</v>
      </c>
      <c r="G210" s="86">
        <f>'Выгрузка персонал'!M94/1000</f>
        <v>4</v>
      </c>
      <c r="H210" s="86">
        <f>'Выгрузка персонал'!N94/1000</f>
        <v>3.8</v>
      </c>
      <c r="I210" s="86">
        <f>'Выгрузка персонал'!O94/1000</f>
        <v>4.5999999999999996</v>
      </c>
      <c r="J210" s="86">
        <f>'Выгрузка персонал'!P94/1000</f>
        <v>4.4000000000000004</v>
      </c>
      <c r="K210" s="86">
        <f>'Выгрузка персонал'!Q94/1000</f>
        <v>4.2</v>
      </c>
      <c r="L210" s="86">
        <f>'Выгрузка персонал'!R94/1000</f>
        <v>4.5999999999999996</v>
      </c>
      <c r="M210" s="86">
        <f>'Выгрузка персонал'!S94/1000</f>
        <v>4.2</v>
      </c>
      <c r="N210" s="86">
        <f>'Выгрузка персонал'!T94/1000</f>
        <v>4.2</v>
      </c>
      <c r="O210" s="77">
        <f t="shared" ref="O210:O217" si="67">SUM(C210:N210)</f>
        <v>49.600000000000009</v>
      </c>
      <c r="AP210" s="292"/>
      <c r="AS210"/>
    </row>
    <row r="211" spans="2:45" ht="21" customHeight="1">
      <c r="B211" s="119" t="s">
        <v>69</v>
      </c>
      <c r="C211" s="120">
        <f>'Выгрузка персонал'!I97/1000</f>
        <v>3.4</v>
      </c>
      <c r="D211" s="120">
        <f>'Выгрузка персонал'!J97/1000</f>
        <v>4</v>
      </c>
      <c r="E211" s="120">
        <f>'Выгрузка персонал'!K97/1000</f>
        <v>4</v>
      </c>
      <c r="F211" s="120">
        <f>'Выгрузка персонал'!L97/1000</f>
        <v>4.2</v>
      </c>
      <c r="G211" s="120">
        <f>'Выгрузка персонал'!M97/1000</f>
        <v>4</v>
      </c>
      <c r="H211" s="120">
        <f>'Выгрузка персонал'!N97/1000</f>
        <v>3.8</v>
      </c>
      <c r="I211" s="120">
        <f>'Выгрузка персонал'!O97/1000</f>
        <v>4.5999999999999996</v>
      </c>
      <c r="J211" s="120">
        <f>'Выгрузка персонал'!P97/1000</f>
        <v>4.4000000000000004</v>
      </c>
      <c r="K211" s="120">
        <f>'Выгрузка персонал'!Q97/1000</f>
        <v>4.2</v>
      </c>
      <c r="L211" s="120">
        <f>'Выгрузка персонал'!R97/1000</f>
        <v>4.5999999999999996</v>
      </c>
      <c r="M211" s="120">
        <f>'Выгрузка персонал'!S97/1000</f>
        <v>4.2</v>
      </c>
      <c r="N211" s="120">
        <f>'Выгрузка персонал'!T97/1000</f>
        <v>4.2</v>
      </c>
      <c r="O211" s="122">
        <f t="shared" si="67"/>
        <v>49.600000000000009</v>
      </c>
      <c r="AP211" s="292"/>
      <c r="AS211"/>
    </row>
    <row r="212" spans="2:45" ht="21" customHeight="1">
      <c r="B212" s="125" t="s">
        <v>22</v>
      </c>
      <c r="C212" s="126">
        <f>SUM(C213:C216)</f>
        <v>13.6</v>
      </c>
      <c r="D212" s="126">
        <f t="shared" ref="D212:N212" si="68">SUM(D213:D216)</f>
        <v>20</v>
      </c>
      <c r="E212" s="126">
        <f t="shared" si="68"/>
        <v>24</v>
      </c>
      <c r="F212" s="126">
        <f t="shared" si="68"/>
        <v>29.4</v>
      </c>
      <c r="G212" s="126">
        <f t="shared" si="68"/>
        <v>28</v>
      </c>
      <c r="H212" s="126">
        <f t="shared" si="68"/>
        <v>30.400000000000002</v>
      </c>
      <c r="I212" s="126">
        <f t="shared" si="68"/>
        <v>41.400000000000006</v>
      </c>
      <c r="J212" s="126">
        <f t="shared" si="68"/>
        <v>44</v>
      </c>
      <c r="K212" s="126">
        <f t="shared" si="68"/>
        <v>46.20000000000001</v>
      </c>
      <c r="L212" s="126">
        <f t="shared" si="68"/>
        <v>55.2</v>
      </c>
      <c r="M212" s="126">
        <f t="shared" si="68"/>
        <v>50.400000000000006</v>
      </c>
      <c r="N212" s="126">
        <f t="shared" si="68"/>
        <v>54.600000000000009</v>
      </c>
      <c r="O212" s="126">
        <f t="shared" si="67"/>
        <v>437.20000000000005</v>
      </c>
      <c r="AP212" s="292"/>
      <c r="AS212"/>
    </row>
    <row r="213" spans="2:45" ht="21" customHeight="1">
      <c r="B213" s="117" t="s">
        <v>65</v>
      </c>
      <c r="C213" s="118">
        <f>'Выгрузка персонал'!I101/1000</f>
        <v>3.4</v>
      </c>
      <c r="D213" s="118">
        <f>'Выгрузка персонал'!J101/1000</f>
        <v>4</v>
      </c>
      <c r="E213" s="118">
        <f>'Выгрузка персонал'!K101/1000</f>
        <v>4</v>
      </c>
      <c r="F213" s="118">
        <f>'Выгрузка персонал'!L101/1000</f>
        <v>4.2</v>
      </c>
      <c r="G213" s="118">
        <f>'Выгрузка персонал'!M101/1000</f>
        <v>4</v>
      </c>
      <c r="H213" s="118">
        <f>'Выгрузка персонал'!N101/1000</f>
        <v>3.8</v>
      </c>
      <c r="I213" s="118">
        <f>'Выгрузка персонал'!O101/1000</f>
        <v>4.5999999999999996</v>
      </c>
      <c r="J213" s="118">
        <f>'Выгрузка персонал'!P101/1000</f>
        <v>4.4000000000000004</v>
      </c>
      <c r="K213" s="118">
        <f>'Выгрузка персонал'!Q101/1000</f>
        <v>4.2</v>
      </c>
      <c r="L213" s="118">
        <f>'Выгрузка персонал'!R101/1000</f>
        <v>4.5999999999999996</v>
      </c>
      <c r="M213" s="118">
        <f>'Выгрузка персонал'!S101/1000</f>
        <v>4.2</v>
      </c>
      <c r="N213" s="118">
        <f>'Выгрузка персонал'!T101/1000</f>
        <v>4.2</v>
      </c>
      <c r="O213" s="66">
        <f t="shared" si="67"/>
        <v>49.600000000000009</v>
      </c>
      <c r="AP213" s="292"/>
      <c r="AS213"/>
    </row>
    <row r="214" spans="2:45" ht="21" customHeight="1">
      <c r="B214" s="147" t="s">
        <v>70</v>
      </c>
      <c r="C214" s="86">
        <f>'Выгрузка персонал'!I100/1000</f>
        <v>3.4</v>
      </c>
      <c r="D214" s="86">
        <f>'Выгрузка персонал'!J100/1000</f>
        <v>8</v>
      </c>
      <c r="E214" s="86">
        <f>'Выгрузка персонал'!K100/1000</f>
        <v>12</v>
      </c>
      <c r="F214" s="86">
        <f>'Выгрузка персонал'!L100/1000</f>
        <v>16.8</v>
      </c>
      <c r="G214" s="86">
        <f>'Выгрузка персонал'!M100/1000</f>
        <v>16</v>
      </c>
      <c r="H214" s="86">
        <f>'Выгрузка персонал'!N100/1000</f>
        <v>19</v>
      </c>
      <c r="I214" s="86">
        <f>'Выгрузка персонал'!O100/1000</f>
        <v>27.6</v>
      </c>
      <c r="J214" s="86">
        <f>'Выгрузка персонал'!P100/1000</f>
        <v>30.8</v>
      </c>
      <c r="K214" s="86">
        <f>'Выгрузка персонал'!Q100/1000</f>
        <v>33.6</v>
      </c>
      <c r="L214" s="86">
        <f>'Выгрузка персонал'!R100/1000</f>
        <v>41.4</v>
      </c>
      <c r="M214" s="86">
        <f>'Выгрузка персонал'!S100/1000</f>
        <v>37.799999999999997</v>
      </c>
      <c r="N214" s="86">
        <f>'Выгрузка персонал'!T100/1000</f>
        <v>42</v>
      </c>
      <c r="O214" s="77">
        <f t="shared" si="67"/>
        <v>288.40000000000003</v>
      </c>
      <c r="AP214" s="292"/>
      <c r="AS214"/>
    </row>
    <row r="215" spans="2:45" ht="21" customHeight="1">
      <c r="B215" s="147" t="s">
        <v>67</v>
      </c>
      <c r="C215" s="86">
        <f>'Выгрузка персонал'!I99/1000</f>
        <v>3.4</v>
      </c>
      <c r="D215" s="86">
        <f>'Выгрузка персонал'!J99/1000</f>
        <v>4</v>
      </c>
      <c r="E215" s="86">
        <f>'Выгрузка персонал'!K99/1000</f>
        <v>4</v>
      </c>
      <c r="F215" s="86">
        <f>'Выгрузка персонал'!L99/1000</f>
        <v>4.2</v>
      </c>
      <c r="G215" s="86">
        <f>'Выгрузка персонал'!M99/1000</f>
        <v>4</v>
      </c>
      <c r="H215" s="86">
        <f>'Выгрузка персонал'!N99/1000</f>
        <v>3.8</v>
      </c>
      <c r="I215" s="86">
        <f>'Выгрузка персонал'!O99/1000</f>
        <v>4.5999999999999996</v>
      </c>
      <c r="J215" s="86">
        <f>'Выгрузка персонал'!P99/1000</f>
        <v>4.4000000000000004</v>
      </c>
      <c r="K215" s="86">
        <f>'Выгрузка персонал'!Q99/1000</f>
        <v>4.2</v>
      </c>
      <c r="L215" s="86">
        <f>'Выгрузка персонал'!R99/1000</f>
        <v>4.5999999999999996</v>
      </c>
      <c r="M215" s="86">
        <f>'Выгрузка персонал'!S99/1000</f>
        <v>4.2</v>
      </c>
      <c r="N215" s="86">
        <f>'Выгрузка персонал'!T99/1000</f>
        <v>4.2</v>
      </c>
      <c r="O215" s="77">
        <f t="shared" si="67"/>
        <v>49.600000000000009</v>
      </c>
      <c r="AP215" s="292"/>
      <c r="AS215"/>
    </row>
    <row r="216" spans="2:45" ht="21" customHeight="1">
      <c r="B216" s="119" t="s">
        <v>69</v>
      </c>
      <c r="C216" s="120">
        <f>'Выгрузка персонал'!I102/1000</f>
        <v>3.4</v>
      </c>
      <c r="D216" s="120">
        <f>'Выгрузка персонал'!J102/1000</f>
        <v>4</v>
      </c>
      <c r="E216" s="120">
        <f>'Выгрузка персонал'!K102/1000</f>
        <v>4</v>
      </c>
      <c r="F216" s="120">
        <f>'Выгрузка персонал'!L102/1000</f>
        <v>4.2</v>
      </c>
      <c r="G216" s="120">
        <f>'Выгрузка персонал'!M102/1000</f>
        <v>4</v>
      </c>
      <c r="H216" s="120">
        <f>'Выгрузка персонал'!N102/1000</f>
        <v>3.8</v>
      </c>
      <c r="I216" s="120">
        <f>'Выгрузка персонал'!O102/1000</f>
        <v>4.5999999999999996</v>
      </c>
      <c r="J216" s="120">
        <f>'Выгрузка персонал'!P102/1000</f>
        <v>4.4000000000000004</v>
      </c>
      <c r="K216" s="120">
        <f>'Выгрузка персонал'!Q102/1000</f>
        <v>4.2</v>
      </c>
      <c r="L216" s="120">
        <f>'Выгрузка персонал'!R102/1000</f>
        <v>4.5999999999999996</v>
      </c>
      <c r="M216" s="120">
        <f>'Выгрузка персонал'!S102/1000</f>
        <v>4.2</v>
      </c>
      <c r="N216" s="120">
        <f>'Выгрузка персонал'!T102/1000</f>
        <v>4.2</v>
      </c>
      <c r="O216" s="122">
        <f t="shared" si="67"/>
        <v>49.600000000000009</v>
      </c>
      <c r="AP216" s="292"/>
      <c r="AS216"/>
    </row>
    <row r="217" spans="2:45" ht="21" customHeight="1">
      <c r="B217" s="125" t="s">
        <v>71</v>
      </c>
      <c r="C217" s="126">
        <f>'Выгрузка персонал'!I91/1000</f>
        <v>3.4</v>
      </c>
      <c r="D217" s="126">
        <f>'Выгрузка персонал'!J91/1000</f>
        <v>4</v>
      </c>
      <c r="E217" s="126">
        <f>'Выгрузка персонал'!K91/1000</f>
        <v>4</v>
      </c>
      <c r="F217" s="126">
        <f>'Выгрузка персонал'!L91/1000</f>
        <v>4.2</v>
      </c>
      <c r="G217" s="126">
        <f>'Выгрузка персонал'!M91/1000</f>
        <v>4</v>
      </c>
      <c r="H217" s="126">
        <f>'Выгрузка персонал'!N91/1000</f>
        <v>3.8</v>
      </c>
      <c r="I217" s="126">
        <f>'Выгрузка персонал'!O91/1000</f>
        <v>4.5999999999999996</v>
      </c>
      <c r="J217" s="126">
        <f>'Выгрузка персонал'!P91/1000</f>
        <v>4.4000000000000004</v>
      </c>
      <c r="K217" s="126">
        <f>'Выгрузка персонал'!Q91/1000</f>
        <v>4.2</v>
      </c>
      <c r="L217" s="126">
        <f>'Выгрузка персонал'!R91/1000</f>
        <v>4.5999999999999996</v>
      </c>
      <c r="M217" s="126">
        <f>'Выгрузка персонал'!S91/1000</f>
        <v>4.2</v>
      </c>
      <c r="N217" s="126">
        <f>'Выгрузка персонал'!T91/1000</f>
        <v>4.2</v>
      </c>
      <c r="O217" s="126">
        <f t="shared" si="67"/>
        <v>49.600000000000009</v>
      </c>
      <c r="AP217" s="292"/>
      <c r="AS217"/>
    </row>
    <row r="218" spans="2:45" ht="21" customHeight="1">
      <c r="AP218" s="34"/>
    </row>
    <row r="219" spans="2:45" ht="38" customHeight="1">
      <c r="B219" s="111" t="s">
        <v>78</v>
      </c>
      <c r="C219" s="111"/>
      <c r="D219" s="111"/>
      <c r="E219" s="111"/>
      <c r="F219" s="111"/>
      <c r="G219" s="111"/>
      <c r="H219" s="111"/>
      <c r="I219" s="111" t="s">
        <v>47</v>
      </c>
      <c r="J219" s="111"/>
      <c r="K219" s="111"/>
      <c r="L219" s="111"/>
      <c r="M219" s="111"/>
      <c r="N219" s="111"/>
      <c r="O219" s="111"/>
      <c r="P219" s="325" t="s">
        <v>48</v>
      </c>
      <c r="Q219" s="325"/>
      <c r="R219" s="325"/>
      <c r="S219" s="325"/>
      <c r="T219" s="325"/>
      <c r="U219" s="325"/>
      <c r="V219" s="325"/>
      <c r="W219" s="325"/>
      <c r="X219" s="325"/>
      <c r="Y219" s="325"/>
      <c r="Z219" s="325"/>
      <c r="AA219" s="325"/>
      <c r="AB219" s="325"/>
      <c r="AC219" s="244"/>
      <c r="AD219" s="244"/>
      <c r="AE219" s="244"/>
      <c r="AF219" s="244"/>
      <c r="AG219" s="244"/>
      <c r="AH219" s="244"/>
      <c r="AI219" s="244"/>
      <c r="AJ219" s="244"/>
      <c r="AK219" s="244"/>
      <c r="AL219" s="244"/>
      <c r="AM219" s="244"/>
      <c r="AN219" s="244"/>
      <c r="AO219" s="244"/>
      <c r="AP219" s="328"/>
      <c r="AR219" s="13"/>
    </row>
    <row r="220" spans="2:45" ht="20" customHeight="1" thickBot="1">
      <c r="B220" s="153"/>
      <c r="C220" s="114" t="s">
        <v>186</v>
      </c>
      <c r="D220" s="114" t="s">
        <v>187</v>
      </c>
      <c r="E220" s="114" t="s">
        <v>188</v>
      </c>
      <c r="F220" s="114" t="s">
        <v>189</v>
      </c>
      <c r="G220" s="248">
        <v>46143</v>
      </c>
      <c r="H220" s="114" t="s">
        <v>190</v>
      </c>
      <c r="I220" s="114" t="s">
        <v>191</v>
      </c>
      <c r="J220" s="114" t="s">
        <v>192</v>
      </c>
      <c r="K220" s="114" t="s">
        <v>193</v>
      </c>
      <c r="L220" s="114" t="s">
        <v>194</v>
      </c>
      <c r="M220" s="114" t="s">
        <v>195</v>
      </c>
      <c r="N220" s="114" t="s">
        <v>196</v>
      </c>
      <c r="O220" s="115">
        <v>2026</v>
      </c>
      <c r="P220" s="114" t="s">
        <v>186</v>
      </c>
      <c r="Q220" s="114" t="s">
        <v>187</v>
      </c>
      <c r="R220" s="114" t="s">
        <v>188</v>
      </c>
      <c r="S220" s="114" t="s">
        <v>189</v>
      </c>
      <c r="T220" s="248">
        <v>46143</v>
      </c>
      <c r="U220" s="114" t="s">
        <v>190</v>
      </c>
      <c r="V220" s="114" t="s">
        <v>191</v>
      </c>
      <c r="W220" s="114" t="s">
        <v>192</v>
      </c>
      <c r="X220" s="114" t="s">
        <v>193</v>
      </c>
      <c r="Y220" s="114" t="s">
        <v>194</v>
      </c>
      <c r="Z220" s="114" t="s">
        <v>195</v>
      </c>
      <c r="AA220" s="114" t="s">
        <v>196</v>
      </c>
      <c r="AB220" s="116">
        <v>2026</v>
      </c>
      <c r="AC220" s="123"/>
      <c r="AD220" s="123"/>
      <c r="AE220" s="123"/>
      <c r="AF220" s="123"/>
      <c r="AG220" s="123"/>
      <c r="AH220" s="123"/>
      <c r="AI220" s="123"/>
      <c r="AJ220" s="123"/>
      <c r="AK220" s="123"/>
      <c r="AL220" s="123"/>
      <c r="AM220" s="123"/>
      <c r="AN220" s="123"/>
      <c r="AO220" s="123"/>
      <c r="AP220" s="329"/>
      <c r="AR220" s="13"/>
    </row>
    <row r="221" spans="2:45" ht="10.25" customHeight="1" thickBot="1">
      <c r="B221" s="123"/>
      <c r="C221" s="124"/>
      <c r="D221" s="124"/>
      <c r="E221" s="124"/>
      <c r="F221" s="124"/>
      <c r="G221" s="124"/>
      <c r="H221" s="124"/>
      <c r="I221" s="124"/>
      <c r="J221" s="124"/>
      <c r="K221" s="124"/>
      <c r="L221" s="124"/>
      <c r="M221" s="124"/>
      <c r="N221" s="124"/>
      <c r="O221" s="124"/>
      <c r="P221" s="124"/>
      <c r="Q221" s="124"/>
      <c r="R221" s="124"/>
      <c r="S221" s="124"/>
      <c r="T221" s="124"/>
      <c r="U221" s="124"/>
      <c r="V221" s="124"/>
      <c r="W221" s="124"/>
      <c r="X221" s="124"/>
      <c r="Y221" s="124"/>
      <c r="Z221" s="124"/>
      <c r="AA221" s="124"/>
      <c r="AB221" s="123"/>
      <c r="AC221" s="123"/>
      <c r="AD221" s="123"/>
      <c r="AE221" s="123"/>
      <c r="AF221" s="123"/>
      <c r="AG221" s="123"/>
      <c r="AH221" s="123"/>
      <c r="AI221" s="123"/>
      <c r="AJ221" s="123"/>
      <c r="AK221" s="123"/>
      <c r="AL221" s="123"/>
      <c r="AM221" s="123"/>
      <c r="AN221" s="123"/>
      <c r="AO221" s="123"/>
      <c r="AP221" s="329"/>
      <c r="AR221" s="13"/>
    </row>
    <row r="222" spans="2:45" ht="20" customHeight="1">
      <c r="B222" s="125" t="s">
        <v>79</v>
      </c>
      <c r="C222" s="126">
        <f>C223+C224</f>
        <v>56.25</v>
      </c>
      <c r="D222" s="126">
        <f t="shared" ref="D222:N222" si="69">D223+D224</f>
        <v>56.25</v>
      </c>
      <c r="E222" s="126">
        <f t="shared" si="69"/>
        <v>56.25</v>
      </c>
      <c r="F222" s="126">
        <f t="shared" si="69"/>
        <v>56.25</v>
      </c>
      <c r="G222" s="126">
        <f t="shared" si="69"/>
        <v>56.25</v>
      </c>
      <c r="H222" s="126">
        <f t="shared" si="69"/>
        <v>56.25</v>
      </c>
      <c r="I222" s="126">
        <f t="shared" si="69"/>
        <v>56.25</v>
      </c>
      <c r="J222" s="126">
        <f t="shared" si="69"/>
        <v>56.25</v>
      </c>
      <c r="K222" s="126">
        <f t="shared" si="69"/>
        <v>56.25</v>
      </c>
      <c r="L222" s="126">
        <f t="shared" si="69"/>
        <v>56.25</v>
      </c>
      <c r="M222" s="126">
        <f t="shared" si="69"/>
        <v>56.25</v>
      </c>
      <c r="N222" s="126">
        <f t="shared" si="69"/>
        <v>56.25</v>
      </c>
      <c r="O222" s="126">
        <f>SUM(C222:N222)</f>
        <v>675</v>
      </c>
      <c r="P222" s="162">
        <f>SUM(P223:P224)</f>
        <v>0</v>
      </c>
      <c r="Q222" s="163">
        <f t="shared" ref="Q222:AA222" si="70">SUM(Q223:Q224)</f>
        <v>0</v>
      </c>
      <c r="R222" s="163">
        <f t="shared" si="70"/>
        <v>0</v>
      </c>
      <c r="S222" s="163">
        <f t="shared" si="70"/>
        <v>0</v>
      </c>
      <c r="T222" s="163">
        <f t="shared" si="70"/>
        <v>0</v>
      </c>
      <c r="U222" s="163">
        <f t="shared" si="70"/>
        <v>0</v>
      </c>
      <c r="V222" s="163">
        <f t="shared" si="70"/>
        <v>0</v>
      </c>
      <c r="W222" s="163">
        <f t="shared" si="70"/>
        <v>0</v>
      </c>
      <c r="X222" s="163">
        <f t="shared" si="70"/>
        <v>0</v>
      </c>
      <c r="Y222" s="163">
        <f t="shared" si="70"/>
        <v>0</v>
      </c>
      <c r="Z222" s="163">
        <f t="shared" si="70"/>
        <v>0</v>
      </c>
      <c r="AA222" s="163">
        <f t="shared" si="70"/>
        <v>0</v>
      </c>
      <c r="AB222" s="164">
        <f>SUM(P222:AA222)</f>
        <v>0</v>
      </c>
      <c r="AC222" s="143"/>
      <c r="AD222" s="143"/>
      <c r="AE222" s="143"/>
      <c r="AF222" s="143"/>
      <c r="AG222" s="143"/>
      <c r="AH222" s="143"/>
      <c r="AI222" s="143"/>
      <c r="AJ222" s="143"/>
      <c r="AK222" s="143"/>
      <c r="AL222" s="143"/>
      <c r="AM222" s="143"/>
      <c r="AN222" s="143"/>
      <c r="AO222" s="143"/>
      <c r="AP222" s="329"/>
    </row>
    <row r="223" spans="2:45" ht="20" customHeight="1">
      <c r="B223" s="117" t="s">
        <v>33</v>
      </c>
      <c r="C223" s="118">
        <v>50</v>
      </c>
      <c r="D223" s="118">
        <v>50</v>
      </c>
      <c r="E223" s="118">
        <v>50</v>
      </c>
      <c r="F223" s="118">
        <v>50</v>
      </c>
      <c r="G223" s="118">
        <v>50</v>
      </c>
      <c r="H223" s="118">
        <v>50</v>
      </c>
      <c r="I223" s="118">
        <v>50</v>
      </c>
      <c r="J223" s="118">
        <v>50</v>
      </c>
      <c r="K223" s="118">
        <v>50</v>
      </c>
      <c r="L223" s="118">
        <v>50</v>
      </c>
      <c r="M223" s="118">
        <v>50</v>
      </c>
      <c r="N223" s="118">
        <v>50</v>
      </c>
      <c r="O223" s="66">
        <f>SUM(C223:N223)</f>
        <v>600</v>
      </c>
      <c r="P223" s="145">
        <f>C223-Расчеты!C160</f>
        <v>0</v>
      </c>
      <c r="Q223" s="131">
        <f>D223-Расчеты!D160</f>
        <v>0</v>
      </c>
      <c r="R223" s="131">
        <f>E223-Расчеты!E160</f>
        <v>0</v>
      </c>
      <c r="S223" s="131">
        <f>F223-Расчеты!F160</f>
        <v>0</v>
      </c>
      <c r="T223" s="131">
        <f>G223-Расчеты!G160</f>
        <v>0</v>
      </c>
      <c r="U223" s="131">
        <f>H223-Расчеты!H160</f>
        <v>0</v>
      </c>
      <c r="V223" s="131">
        <f>I223-Расчеты!I160</f>
        <v>0</v>
      </c>
      <c r="W223" s="131">
        <f>J223-Расчеты!J160</f>
        <v>0</v>
      </c>
      <c r="X223" s="131">
        <f>K223-Расчеты!K160</f>
        <v>0</v>
      </c>
      <c r="Y223" s="131">
        <f>L223-Расчеты!L160</f>
        <v>0</v>
      </c>
      <c r="Z223" s="131">
        <f>M223-Расчеты!M160</f>
        <v>0</v>
      </c>
      <c r="AA223" s="131">
        <f>N223-Расчеты!N160</f>
        <v>0</v>
      </c>
      <c r="AB223" s="146">
        <f t="shared" ref="AB223:AB224" si="71">SUM(P223:AA223)</f>
        <v>0</v>
      </c>
      <c r="AC223" s="143"/>
      <c r="AD223" s="143"/>
      <c r="AE223" s="143"/>
      <c r="AF223" s="143"/>
      <c r="AG223" s="143"/>
      <c r="AH223" s="143"/>
      <c r="AI223" s="143"/>
      <c r="AJ223" s="143"/>
      <c r="AK223" s="143"/>
      <c r="AL223" s="143"/>
      <c r="AM223" s="143"/>
      <c r="AN223" s="143"/>
      <c r="AO223" s="143"/>
      <c r="AP223" s="329"/>
    </row>
    <row r="224" spans="2:45" ht="20" customHeight="1" thickBot="1">
      <c r="B224" s="119" t="s">
        <v>80</v>
      </c>
      <c r="C224" s="120">
        <v>6.25</v>
      </c>
      <c r="D224" s="120">
        <v>6.25</v>
      </c>
      <c r="E224" s="120">
        <v>6.25</v>
      </c>
      <c r="F224" s="120">
        <v>6.25</v>
      </c>
      <c r="G224" s="120">
        <v>6.25</v>
      </c>
      <c r="H224" s="120">
        <v>6.25</v>
      </c>
      <c r="I224" s="120">
        <v>6.25</v>
      </c>
      <c r="J224" s="120">
        <v>6.25</v>
      </c>
      <c r="K224" s="120">
        <v>6.25</v>
      </c>
      <c r="L224" s="120">
        <v>6.25</v>
      </c>
      <c r="M224" s="120">
        <v>6.25</v>
      </c>
      <c r="N224" s="120">
        <v>6.25</v>
      </c>
      <c r="O224" s="122">
        <f>SUM(C224:N224)</f>
        <v>75</v>
      </c>
      <c r="P224" s="148">
        <f>C224-Расчеты!C161</f>
        <v>0</v>
      </c>
      <c r="Q224" s="149">
        <f>D224-Расчеты!D161</f>
        <v>0</v>
      </c>
      <c r="R224" s="149">
        <f>E224-Расчеты!E161</f>
        <v>0</v>
      </c>
      <c r="S224" s="149">
        <f>F224-Расчеты!F161</f>
        <v>0</v>
      </c>
      <c r="T224" s="149">
        <f>G224-Расчеты!G161</f>
        <v>0</v>
      </c>
      <c r="U224" s="149">
        <f>H224-Расчеты!H161</f>
        <v>0</v>
      </c>
      <c r="V224" s="149">
        <f>I224-Расчеты!I161</f>
        <v>0</v>
      </c>
      <c r="W224" s="149">
        <f>J224-Расчеты!J161</f>
        <v>0</v>
      </c>
      <c r="X224" s="149">
        <f>K224-Расчеты!K161</f>
        <v>0</v>
      </c>
      <c r="Y224" s="149">
        <f>L224-Расчеты!L161</f>
        <v>0</v>
      </c>
      <c r="Z224" s="149">
        <f>M224-Расчеты!M161</f>
        <v>0</v>
      </c>
      <c r="AA224" s="149">
        <f>N224-Расчеты!N161</f>
        <v>0</v>
      </c>
      <c r="AB224" s="150">
        <f t="shared" si="71"/>
        <v>0</v>
      </c>
      <c r="AC224" s="143"/>
      <c r="AD224" s="143"/>
      <c r="AE224" s="143"/>
      <c r="AF224" s="143"/>
      <c r="AG224" s="143"/>
      <c r="AH224" s="143"/>
      <c r="AI224" s="143"/>
      <c r="AJ224" s="143"/>
      <c r="AK224" s="143"/>
      <c r="AL224" s="143"/>
      <c r="AM224" s="143"/>
      <c r="AN224" s="143"/>
      <c r="AO224" s="143"/>
      <c r="AP224" s="329"/>
    </row>
    <row r="225" spans="2:45" ht="20" customHeight="1">
      <c r="AP225" s="34"/>
    </row>
    <row r="226" spans="2:45" ht="38" customHeight="1">
      <c r="B226" s="111" t="s">
        <v>81</v>
      </c>
      <c r="C226" s="111"/>
      <c r="D226" s="111"/>
      <c r="E226" s="111"/>
      <c r="F226" s="111"/>
      <c r="G226" s="111"/>
      <c r="H226" s="111"/>
      <c r="I226" s="111" t="s">
        <v>47</v>
      </c>
      <c r="J226" s="111"/>
      <c r="K226" s="111"/>
      <c r="L226" s="111"/>
      <c r="M226" s="111"/>
      <c r="N226" s="111"/>
      <c r="O226" s="111"/>
      <c r="P226" s="325" t="s">
        <v>48</v>
      </c>
      <c r="Q226" s="325"/>
      <c r="R226" s="325"/>
      <c r="S226" s="325"/>
      <c r="T226" s="325"/>
      <c r="U226" s="325"/>
      <c r="V226" s="325"/>
      <c r="W226" s="325"/>
      <c r="X226" s="325"/>
      <c r="Y226" s="325"/>
      <c r="Z226" s="325"/>
      <c r="AA226" s="325"/>
      <c r="AB226" s="325"/>
      <c r="AC226" s="244"/>
      <c r="AD226" s="244"/>
      <c r="AE226" s="244"/>
      <c r="AF226" s="244"/>
      <c r="AG226" s="244"/>
      <c r="AH226" s="244"/>
      <c r="AI226" s="244"/>
      <c r="AJ226" s="244"/>
      <c r="AK226" s="244"/>
      <c r="AL226" s="244"/>
      <c r="AM226" s="244"/>
      <c r="AN226" s="244"/>
      <c r="AO226" s="244"/>
      <c r="AP226" s="328"/>
      <c r="AR226" s="13"/>
    </row>
    <row r="227" spans="2:45" ht="20" customHeight="1" thickBot="1">
      <c r="B227" s="153"/>
      <c r="C227" s="114" t="s">
        <v>186</v>
      </c>
      <c r="D227" s="114" t="s">
        <v>187</v>
      </c>
      <c r="E227" s="114" t="s">
        <v>188</v>
      </c>
      <c r="F227" s="114" t="s">
        <v>189</v>
      </c>
      <c r="G227" s="248">
        <v>46143</v>
      </c>
      <c r="H227" s="114" t="s">
        <v>190</v>
      </c>
      <c r="I227" s="114" t="s">
        <v>191</v>
      </c>
      <c r="J227" s="114" t="s">
        <v>192</v>
      </c>
      <c r="K227" s="114" t="s">
        <v>193</v>
      </c>
      <c r="L227" s="114" t="s">
        <v>194</v>
      </c>
      <c r="M227" s="114" t="s">
        <v>195</v>
      </c>
      <c r="N227" s="114" t="s">
        <v>196</v>
      </c>
      <c r="O227" s="115">
        <v>2026</v>
      </c>
      <c r="P227" s="114" t="s">
        <v>186</v>
      </c>
      <c r="Q227" s="114" t="s">
        <v>187</v>
      </c>
      <c r="R227" s="114" t="s">
        <v>188</v>
      </c>
      <c r="S227" s="114" t="s">
        <v>189</v>
      </c>
      <c r="T227" s="248">
        <v>46143</v>
      </c>
      <c r="U227" s="114" t="s">
        <v>190</v>
      </c>
      <c r="V227" s="114" t="s">
        <v>191</v>
      </c>
      <c r="W227" s="114" t="s">
        <v>192</v>
      </c>
      <c r="X227" s="114" t="s">
        <v>193</v>
      </c>
      <c r="Y227" s="114" t="s">
        <v>194</v>
      </c>
      <c r="Z227" s="114" t="s">
        <v>195</v>
      </c>
      <c r="AA227" s="114" t="s">
        <v>196</v>
      </c>
      <c r="AB227" s="116">
        <v>2026</v>
      </c>
      <c r="AC227" s="123"/>
      <c r="AD227" s="123"/>
      <c r="AE227" s="123"/>
      <c r="AF227" s="123"/>
      <c r="AG227" s="123"/>
      <c r="AH227" s="123"/>
      <c r="AI227" s="123"/>
      <c r="AJ227" s="123"/>
      <c r="AK227" s="123"/>
      <c r="AL227" s="123"/>
      <c r="AM227" s="123"/>
      <c r="AN227" s="123"/>
      <c r="AO227" s="123"/>
      <c r="AP227" s="328"/>
    </row>
    <row r="228" spans="2:45" ht="10.25" customHeight="1" thickBot="1">
      <c r="B228" s="124"/>
      <c r="C228" s="124"/>
      <c r="D228" s="124"/>
      <c r="E228" s="124"/>
      <c r="F228" s="124"/>
      <c r="G228" s="124"/>
      <c r="H228" s="124"/>
      <c r="I228" s="124"/>
      <c r="J228" s="124"/>
      <c r="K228" s="124"/>
      <c r="L228" s="124"/>
      <c r="M228" s="124"/>
      <c r="N228" s="124"/>
      <c r="O228" s="124"/>
      <c r="P228" s="124"/>
      <c r="Q228" s="124"/>
      <c r="R228" s="124"/>
      <c r="S228" s="124"/>
      <c r="T228" s="124"/>
      <c r="U228" s="124"/>
      <c r="V228" s="124"/>
      <c r="W228" s="124"/>
      <c r="X228" s="124"/>
      <c r="Y228" s="124"/>
      <c r="Z228" s="124"/>
      <c r="AA228" s="124"/>
      <c r="AB228" s="123"/>
      <c r="AC228" s="123"/>
      <c r="AD228" s="123"/>
      <c r="AE228" s="123"/>
      <c r="AF228" s="123"/>
      <c r="AG228" s="123"/>
      <c r="AH228" s="123"/>
      <c r="AI228" s="123"/>
      <c r="AJ228" s="123"/>
      <c r="AK228" s="123"/>
      <c r="AL228" s="123"/>
      <c r="AM228" s="123"/>
      <c r="AN228" s="123"/>
      <c r="AO228" s="123"/>
      <c r="AP228" s="328"/>
    </row>
    <row r="229" spans="2:45" ht="20" customHeight="1">
      <c r="B229" s="125" t="s">
        <v>21</v>
      </c>
      <c r="C229" s="126">
        <v>300</v>
      </c>
      <c r="D229" s="126">
        <v>300</v>
      </c>
      <c r="E229" s="126">
        <v>300</v>
      </c>
      <c r="F229" s="126">
        <v>300</v>
      </c>
      <c r="G229" s="126">
        <v>300</v>
      </c>
      <c r="H229" s="126">
        <v>300</v>
      </c>
      <c r="I229" s="126">
        <v>300</v>
      </c>
      <c r="J229" s="126">
        <v>300</v>
      </c>
      <c r="K229" s="126">
        <v>300</v>
      </c>
      <c r="L229" s="126">
        <v>300</v>
      </c>
      <c r="M229" s="126">
        <v>300</v>
      </c>
      <c r="N229" s="126">
        <v>300</v>
      </c>
      <c r="O229" s="126">
        <f>SUM(C229:N229)</f>
        <v>3600</v>
      </c>
      <c r="P229" s="127">
        <f>C229-Расчеты!C166</f>
        <v>0</v>
      </c>
      <c r="Q229" s="128">
        <f>D229-Расчеты!D166</f>
        <v>0</v>
      </c>
      <c r="R229" s="128">
        <f>E229-Расчеты!E166</f>
        <v>0</v>
      </c>
      <c r="S229" s="128">
        <f>F229-Расчеты!F166</f>
        <v>0</v>
      </c>
      <c r="T229" s="128">
        <f>G229-Расчеты!G166</f>
        <v>0</v>
      </c>
      <c r="U229" s="128">
        <f>H229-Расчеты!H166</f>
        <v>0</v>
      </c>
      <c r="V229" s="128">
        <f>I229-Расчеты!I166</f>
        <v>0</v>
      </c>
      <c r="W229" s="128">
        <f>J229-Расчеты!J166</f>
        <v>0</v>
      </c>
      <c r="X229" s="128">
        <f>K229-Расчеты!K166</f>
        <v>0</v>
      </c>
      <c r="Y229" s="128">
        <f>L229-Расчеты!L166</f>
        <v>0</v>
      </c>
      <c r="Z229" s="128">
        <f>M229-Расчеты!M166</f>
        <v>0</v>
      </c>
      <c r="AA229" s="128">
        <f>N229-Расчеты!N166</f>
        <v>0</v>
      </c>
      <c r="AB229" s="129">
        <f>SUM(P229:AA229)</f>
        <v>0</v>
      </c>
      <c r="AC229" s="143"/>
      <c r="AD229" s="143"/>
      <c r="AE229" s="143"/>
      <c r="AF229" s="143"/>
      <c r="AG229" s="143"/>
      <c r="AH229" s="143"/>
      <c r="AI229" s="143"/>
      <c r="AJ229" s="143"/>
      <c r="AK229" s="143"/>
      <c r="AL229" s="143"/>
      <c r="AM229" s="143"/>
      <c r="AN229" s="143"/>
      <c r="AO229" s="143"/>
      <c r="AP229" s="328"/>
    </row>
    <row r="230" spans="2:45" ht="20" customHeight="1" thickBot="1">
      <c r="B230" s="125" t="s">
        <v>22</v>
      </c>
      <c r="C230" s="126">
        <v>300</v>
      </c>
      <c r="D230" s="126">
        <v>300</v>
      </c>
      <c r="E230" s="126">
        <v>300</v>
      </c>
      <c r="F230" s="126">
        <v>300</v>
      </c>
      <c r="G230" s="126">
        <v>300</v>
      </c>
      <c r="H230" s="126">
        <v>300</v>
      </c>
      <c r="I230" s="126">
        <v>300</v>
      </c>
      <c r="J230" s="126">
        <v>300</v>
      </c>
      <c r="K230" s="126">
        <v>300</v>
      </c>
      <c r="L230" s="126">
        <v>300</v>
      </c>
      <c r="M230" s="126">
        <v>300</v>
      </c>
      <c r="N230" s="126">
        <v>300</v>
      </c>
      <c r="O230" s="126">
        <f>SUM(C230:N230)</f>
        <v>3600</v>
      </c>
      <c r="P230" s="148">
        <f>C230-Расчеты!C167</f>
        <v>0</v>
      </c>
      <c r="Q230" s="149">
        <f>D230-Расчеты!D167</f>
        <v>0</v>
      </c>
      <c r="R230" s="149">
        <f>E230-Расчеты!E167</f>
        <v>0</v>
      </c>
      <c r="S230" s="149">
        <f>F230-Расчеты!F167</f>
        <v>0</v>
      </c>
      <c r="T230" s="149">
        <f>G230-Расчеты!G167</f>
        <v>0</v>
      </c>
      <c r="U230" s="149">
        <f>H230-Расчеты!H167</f>
        <v>0</v>
      </c>
      <c r="V230" s="149">
        <f>I230-Расчеты!I167</f>
        <v>0</v>
      </c>
      <c r="W230" s="149">
        <f>J230-Расчеты!J167</f>
        <v>0</v>
      </c>
      <c r="X230" s="149">
        <f>K230-Расчеты!K167</f>
        <v>0</v>
      </c>
      <c r="Y230" s="149">
        <f>L230-Расчеты!L167</f>
        <v>0</v>
      </c>
      <c r="Z230" s="149">
        <f>M230-Расчеты!M167</f>
        <v>0</v>
      </c>
      <c r="AA230" s="149">
        <f>N230-Расчеты!N167</f>
        <v>0</v>
      </c>
      <c r="AB230" s="150">
        <f>SUM(P230:AA230)</f>
        <v>0</v>
      </c>
      <c r="AC230" s="143"/>
      <c r="AD230" s="143"/>
      <c r="AE230" s="143"/>
      <c r="AF230" s="143"/>
      <c r="AG230" s="143"/>
      <c r="AH230" s="143"/>
      <c r="AI230" s="143"/>
      <c r="AJ230" s="143"/>
      <c r="AK230" s="143"/>
      <c r="AL230" s="143"/>
      <c r="AM230" s="143"/>
      <c r="AN230" s="143"/>
      <c r="AO230" s="143"/>
      <c r="AP230" s="328"/>
    </row>
    <row r="231" spans="2:45" ht="20" customHeight="1">
      <c r="AP231" s="34"/>
    </row>
    <row r="232" spans="2:45" ht="38" customHeight="1">
      <c r="B232" s="111" t="s">
        <v>82</v>
      </c>
      <c r="C232" s="111"/>
      <c r="D232" s="111"/>
      <c r="E232" s="111"/>
      <c r="F232" s="111"/>
      <c r="G232" s="111"/>
      <c r="H232" s="111"/>
      <c r="I232" s="111" t="s">
        <v>47</v>
      </c>
      <c r="J232" s="111"/>
      <c r="K232" s="111"/>
      <c r="L232" s="111"/>
      <c r="M232" s="111"/>
      <c r="N232" s="111"/>
      <c r="O232" s="111"/>
      <c r="P232" s="325" t="s">
        <v>48</v>
      </c>
      <c r="Q232" s="325"/>
      <c r="R232" s="325"/>
      <c r="S232" s="325"/>
      <c r="T232" s="325"/>
      <c r="U232" s="325"/>
      <c r="V232" s="325"/>
      <c r="W232" s="325"/>
      <c r="X232" s="325"/>
      <c r="Y232" s="325"/>
      <c r="Z232" s="325"/>
      <c r="AA232" s="325"/>
      <c r="AB232" s="325"/>
      <c r="AC232" s="244"/>
      <c r="AD232" s="244"/>
      <c r="AE232" s="244"/>
      <c r="AF232" s="244"/>
      <c r="AG232" s="244"/>
      <c r="AH232" s="244"/>
      <c r="AI232" s="244"/>
      <c r="AJ232" s="244"/>
      <c r="AK232" s="244"/>
      <c r="AL232" s="244"/>
      <c r="AM232" s="244"/>
      <c r="AN232" s="244"/>
      <c r="AO232" s="244"/>
      <c r="AP232" s="328" t="s">
        <v>263</v>
      </c>
      <c r="AR232" s="13" t="s">
        <v>18</v>
      </c>
      <c r="AS232" s="1" t="str">
        <f>IF(AR232="Нет", " ", "Для выявления причин отклонений требуется анализ дополнительных данных. Проанализируйте данные на листе Выгрузка оборудование.")</f>
        <v xml:space="preserve"> </v>
      </c>
    </row>
    <row r="233" spans="2:45" ht="20" customHeight="1" thickBot="1">
      <c r="B233" s="153"/>
      <c r="C233" s="114" t="s">
        <v>186</v>
      </c>
      <c r="D233" s="114" t="s">
        <v>187</v>
      </c>
      <c r="E233" s="114" t="s">
        <v>188</v>
      </c>
      <c r="F233" s="114" t="s">
        <v>189</v>
      </c>
      <c r="G233" s="248">
        <v>46143</v>
      </c>
      <c r="H233" s="114" t="s">
        <v>190</v>
      </c>
      <c r="I233" s="114" t="s">
        <v>191</v>
      </c>
      <c r="J233" s="114" t="s">
        <v>192</v>
      </c>
      <c r="K233" s="114" t="s">
        <v>193</v>
      </c>
      <c r="L233" s="114" t="s">
        <v>194</v>
      </c>
      <c r="M233" s="114" t="s">
        <v>195</v>
      </c>
      <c r="N233" s="114" t="s">
        <v>196</v>
      </c>
      <c r="O233" s="115">
        <v>2026</v>
      </c>
      <c r="P233" s="114" t="s">
        <v>186</v>
      </c>
      <c r="Q233" s="114" t="s">
        <v>187</v>
      </c>
      <c r="R233" s="114" t="s">
        <v>188</v>
      </c>
      <c r="S233" s="114" t="s">
        <v>189</v>
      </c>
      <c r="T233" s="248">
        <v>46143</v>
      </c>
      <c r="U233" s="114" t="s">
        <v>190</v>
      </c>
      <c r="V233" s="114" t="s">
        <v>191</v>
      </c>
      <c r="W233" s="114" t="s">
        <v>192</v>
      </c>
      <c r="X233" s="114" t="s">
        <v>193</v>
      </c>
      <c r="Y233" s="114" t="s">
        <v>194</v>
      </c>
      <c r="Z233" s="114" t="s">
        <v>195</v>
      </c>
      <c r="AA233" s="114" t="s">
        <v>196</v>
      </c>
      <c r="AB233" s="116">
        <v>2026</v>
      </c>
      <c r="AC233" s="123"/>
      <c r="AD233" s="123"/>
      <c r="AE233" s="123"/>
      <c r="AF233" s="123"/>
      <c r="AG233" s="123"/>
      <c r="AH233" s="123"/>
      <c r="AI233" s="123"/>
      <c r="AJ233" s="123"/>
      <c r="AK233" s="123"/>
      <c r="AL233" s="123"/>
      <c r="AM233" s="123"/>
      <c r="AN233" s="123"/>
      <c r="AO233" s="123"/>
      <c r="AP233" s="329"/>
      <c r="AR233" s="13" t="s">
        <v>18</v>
      </c>
      <c r="AS233" s="1" t="str">
        <f>IF(AR233="Нет", " ", "Проверьте, был ли учтён при планировании период закупки оборудования по мере роста штата?")</f>
        <v xml:space="preserve"> </v>
      </c>
    </row>
    <row r="234" spans="2:45" ht="10.25" customHeight="1" thickBot="1">
      <c r="B234" s="124"/>
      <c r="C234" s="124"/>
      <c r="D234" s="124"/>
      <c r="E234" s="124"/>
      <c r="F234" s="124"/>
      <c r="G234" s="124"/>
      <c r="H234" s="124"/>
      <c r="I234" s="124"/>
      <c r="J234" s="124"/>
      <c r="K234" s="124"/>
      <c r="L234" s="124"/>
      <c r="M234" s="124"/>
      <c r="N234" s="124"/>
      <c r="O234" s="124"/>
      <c r="P234" s="124"/>
      <c r="Q234" s="124"/>
      <c r="R234" s="124"/>
      <c r="S234" s="124"/>
      <c r="T234" s="124"/>
      <c r="U234" s="124"/>
      <c r="V234" s="124"/>
      <c r="W234" s="124"/>
      <c r="X234" s="124"/>
      <c r="Y234" s="124"/>
      <c r="Z234" s="124"/>
      <c r="AA234" s="124"/>
      <c r="AB234" s="123"/>
      <c r="AC234" s="123"/>
      <c r="AD234" s="123"/>
      <c r="AE234" s="123"/>
      <c r="AF234" s="123"/>
      <c r="AG234" s="123"/>
      <c r="AH234" s="123"/>
      <c r="AI234" s="123"/>
      <c r="AJ234" s="123"/>
      <c r="AK234" s="123"/>
      <c r="AL234" s="123"/>
      <c r="AM234" s="123"/>
      <c r="AN234" s="123"/>
      <c r="AO234" s="123"/>
      <c r="AP234" s="329"/>
      <c r="AR234" s="13"/>
    </row>
    <row r="235" spans="2:45" ht="20" customHeight="1">
      <c r="B235" s="125" t="s">
        <v>21</v>
      </c>
      <c r="C235" s="126">
        <f>GETPIVOTDATA("Сумма, руб.",'Выгрузка оборудование'!$I$10,"Дата",DATE(2026,1,1),"Направление","Community")/24/1000</f>
        <v>20.833333333333332</v>
      </c>
      <c r="D235" s="126">
        <v>20.833333333333332</v>
      </c>
      <c r="E235" s="126">
        <v>20.833333333333332</v>
      </c>
      <c r="F235" s="126">
        <v>20.833333333333332</v>
      </c>
      <c r="G235" s="126">
        <v>20.833333333333332</v>
      </c>
      <c r="H235" s="126">
        <v>20.833333333333332</v>
      </c>
      <c r="I235" s="126">
        <v>20.833333333333332</v>
      </c>
      <c r="J235" s="126">
        <v>20.833333333333332</v>
      </c>
      <c r="K235" s="126">
        <v>20.833333333333332</v>
      </c>
      <c r="L235" s="126">
        <v>20.833333333333332</v>
      </c>
      <c r="M235" s="126">
        <v>20.833333333333332</v>
      </c>
      <c r="N235" s="126">
        <v>20.833333333333332</v>
      </c>
      <c r="O235" s="126">
        <f t="shared" ref="O235:O237" si="72">SUM(C235:N235)</f>
        <v>250.00000000000003</v>
      </c>
      <c r="P235" s="127">
        <f>C235-Расчеты!C172</f>
        <v>0</v>
      </c>
      <c r="Q235" s="128">
        <f>D235-Расчеты!D172</f>
        <v>0</v>
      </c>
      <c r="R235" s="128">
        <f>E235-Расчеты!E172</f>
        <v>0</v>
      </c>
      <c r="S235" s="128">
        <f>F235-Расчеты!F172</f>
        <v>0</v>
      </c>
      <c r="T235" s="128">
        <f>G235-Расчеты!G172</f>
        <v>0</v>
      </c>
      <c r="U235" s="128">
        <f>H235-Расчеты!H172</f>
        <v>0</v>
      </c>
      <c r="V235" s="128">
        <f>I235-Расчеты!I172</f>
        <v>0</v>
      </c>
      <c r="W235" s="128">
        <f>J235-Расчеты!J172</f>
        <v>0</v>
      </c>
      <c r="X235" s="128">
        <f>K235-Расчеты!K172</f>
        <v>0</v>
      </c>
      <c r="Y235" s="128">
        <f>L235-Расчеты!L172</f>
        <v>0</v>
      </c>
      <c r="Z235" s="128">
        <f>M235-Расчеты!M172</f>
        <v>0</v>
      </c>
      <c r="AA235" s="128">
        <f>N235-Расчеты!N172</f>
        <v>0</v>
      </c>
      <c r="AB235" s="129">
        <f>SUM(P235:AA235)</f>
        <v>0</v>
      </c>
      <c r="AC235" s="143"/>
      <c r="AD235" s="143"/>
      <c r="AE235" s="143"/>
      <c r="AF235" s="143"/>
      <c r="AG235" s="143"/>
      <c r="AH235" s="143"/>
      <c r="AI235" s="143"/>
      <c r="AJ235" s="143"/>
      <c r="AK235" s="143"/>
      <c r="AL235" s="143"/>
      <c r="AM235" s="143"/>
      <c r="AN235" s="143"/>
      <c r="AO235" s="143"/>
      <c r="AP235" s="329"/>
    </row>
    <row r="236" spans="2:45" ht="20" customHeight="1">
      <c r="B236" s="125" t="s">
        <v>22</v>
      </c>
      <c r="C236" s="126">
        <v>16.666666666666668</v>
      </c>
      <c r="D236" s="126">
        <v>20.833333333333332</v>
      </c>
      <c r="E236" s="126">
        <v>25</v>
      </c>
      <c r="F236" s="126">
        <v>29.166666666666668</v>
      </c>
      <c r="G236" s="126">
        <v>29.166666666666668</v>
      </c>
      <c r="H236" s="126">
        <v>33.333333333333336</v>
      </c>
      <c r="I236" s="126">
        <v>37.5</v>
      </c>
      <c r="J236" s="126">
        <v>41.666666666666664</v>
      </c>
      <c r="K236" s="126">
        <v>45.833333333333336</v>
      </c>
      <c r="L236" s="126">
        <v>50</v>
      </c>
      <c r="M236" s="126">
        <v>50</v>
      </c>
      <c r="N236" s="126">
        <v>54.166666666666664</v>
      </c>
      <c r="O236" s="126">
        <f t="shared" si="72"/>
        <v>433.33333333333337</v>
      </c>
      <c r="P236" s="88">
        <f>C236-Расчеты!C173</f>
        <v>-45.833333333333329</v>
      </c>
      <c r="Q236" s="133">
        <f>D236-Расчеты!D173</f>
        <v>-41.666666666666671</v>
      </c>
      <c r="R236" s="133">
        <f>E236-Расчеты!E173</f>
        <v>-37.5</v>
      </c>
      <c r="S236" s="133">
        <f>F236-Расчеты!F173</f>
        <v>-33.333333333333329</v>
      </c>
      <c r="T236" s="133">
        <f>G236-Расчеты!G173</f>
        <v>-33.333333333333329</v>
      </c>
      <c r="U236" s="133">
        <f>H236-Расчеты!H173</f>
        <v>-29.166666666666664</v>
      </c>
      <c r="V236" s="133">
        <f>I236-Расчеты!I173</f>
        <v>-25</v>
      </c>
      <c r="W236" s="133">
        <f>J236-Расчеты!J173</f>
        <v>-20.833333333333336</v>
      </c>
      <c r="X236" s="133">
        <f>K236-Расчеты!K173</f>
        <v>-16.666666666666664</v>
      </c>
      <c r="Y236" s="133">
        <f>L236-Расчеты!L173</f>
        <v>-12.5</v>
      </c>
      <c r="Z236" s="133">
        <f>M236-Расчеты!M173</f>
        <v>-12.5</v>
      </c>
      <c r="AA236" s="133">
        <f>N236-Расчеты!N173</f>
        <v>-8.3333333333333357</v>
      </c>
      <c r="AB236" s="134">
        <f t="shared" ref="AB236:AB237" si="73">SUM(P236:AA236)</f>
        <v>-316.66666666666663</v>
      </c>
      <c r="AC236" s="143"/>
      <c r="AD236" s="143"/>
      <c r="AE236" s="143"/>
      <c r="AF236" s="143"/>
      <c r="AG236" s="143"/>
      <c r="AH236" s="143"/>
      <c r="AI236" s="143"/>
      <c r="AJ236" s="143"/>
      <c r="AK236" s="143"/>
      <c r="AL236" s="143"/>
      <c r="AM236" s="143"/>
      <c r="AN236" s="143"/>
      <c r="AO236" s="143"/>
      <c r="AP236" s="329"/>
    </row>
    <row r="237" spans="2:45" ht="20" customHeight="1" thickBot="1">
      <c r="B237" s="125" t="s">
        <v>83</v>
      </c>
      <c r="C237" s="126">
        <v>4.166666666666667</v>
      </c>
      <c r="D237" s="126">
        <v>4.166666666666667</v>
      </c>
      <c r="E237" s="126">
        <v>4.166666666666667</v>
      </c>
      <c r="F237" s="126">
        <v>4.166666666666667</v>
      </c>
      <c r="G237" s="126">
        <v>4.166666666666667</v>
      </c>
      <c r="H237" s="126">
        <v>4.166666666666667</v>
      </c>
      <c r="I237" s="126">
        <v>4.166666666666667</v>
      </c>
      <c r="J237" s="126">
        <v>4.166666666666667</v>
      </c>
      <c r="K237" s="126">
        <v>4.166666666666667</v>
      </c>
      <c r="L237" s="126">
        <v>4.166666666666667</v>
      </c>
      <c r="M237" s="126">
        <v>4.166666666666667</v>
      </c>
      <c r="N237" s="126">
        <v>4.166666666666667</v>
      </c>
      <c r="O237" s="126">
        <f t="shared" si="72"/>
        <v>49.999999999999993</v>
      </c>
      <c r="P237" s="148">
        <f>C237-Расчеты!C174</f>
        <v>0</v>
      </c>
      <c r="Q237" s="149">
        <f>D237-Расчеты!D174</f>
        <v>0</v>
      </c>
      <c r="R237" s="149">
        <f>E237-Расчеты!E174</f>
        <v>0</v>
      </c>
      <c r="S237" s="149">
        <f>F237-Расчеты!F174</f>
        <v>0</v>
      </c>
      <c r="T237" s="149">
        <f>G237-Расчеты!G174</f>
        <v>0</v>
      </c>
      <c r="U237" s="149">
        <f>H237-Расчеты!H174</f>
        <v>0</v>
      </c>
      <c r="V237" s="149">
        <f>I237-Расчеты!I174</f>
        <v>0</v>
      </c>
      <c r="W237" s="149">
        <f>J237-Расчеты!J174</f>
        <v>0</v>
      </c>
      <c r="X237" s="149">
        <f>K237-Расчеты!K174</f>
        <v>0</v>
      </c>
      <c r="Y237" s="149">
        <f>L237-Расчеты!L174</f>
        <v>0</v>
      </c>
      <c r="Z237" s="149">
        <f>M237-Расчеты!M174</f>
        <v>0</v>
      </c>
      <c r="AA237" s="149">
        <f>N237-Расчеты!N174</f>
        <v>0</v>
      </c>
      <c r="AB237" s="150">
        <f t="shared" si="73"/>
        <v>0</v>
      </c>
      <c r="AC237" s="143"/>
      <c r="AD237" s="143"/>
      <c r="AE237" s="143"/>
      <c r="AF237" s="143"/>
      <c r="AG237" s="143"/>
      <c r="AH237" s="143"/>
      <c r="AI237" s="143"/>
      <c r="AJ237" s="143"/>
      <c r="AK237" s="143"/>
      <c r="AL237" s="143"/>
      <c r="AM237" s="143"/>
      <c r="AN237" s="143"/>
      <c r="AO237" s="143"/>
      <c r="AP237" s="329"/>
    </row>
    <row r="238" spans="2:45" ht="20" customHeight="1">
      <c r="AP238" s="34"/>
    </row>
    <row r="239" spans="2:45" ht="38" customHeight="1">
      <c r="B239" s="111" t="s">
        <v>84</v>
      </c>
      <c r="C239" s="111"/>
      <c r="D239" s="111"/>
      <c r="E239" s="111"/>
      <c r="F239" s="111"/>
      <c r="G239" s="111"/>
      <c r="H239" s="111"/>
      <c r="I239" s="111" t="s">
        <v>47</v>
      </c>
      <c r="J239" s="111"/>
      <c r="K239" s="111"/>
      <c r="L239" s="111"/>
      <c r="M239" s="111"/>
      <c r="N239" s="111"/>
      <c r="O239" s="111"/>
      <c r="P239" s="325" t="s">
        <v>48</v>
      </c>
      <c r="Q239" s="325"/>
      <c r="R239" s="325"/>
      <c r="S239" s="325"/>
      <c r="T239" s="325"/>
      <c r="U239" s="325"/>
      <c r="V239" s="325"/>
      <c r="W239" s="325"/>
      <c r="X239" s="325"/>
      <c r="Y239" s="325"/>
      <c r="Z239" s="325"/>
      <c r="AA239" s="325"/>
      <c r="AB239" s="325"/>
      <c r="AC239" s="244"/>
      <c r="AD239" s="244"/>
      <c r="AE239" s="244"/>
      <c r="AF239" s="244"/>
      <c r="AG239" s="244"/>
      <c r="AH239" s="244"/>
      <c r="AI239" s="244"/>
      <c r="AJ239" s="244"/>
      <c r="AK239" s="244"/>
      <c r="AL239" s="244"/>
      <c r="AM239" s="244"/>
      <c r="AN239" s="244"/>
      <c r="AO239" s="244"/>
      <c r="AP239" s="328" t="s">
        <v>246</v>
      </c>
      <c r="AR239" s="13" t="s">
        <v>18</v>
      </c>
      <c r="AS239" s="1" t="str">
        <f>IF(AR239="Нет", " ", "Для выявления причин отклонений требуется анализ дополнительных данных. Проанализируйте данные на листе Выгрузка лицензии.")</f>
        <v xml:space="preserve"> </v>
      </c>
    </row>
    <row r="240" spans="2:45" ht="20" customHeight="1" thickBot="1">
      <c r="B240" s="153"/>
      <c r="C240" s="114" t="s">
        <v>186</v>
      </c>
      <c r="D240" s="114" t="s">
        <v>187</v>
      </c>
      <c r="E240" s="114" t="s">
        <v>188</v>
      </c>
      <c r="F240" s="114" t="s">
        <v>189</v>
      </c>
      <c r="G240" s="248">
        <v>46143</v>
      </c>
      <c r="H240" s="114" t="s">
        <v>190</v>
      </c>
      <c r="I240" s="114" t="s">
        <v>191</v>
      </c>
      <c r="J240" s="114" t="s">
        <v>192</v>
      </c>
      <c r="K240" s="114" t="s">
        <v>193</v>
      </c>
      <c r="L240" s="114" t="s">
        <v>194</v>
      </c>
      <c r="M240" s="114" t="s">
        <v>195</v>
      </c>
      <c r="N240" s="114" t="s">
        <v>196</v>
      </c>
      <c r="O240" s="115">
        <v>2026</v>
      </c>
      <c r="P240" s="114" t="s">
        <v>186</v>
      </c>
      <c r="Q240" s="114" t="s">
        <v>187</v>
      </c>
      <c r="R240" s="114" t="s">
        <v>188</v>
      </c>
      <c r="S240" s="114" t="s">
        <v>189</v>
      </c>
      <c r="T240" s="248">
        <v>46143</v>
      </c>
      <c r="U240" s="114" t="s">
        <v>190</v>
      </c>
      <c r="V240" s="114" t="s">
        <v>191</v>
      </c>
      <c r="W240" s="114" t="s">
        <v>192</v>
      </c>
      <c r="X240" s="114" t="s">
        <v>193</v>
      </c>
      <c r="Y240" s="114" t="s">
        <v>194</v>
      </c>
      <c r="Z240" s="114" t="s">
        <v>195</v>
      </c>
      <c r="AA240" s="114" t="s">
        <v>196</v>
      </c>
      <c r="AB240" s="116">
        <v>2026</v>
      </c>
      <c r="AC240" s="123"/>
      <c r="AD240" s="123"/>
      <c r="AE240" s="123"/>
      <c r="AF240" s="123"/>
      <c r="AG240" s="123"/>
      <c r="AH240" s="123"/>
      <c r="AI240" s="123"/>
      <c r="AJ240" s="123"/>
      <c r="AK240" s="123"/>
      <c r="AL240" s="123"/>
      <c r="AM240" s="123"/>
      <c r="AN240" s="123"/>
      <c r="AO240" s="123"/>
      <c r="AP240" s="329"/>
      <c r="AR240" s="13" t="s">
        <v>18</v>
      </c>
      <c r="AS240" s="1" t="str">
        <f>IF(AR240="Нет", " ", "Подумайте, в чём причина отклонений фактических данных от плановых? Связано ли это с количеством сотрудников? Или есть другие причины?")</f>
        <v xml:space="preserve"> </v>
      </c>
    </row>
    <row r="241" spans="2:45" ht="10.25" customHeight="1" thickBot="1">
      <c r="B241" s="124"/>
      <c r="C241" s="124"/>
      <c r="D241" s="124"/>
      <c r="E241" s="124"/>
      <c r="F241" s="124"/>
      <c r="G241" s="124"/>
      <c r="H241" s="124"/>
      <c r="I241" s="124"/>
      <c r="J241" s="124"/>
      <c r="K241" s="124"/>
      <c r="L241" s="124"/>
      <c r="M241" s="124"/>
      <c r="N241" s="124"/>
      <c r="O241" s="124"/>
      <c r="P241" s="124"/>
      <c r="Q241" s="124"/>
      <c r="R241" s="124"/>
      <c r="S241" s="124"/>
      <c r="T241" s="124"/>
      <c r="U241" s="124"/>
      <c r="V241" s="124"/>
      <c r="W241" s="124"/>
      <c r="X241" s="124"/>
      <c r="Y241" s="124"/>
      <c r="Z241" s="124"/>
      <c r="AA241" s="124"/>
      <c r="AB241" s="123"/>
      <c r="AC241" s="123"/>
      <c r="AD241" s="123"/>
      <c r="AE241" s="123"/>
      <c r="AF241" s="123"/>
      <c r="AG241" s="123"/>
      <c r="AH241" s="123"/>
      <c r="AI241" s="123"/>
      <c r="AJ241" s="123"/>
      <c r="AK241" s="123"/>
      <c r="AL241" s="123"/>
      <c r="AM241" s="123"/>
      <c r="AN241" s="123"/>
      <c r="AO241" s="123"/>
      <c r="AP241" s="329"/>
      <c r="AR241" s="13"/>
    </row>
    <row r="242" spans="2:45" ht="20" customHeight="1">
      <c r="B242" s="125" t="s">
        <v>21</v>
      </c>
      <c r="C242" s="126">
        <f>SUM(C243:C246)</f>
        <v>50.484904166666666</v>
      </c>
      <c r="D242" s="126">
        <f t="shared" ref="D242:N242" si="74">SUM(D243:D246)</f>
        <v>50.484904166666666</v>
      </c>
      <c r="E242" s="126">
        <f t="shared" si="74"/>
        <v>50.484904166666666</v>
      </c>
      <c r="F242" s="126">
        <f t="shared" si="74"/>
        <v>50.484904166666666</v>
      </c>
      <c r="G242" s="126">
        <f t="shared" si="74"/>
        <v>50.484904166666666</v>
      </c>
      <c r="H242" s="126">
        <f t="shared" si="74"/>
        <v>50.484904166666666</v>
      </c>
      <c r="I242" s="126">
        <f t="shared" si="74"/>
        <v>50.484904166666666</v>
      </c>
      <c r="J242" s="126">
        <f t="shared" si="74"/>
        <v>50.484904166666666</v>
      </c>
      <c r="K242" s="126">
        <f t="shared" si="74"/>
        <v>50.484904166666666</v>
      </c>
      <c r="L242" s="126">
        <f t="shared" si="74"/>
        <v>50.484904166666666</v>
      </c>
      <c r="M242" s="126">
        <f t="shared" si="74"/>
        <v>50.484904166666666</v>
      </c>
      <c r="N242" s="126">
        <f t="shared" si="74"/>
        <v>50.484904166666666</v>
      </c>
      <c r="O242" s="126">
        <f>SUM(C242:N242)</f>
        <v>605.81884999999988</v>
      </c>
      <c r="P242" s="261">
        <f>SUM(P243:P246)</f>
        <v>0.48490416666666558</v>
      </c>
      <c r="Q242" s="262">
        <f t="shared" ref="Q242:AA242" si="75">SUM(Q243:Q246)</f>
        <v>0.48490416666666558</v>
      </c>
      <c r="R242" s="262">
        <f t="shared" si="75"/>
        <v>0.48490416666666558</v>
      </c>
      <c r="S242" s="262">
        <f t="shared" si="75"/>
        <v>0.48490416666666558</v>
      </c>
      <c r="T242" s="262">
        <f t="shared" si="75"/>
        <v>0.48490416666666558</v>
      </c>
      <c r="U242" s="262">
        <f t="shared" si="75"/>
        <v>0.48490416666666558</v>
      </c>
      <c r="V242" s="262">
        <f t="shared" si="75"/>
        <v>0.48490416666666558</v>
      </c>
      <c r="W242" s="262">
        <f t="shared" si="75"/>
        <v>0.48490416666666558</v>
      </c>
      <c r="X242" s="262">
        <f t="shared" si="75"/>
        <v>0.48490416666666558</v>
      </c>
      <c r="Y242" s="262">
        <f t="shared" si="75"/>
        <v>0.48490416666666558</v>
      </c>
      <c r="Z242" s="262">
        <f t="shared" si="75"/>
        <v>0.48490416666666558</v>
      </c>
      <c r="AA242" s="262">
        <f t="shared" si="75"/>
        <v>0.48490416666666558</v>
      </c>
      <c r="AB242" s="164">
        <f>SUM(P242:AA242)</f>
        <v>5.818849999999987</v>
      </c>
      <c r="AC242" s="143"/>
      <c r="AD242" s="143"/>
      <c r="AE242" s="143"/>
      <c r="AF242" s="143"/>
      <c r="AG242" s="143"/>
      <c r="AH242" s="143"/>
      <c r="AI242" s="143"/>
      <c r="AJ242" s="143"/>
      <c r="AK242" s="143"/>
      <c r="AL242" s="143"/>
      <c r="AM242" s="143"/>
      <c r="AN242" s="143"/>
      <c r="AO242" s="143"/>
      <c r="AP242" s="329"/>
      <c r="AR242" s="13" t="s">
        <v>18</v>
      </c>
      <c r="AS242" s="1" t="str">
        <f>IF(AR242="Нет", " ", "Проверьте, был ли заложен рост курса доллара в плановой стоимости лицензий? Что можно изменить в плановой модели для минимизации отклонений в будущем?")</f>
        <v xml:space="preserve"> </v>
      </c>
    </row>
    <row r="243" spans="2:45" ht="20" customHeight="1">
      <c r="B243" s="117" t="s">
        <v>85</v>
      </c>
      <c r="C243" s="118">
        <v>12.625870833333334</v>
      </c>
      <c r="D243" s="118">
        <v>12.625870833333334</v>
      </c>
      <c r="E243" s="118">
        <v>12.625870833333334</v>
      </c>
      <c r="F243" s="118">
        <v>12.625870833333334</v>
      </c>
      <c r="G243" s="118">
        <v>12.625870833333334</v>
      </c>
      <c r="H243" s="118">
        <v>12.625870833333334</v>
      </c>
      <c r="I243" s="118">
        <v>12.625870833333334</v>
      </c>
      <c r="J243" s="118">
        <v>12.625870833333334</v>
      </c>
      <c r="K243" s="118">
        <v>12.625870833333334</v>
      </c>
      <c r="L243" s="118">
        <v>12.625870833333334</v>
      </c>
      <c r="M243" s="118">
        <v>12.625870833333334</v>
      </c>
      <c r="N243" s="118">
        <v>12.625870833333334</v>
      </c>
      <c r="O243" s="66">
        <f>SUM(C243:N243)</f>
        <v>151.51045000000002</v>
      </c>
      <c r="P243" s="145">
        <f>C243-Расчеты!C180</f>
        <v>0.12587083333333382</v>
      </c>
      <c r="Q243" s="131">
        <f>D243-Расчеты!D180</f>
        <v>0.12587083333333382</v>
      </c>
      <c r="R243" s="131">
        <f>E243-Расчеты!E180</f>
        <v>0.12587083333333382</v>
      </c>
      <c r="S243" s="131">
        <f>F243-Расчеты!F180</f>
        <v>0.12587083333333382</v>
      </c>
      <c r="T243" s="131">
        <f>G243-Расчеты!G180</f>
        <v>0.12587083333333382</v>
      </c>
      <c r="U243" s="131">
        <f>H243-Расчеты!H180</f>
        <v>0.12587083333333382</v>
      </c>
      <c r="V243" s="131">
        <f>I243-Расчеты!I180</f>
        <v>0.12587083333333382</v>
      </c>
      <c r="W243" s="131">
        <f>J243-Расчеты!J180</f>
        <v>0.12587083333333382</v>
      </c>
      <c r="X243" s="131">
        <f>K243-Расчеты!K180</f>
        <v>0.12587083333333382</v>
      </c>
      <c r="Y243" s="131">
        <f>L243-Расчеты!L180</f>
        <v>0.12587083333333382</v>
      </c>
      <c r="Z243" s="131">
        <f>M243-Расчеты!M180</f>
        <v>0.12587083333333382</v>
      </c>
      <c r="AA243" s="131">
        <f>N243-Расчеты!N180</f>
        <v>0.12587083333333382</v>
      </c>
      <c r="AB243" s="146">
        <f t="shared" ref="AB243:AB254" si="76">SUM(P243:AA243)</f>
        <v>1.5104500000000058</v>
      </c>
      <c r="AC243" s="143"/>
      <c r="AD243" s="143"/>
      <c r="AE243" s="143"/>
      <c r="AF243" s="143"/>
      <c r="AG243" s="143"/>
      <c r="AH243" s="143"/>
      <c r="AI243" s="143"/>
      <c r="AJ243" s="143"/>
      <c r="AK243" s="143"/>
      <c r="AL243" s="143"/>
      <c r="AM243" s="143"/>
      <c r="AN243" s="143"/>
      <c r="AO243" s="143"/>
      <c r="AP243" s="329"/>
    </row>
    <row r="244" spans="2:45" ht="20" customHeight="1">
      <c r="B244" s="147" t="s">
        <v>86</v>
      </c>
      <c r="C244" s="86">
        <v>5.8767041666666664</v>
      </c>
      <c r="D244" s="86">
        <v>5.8767041666666664</v>
      </c>
      <c r="E244" s="86">
        <v>5.8767041666666664</v>
      </c>
      <c r="F244" s="86">
        <v>5.8767041666666664</v>
      </c>
      <c r="G244" s="86">
        <v>5.8767041666666664</v>
      </c>
      <c r="H244" s="86">
        <v>5.8767041666666664</v>
      </c>
      <c r="I244" s="86">
        <v>5.8767041666666664</v>
      </c>
      <c r="J244" s="86">
        <v>5.8767041666666664</v>
      </c>
      <c r="K244" s="86">
        <v>5.8767041666666664</v>
      </c>
      <c r="L244" s="86">
        <v>5.8767041666666664</v>
      </c>
      <c r="M244" s="86">
        <v>5.8767041666666664</v>
      </c>
      <c r="N244" s="86">
        <v>5.8767041666666664</v>
      </c>
      <c r="O244" s="77">
        <f t="shared" ref="O244:O254" si="77">SUM(C244:N244)</f>
        <v>70.520450000000011</v>
      </c>
      <c r="P244" s="88">
        <f>C244-Расчеты!C181</f>
        <v>4.337083333333247E-2</v>
      </c>
      <c r="Q244" s="133">
        <f>D244-Расчеты!D181</f>
        <v>4.337083333333247E-2</v>
      </c>
      <c r="R244" s="133">
        <f>E244-Расчеты!E181</f>
        <v>4.337083333333247E-2</v>
      </c>
      <c r="S244" s="133">
        <f>F244-Расчеты!F181</f>
        <v>4.337083333333247E-2</v>
      </c>
      <c r="T244" s="133">
        <f>G244-Расчеты!G181</f>
        <v>4.337083333333247E-2</v>
      </c>
      <c r="U244" s="133">
        <f>H244-Расчеты!H181</f>
        <v>4.337083333333247E-2</v>
      </c>
      <c r="V244" s="133">
        <f>I244-Расчеты!I181</f>
        <v>4.337083333333247E-2</v>
      </c>
      <c r="W244" s="133">
        <f>J244-Расчеты!J181</f>
        <v>4.337083333333247E-2</v>
      </c>
      <c r="X244" s="133">
        <f>K244-Расчеты!K181</f>
        <v>4.337083333333247E-2</v>
      </c>
      <c r="Y244" s="133">
        <f>L244-Расчеты!L181</f>
        <v>4.337083333333247E-2</v>
      </c>
      <c r="Z244" s="133">
        <f>M244-Расчеты!M181</f>
        <v>4.337083333333247E-2</v>
      </c>
      <c r="AA244" s="133">
        <f>N244-Расчеты!N181</f>
        <v>4.337083333333247E-2</v>
      </c>
      <c r="AB244" s="134">
        <f t="shared" si="76"/>
        <v>0.52044999999998964</v>
      </c>
      <c r="AC244" s="143"/>
      <c r="AD244" s="143"/>
      <c r="AE244" s="143"/>
      <c r="AF244" s="143"/>
      <c r="AG244" s="143"/>
      <c r="AH244" s="143"/>
      <c r="AI244" s="143"/>
      <c r="AJ244" s="143"/>
      <c r="AK244" s="143"/>
      <c r="AL244" s="143"/>
      <c r="AM244" s="143"/>
      <c r="AN244" s="143"/>
      <c r="AO244" s="143"/>
      <c r="AP244" s="329"/>
    </row>
    <row r="245" spans="2:45" ht="20" customHeight="1">
      <c r="B245" s="147" t="s">
        <v>87</v>
      </c>
      <c r="C245" s="86">
        <v>4.2083708333333334</v>
      </c>
      <c r="D245" s="86">
        <v>4.2083708333333334</v>
      </c>
      <c r="E245" s="86">
        <v>4.2083708333333334</v>
      </c>
      <c r="F245" s="86">
        <v>4.2083708333333334</v>
      </c>
      <c r="G245" s="86">
        <v>4.2083708333333334</v>
      </c>
      <c r="H245" s="86">
        <v>4.2083708333333334</v>
      </c>
      <c r="I245" s="86">
        <v>4.2083708333333334</v>
      </c>
      <c r="J245" s="86">
        <v>4.2083708333333334</v>
      </c>
      <c r="K245" s="86">
        <v>4.2083708333333334</v>
      </c>
      <c r="L245" s="86">
        <v>4.2083708333333334</v>
      </c>
      <c r="M245" s="86">
        <v>4.2083708333333334</v>
      </c>
      <c r="N245" s="86">
        <v>4.2083708333333334</v>
      </c>
      <c r="O245" s="77">
        <f t="shared" si="77"/>
        <v>50.500450000000001</v>
      </c>
      <c r="P245" s="88">
        <f>C245-Расчеты!C182</f>
        <v>4.1704166666666431E-2</v>
      </c>
      <c r="Q245" s="133">
        <f>D245-Расчеты!D182</f>
        <v>4.1704166666666431E-2</v>
      </c>
      <c r="R245" s="133">
        <f>E245-Расчеты!E182</f>
        <v>4.1704166666666431E-2</v>
      </c>
      <c r="S245" s="133">
        <f>F245-Расчеты!F182</f>
        <v>4.1704166666666431E-2</v>
      </c>
      <c r="T245" s="133">
        <f>G245-Расчеты!G182</f>
        <v>4.1704166666666431E-2</v>
      </c>
      <c r="U245" s="133">
        <f>H245-Расчеты!H182</f>
        <v>4.1704166666666431E-2</v>
      </c>
      <c r="V245" s="133">
        <f>I245-Расчеты!I182</f>
        <v>4.1704166666666431E-2</v>
      </c>
      <c r="W245" s="133">
        <f>J245-Расчеты!J182</f>
        <v>4.1704166666666431E-2</v>
      </c>
      <c r="X245" s="133">
        <f>K245-Расчеты!K182</f>
        <v>4.1704166666666431E-2</v>
      </c>
      <c r="Y245" s="133">
        <f>L245-Расчеты!L182</f>
        <v>4.1704166666666431E-2</v>
      </c>
      <c r="Z245" s="133">
        <f>M245-Расчеты!M182</f>
        <v>4.1704166666666431E-2</v>
      </c>
      <c r="AA245" s="133">
        <f>N245-Расчеты!N182</f>
        <v>4.1704166666666431E-2</v>
      </c>
      <c r="AB245" s="134">
        <f t="shared" si="76"/>
        <v>0.50044999999999717</v>
      </c>
      <c r="AC245" s="143"/>
      <c r="AD245" s="143"/>
      <c r="AE245" s="143"/>
      <c r="AF245" s="143"/>
      <c r="AG245" s="143"/>
      <c r="AH245" s="143"/>
      <c r="AI245" s="143"/>
      <c r="AJ245" s="143"/>
      <c r="AK245" s="143"/>
      <c r="AL245" s="143"/>
      <c r="AM245" s="143"/>
      <c r="AN245" s="143"/>
      <c r="AO245" s="143"/>
      <c r="AP245" s="329"/>
    </row>
    <row r="246" spans="2:45" ht="20" customHeight="1">
      <c r="B246" s="119" t="s">
        <v>88</v>
      </c>
      <c r="C246" s="120">
        <v>27.773958333333333</v>
      </c>
      <c r="D246" s="120">
        <v>27.773958333333333</v>
      </c>
      <c r="E246" s="120">
        <v>27.773958333333333</v>
      </c>
      <c r="F246" s="120">
        <v>27.773958333333333</v>
      </c>
      <c r="G246" s="120">
        <v>27.773958333333333</v>
      </c>
      <c r="H246" s="120">
        <v>27.773958333333333</v>
      </c>
      <c r="I246" s="120">
        <v>27.773958333333333</v>
      </c>
      <c r="J246" s="120">
        <v>27.773958333333333</v>
      </c>
      <c r="K246" s="120">
        <v>27.773958333333333</v>
      </c>
      <c r="L246" s="120">
        <v>27.773958333333333</v>
      </c>
      <c r="M246" s="120">
        <v>27.773958333333333</v>
      </c>
      <c r="N246" s="120">
        <v>27.773958333333333</v>
      </c>
      <c r="O246" s="122">
        <f t="shared" si="77"/>
        <v>333.28749999999997</v>
      </c>
      <c r="P246" s="140">
        <f>C246-Расчеты!C183</f>
        <v>0.27395833333333286</v>
      </c>
      <c r="Q246" s="138">
        <f>D246-Расчеты!D183</f>
        <v>0.27395833333333286</v>
      </c>
      <c r="R246" s="138">
        <f>E246-Расчеты!E183</f>
        <v>0.27395833333333286</v>
      </c>
      <c r="S246" s="138">
        <f>F246-Расчеты!F183</f>
        <v>0.27395833333333286</v>
      </c>
      <c r="T246" s="138">
        <f>G246-Расчеты!G183</f>
        <v>0.27395833333333286</v>
      </c>
      <c r="U246" s="138">
        <f>H246-Расчеты!H183</f>
        <v>0.27395833333333286</v>
      </c>
      <c r="V246" s="138">
        <f>I246-Расчеты!I183</f>
        <v>0.27395833333333286</v>
      </c>
      <c r="W246" s="138">
        <f>J246-Расчеты!J183</f>
        <v>0.27395833333333286</v>
      </c>
      <c r="X246" s="138">
        <f>K246-Расчеты!K183</f>
        <v>0.27395833333333286</v>
      </c>
      <c r="Y246" s="138">
        <f>L246-Расчеты!L183</f>
        <v>0.27395833333333286</v>
      </c>
      <c r="Z246" s="138">
        <f>M246-Расчеты!M183</f>
        <v>0.27395833333333286</v>
      </c>
      <c r="AA246" s="138">
        <f>N246-Расчеты!N183</f>
        <v>0.27395833333333286</v>
      </c>
      <c r="AB246" s="141">
        <f t="shared" si="76"/>
        <v>3.2874999999999943</v>
      </c>
      <c r="AC246" s="143"/>
      <c r="AD246" s="143"/>
      <c r="AE246" s="143"/>
      <c r="AF246" s="143"/>
      <c r="AG246" s="143"/>
      <c r="AH246" s="143"/>
      <c r="AI246" s="143"/>
      <c r="AJ246" s="143"/>
      <c r="AK246" s="143"/>
      <c r="AL246" s="143"/>
      <c r="AM246" s="143"/>
      <c r="AN246" s="143"/>
      <c r="AO246" s="143"/>
      <c r="AP246" s="329"/>
    </row>
    <row r="247" spans="2:45" ht="20" customHeight="1">
      <c r="B247" s="125" t="s">
        <v>22</v>
      </c>
      <c r="C247" s="126">
        <f>SUM(C248:C251)</f>
        <v>142.02346666666665</v>
      </c>
      <c r="D247" s="126">
        <f t="shared" ref="D247:N247" si="78">SUM(D248:D251)</f>
        <v>142.02346666666665</v>
      </c>
      <c r="E247" s="126">
        <f t="shared" si="78"/>
        <v>142.02346666666665</v>
      </c>
      <c r="F247" s="126">
        <f t="shared" si="78"/>
        <v>142.02346666666665</v>
      </c>
      <c r="G247" s="126">
        <f t="shared" si="78"/>
        <v>142.02346666666665</v>
      </c>
      <c r="H247" s="126">
        <f t="shared" si="78"/>
        <v>142.02346666666665</v>
      </c>
      <c r="I247" s="126">
        <f t="shared" si="78"/>
        <v>142.02346666666665</v>
      </c>
      <c r="J247" s="126">
        <f t="shared" si="78"/>
        <v>142.02346666666665</v>
      </c>
      <c r="K247" s="126">
        <f t="shared" si="78"/>
        <v>142.02346666666665</v>
      </c>
      <c r="L247" s="126">
        <f t="shared" si="78"/>
        <v>142.02346666666665</v>
      </c>
      <c r="M247" s="126">
        <f t="shared" si="78"/>
        <v>142.02346666666665</v>
      </c>
      <c r="N247" s="126">
        <f t="shared" si="78"/>
        <v>142.02346666666665</v>
      </c>
      <c r="O247" s="126">
        <f t="shared" si="77"/>
        <v>1704.2815999999993</v>
      </c>
      <c r="P247" s="175">
        <f>SUM(P248:P251)</f>
        <v>102.02346666666665</v>
      </c>
      <c r="Q247" s="176">
        <f t="shared" ref="Q247:AA247" si="79">SUM(Q248:Q251)</f>
        <v>92.02346666666665</v>
      </c>
      <c r="R247" s="176">
        <f t="shared" si="79"/>
        <v>92.02346666666665</v>
      </c>
      <c r="S247" s="176">
        <f t="shared" si="79"/>
        <v>82.02346666666665</v>
      </c>
      <c r="T247" s="176">
        <f t="shared" si="79"/>
        <v>72.02346666666665</v>
      </c>
      <c r="U247" s="176">
        <f t="shared" si="79"/>
        <v>62.02346666666665</v>
      </c>
      <c r="V247" s="176">
        <f t="shared" si="79"/>
        <v>62.02346666666665</v>
      </c>
      <c r="W247" s="176">
        <f t="shared" si="79"/>
        <v>52.02346666666665</v>
      </c>
      <c r="X247" s="176">
        <f t="shared" si="79"/>
        <v>42.02346666666665</v>
      </c>
      <c r="Y247" s="176">
        <f t="shared" si="79"/>
        <v>32.02346666666665</v>
      </c>
      <c r="Z247" s="176">
        <f t="shared" si="79"/>
        <v>32.02346666666665</v>
      </c>
      <c r="AA247" s="176">
        <f t="shared" si="79"/>
        <v>22.023466666666653</v>
      </c>
      <c r="AB247" s="144">
        <f t="shared" si="76"/>
        <v>744.2815999999998</v>
      </c>
      <c r="AC247" s="143"/>
      <c r="AD247" s="143"/>
      <c r="AE247" s="143"/>
      <c r="AF247" s="143"/>
      <c r="AG247" s="143"/>
      <c r="AH247" s="143"/>
      <c r="AI247" s="143"/>
      <c r="AJ247" s="143"/>
      <c r="AK247" s="143"/>
      <c r="AL247" s="143"/>
      <c r="AM247" s="143"/>
      <c r="AN247" s="143"/>
      <c r="AO247" s="143"/>
      <c r="AP247" s="329"/>
    </row>
    <row r="248" spans="2:45" ht="20" customHeight="1">
      <c r="B248" s="117" t="s">
        <v>85</v>
      </c>
      <c r="C248" s="118">
        <v>35.518933333333329</v>
      </c>
      <c r="D248" s="118">
        <v>35.518933333333329</v>
      </c>
      <c r="E248" s="118">
        <v>35.518933333333329</v>
      </c>
      <c r="F248" s="118">
        <v>35.518933333333329</v>
      </c>
      <c r="G248" s="118">
        <v>35.518933333333329</v>
      </c>
      <c r="H248" s="118">
        <v>35.518933333333329</v>
      </c>
      <c r="I248" s="118">
        <v>35.518933333333329</v>
      </c>
      <c r="J248" s="118">
        <v>35.518933333333329</v>
      </c>
      <c r="K248" s="118">
        <v>35.518933333333329</v>
      </c>
      <c r="L248" s="118">
        <v>35.518933333333329</v>
      </c>
      <c r="M248" s="118">
        <v>35.518933333333329</v>
      </c>
      <c r="N248" s="118">
        <v>35.518933333333329</v>
      </c>
      <c r="O248" s="66">
        <f t="shared" si="77"/>
        <v>426.22719999999998</v>
      </c>
      <c r="P248" s="145">
        <f>C248-Расчеты!C185</f>
        <v>25.518933333333329</v>
      </c>
      <c r="Q248" s="131">
        <f>D248-Расчеты!D185</f>
        <v>23.018933333333329</v>
      </c>
      <c r="R248" s="131">
        <f>E248-Расчеты!E185</f>
        <v>23.018933333333329</v>
      </c>
      <c r="S248" s="131">
        <f>F248-Расчеты!F185</f>
        <v>20.518933333333329</v>
      </c>
      <c r="T248" s="131">
        <f>G248-Расчеты!G185</f>
        <v>18.018933333333329</v>
      </c>
      <c r="U248" s="131">
        <f>H248-Расчеты!H185</f>
        <v>15.518933333333329</v>
      </c>
      <c r="V248" s="131">
        <f>I248-Расчеты!I185</f>
        <v>15.518933333333329</v>
      </c>
      <c r="W248" s="131">
        <f>J248-Расчеты!J185</f>
        <v>13.018933333333329</v>
      </c>
      <c r="X248" s="131">
        <f>K248-Расчеты!K185</f>
        <v>10.518933333333329</v>
      </c>
      <c r="Y248" s="131">
        <f>L248-Расчеты!L185</f>
        <v>8.0189333333333295</v>
      </c>
      <c r="Z248" s="131">
        <f>M248-Расчеты!M185</f>
        <v>8.0189333333333295</v>
      </c>
      <c r="AA248" s="131">
        <f>N248-Расчеты!N185</f>
        <v>5.5189333333333295</v>
      </c>
      <c r="AB248" s="146">
        <f t="shared" si="76"/>
        <v>186.22720000000001</v>
      </c>
      <c r="AC248" s="143"/>
      <c r="AD248" s="143"/>
      <c r="AE248" s="143"/>
      <c r="AF248" s="143"/>
      <c r="AG248" s="143"/>
      <c r="AH248" s="143"/>
      <c r="AI248" s="143"/>
      <c r="AJ248" s="143"/>
      <c r="AK248" s="143"/>
      <c r="AL248" s="143"/>
      <c r="AM248" s="143"/>
      <c r="AN248" s="143"/>
      <c r="AO248" s="143"/>
      <c r="AP248" s="329"/>
    </row>
    <row r="249" spans="2:45" ht="20" customHeight="1">
      <c r="B249" s="147" t="s">
        <v>86</v>
      </c>
      <c r="C249" s="86">
        <v>16.532266666666665</v>
      </c>
      <c r="D249" s="86">
        <v>16.532266666666665</v>
      </c>
      <c r="E249" s="86">
        <v>16.532266666666665</v>
      </c>
      <c r="F249" s="86">
        <v>16.532266666666665</v>
      </c>
      <c r="G249" s="86">
        <v>16.532266666666665</v>
      </c>
      <c r="H249" s="86">
        <v>16.532266666666665</v>
      </c>
      <c r="I249" s="86">
        <v>16.532266666666665</v>
      </c>
      <c r="J249" s="86">
        <v>16.532266666666665</v>
      </c>
      <c r="K249" s="86">
        <v>16.532266666666665</v>
      </c>
      <c r="L249" s="86">
        <v>16.532266666666665</v>
      </c>
      <c r="M249" s="86">
        <v>16.532266666666665</v>
      </c>
      <c r="N249" s="86">
        <v>16.532266666666665</v>
      </c>
      <c r="O249" s="77">
        <f t="shared" si="77"/>
        <v>198.38719999999992</v>
      </c>
      <c r="P249" s="88">
        <f>C249-Расчеты!C186</f>
        <v>11.865599999999997</v>
      </c>
      <c r="Q249" s="133">
        <f>D249-Расчеты!D186</f>
        <v>10.698933333333331</v>
      </c>
      <c r="R249" s="133">
        <f>E249-Расчеты!E186</f>
        <v>10.698933333333331</v>
      </c>
      <c r="S249" s="133">
        <f>F249-Расчеты!F186</f>
        <v>9.5322666666666649</v>
      </c>
      <c r="T249" s="133">
        <f>G249-Расчеты!G186</f>
        <v>8.365599999999997</v>
      </c>
      <c r="U249" s="133">
        <f>H249-Расчеты!H186</f>
        <v>7.198933333333331</v>
      </c>
      <c r="V249" s="133">
        <f>I249-Расчеты!I186</f>
        <v>7.198933333333331</v>
      </c>
      <c r="W249" s="133">
        <f>J249-Расчеты!J186</f>
        <v>6.0322666666666649</v>
      </c>
      <c r="X249" s="133">
        <f>K249-Расчеты!K186</f>
        <v>4.865599999999997</v>
      </c>
      <c r="Y249" s="133">
        <f>L249-Расчеты!L186</f>
        <v>3.698933333333331</v>
      </c>
      <c r="Z249" s="133">
        <f>M249-Расчеты!M186</f>
        <v>3.698933333333331</v>
      </c>
      <c r="AA249" s="133">
        <f>N249-Расчеты!N186</f>
        <v>2.5322666666666649</v>
      </c>
      <c r="AB249" s="134">
        <f t="shared" si="76"/>
        <v>86.38719999999995</v>
      </c>
      <c r="AC249" s="143"/>
      <c r="AD249" s="143"/>
      <c r="AE249" s="143"/>
      <c r="AF249" s="143"/>
      <c r="AG249" s="143"/>
      <c r="AH249" s="143"/>
      <c r="AI249" s="143"/>
      <c r="AJ249" s="143"/>
      <c r="AK249" s="143"/>
      <c r="AL249" s="143"/>
      <c r="AM249" s="143"/>
      <c r="AN249" s="143"/>
      <c r="AO249" s="143"/>
      <c r="AP249" s="329"/>
    </row>
    <row r="250" spans="2:45" ht="20" customHeight="1">
      <c r="B250" s="147" t="s">
        <v>87</v>
      </c>
      <c r="C250" s="86">
        <v>11.838933333333333</v>
      </c>
      <c r="D250" s="86">
        <v>11.838933333333333</v>
      </c>
      <c r="E250" s="86">
        <v>11.838933333333333</v>
      </c>
      <c r="F250" s="86">
        <v>11.838933333333333</v>
      </c>
      <c r="G250" s="86">
        <v>11.838933333333333</v>
      </c>
      <c r="H250" s="86">
        <v>11.838933333333333</v>
      </c>
      <c r="I250" s="86">
        <v>11.838933333333333</v>
      </c>
      <c r="J250" s="86">
        <v>11.838933333333333</v>
      </c>
      <c r="K250" s="86">
        <v>11.838933333333333</v>
      </c>
      <c r="L250" s="86">
        <v>11.838933333333333</v>
      </c>
      <c r="M250" s="86">
        <v>11.838933333333333</v>
      </c>
      <c r="N250" s="86">
        <v>11.838933333333333</v>
      </c>
      <c r="O250" s="77">
        <f t="shared" si="77"/>
        <v>142.06719999999999</v>
      </c>
      <c r="P250" s="88">
        <f>C250-Расчеты!C187</f>
        <v>8.5055999999999994</v>
      </c>
      <c r="Q250" s="133">
        <f>D250-Расчеты!D187</f>
        <v>7.6722666666666663</v>
      </c>
      <c r="R250" s="133">
        <f>E250-Расчеты!E187</f>
        <v>7.6722666666666663</v>
      </c>
      <c r="S250" s="133">
        <f>F250-Расчеты!F187</f>
        <v>6.8389333333333333</v>
      </c>
      <c r="T250" s="133">
        <f>G250-Расчеты!G187</f>
        <v>6.0055999999999994</v>
      </c>
      <c r="U250" s="133">
        <f>H250-Расчеты!H187</f>
        <v>5.1722666666666663</v>
      </c>
      <c r="V250" s="133">
        <f>I250-Расчеты!I187</f>
        <v>5.1722666666666663</v>
      </c>
      <c r="W250" s="133">
        <f>J250-Расчеты!J187</f>
        <v>4.3389333333333333</v>
      </c>
      <c r="X250" s="133">
        <f>K250-Расчеты!K187</f>
        <v>3.5055999999999994</v>
      </c>
      <c r="Y250" s="133">
        <f>L250-Расчеты!L187</f>
        <v>2.6722666666666655</v>
      </c>
      <c r="Z250" s="133">
        <f>M250-Расчеты!M187</f>
        <v>2.6722666666666655</v>
      </c>
      <c r="AA250" s="133">
        <f>N250-Расчеты!N187</f>
        <v>1.8389333333333333</v>
      </c>
      <c r="AB250" s="134">
        <f t="shared" si="76"/>
        <v>62.067199999999985</v>
      </c>
      <c r="AC250" s="143"/>
      <c r="AD250" s="143"/>
      <c r="AE250" s="143"/>
      <c r="AF250" s="143"/>
      <c r="AG250" s="143"/>
      <c r="AH250" s="143"/>
      <c r="AI250" s="143"/>
      <c r="AJ250" s="143"/>
      <c r="AK250" s="143"/>
      <c r="AL250" s="143"/>
      <c r="AM250" s="143"/>
      <c r="AN250" s="143"/>
      <c r="AO250" s="143"/>
      <c r="AP250" s="329"/>
    </row>
    <row r="251" spans="2:45" ht="20" customHeight="1">
      <c r="B251" s="119" t="s">
        <v>89</v>
      </c>
      <c r="C251" s="120">
        <v>78.133333333333326</v>
      </c>
      <c r="D251" s="120">
        <v>78.133333333333326</v>
      </c>
      <c r="E251" s="120">
        <v>78.133333333333326</v>
      </c>
      <c r="F251" s="120">
        <v>78.133333333333326</v>
      </c>
      <c r="G251" s="120">
        <v>78.133333333333326</v>
      </c>
      <c r="H251" s="120">
        <v>78.133333333333326</v>
      </c>
      <c r="I251" s="120">
        <v>78.133333333333326</v>
      </c>
      <c r="J251" s="120">
        <v>78.133333333333326</v>
      </c>
      <c r="K251" s="120">
        <v>78.133333333333326</v>
      </c>
      <c r="L251" s="120">
        <v>78.133333333333326</v>
      </c>
      <c r="M251" s="120">
        <v>78.133333333333326</v>
      </c>
      <c r="N251" s="120">
        <v>78.133333333333326</v>
      </c>
      <c r="O251" s="122">
        <f t="shared" si="77"/>
        <v>937.59999999999991</v>
      </c>
      <c r="P251" s="140">
        <f>C251-Расчеты!C188</f>
        <v>56.133333333333326</v>
      </c>
      <c r="Q251" s="138">
        <f>D251-Расчеты!D188</f>
        <v>50.633333333333326</v>
      </c>
      <c r="R251" s="138">
        <f>E251-Расчеты!E188</f>
        <v>50.633333333333326</v>
      </c>
      <c r="S251" s="138">
        <f>F251-Расчеты!F188</f>
        <v>45.133333333333326</v>
      </c>
      <c r="T251" s="138">
        <f>G251-Расчеты!G188</f>
        <v>39.633333333333326</v>
      </c>
      <c r="U251" s="138">
        <f>H251-Расчеты!H188</f>
        <v>34.133333333333326</v>
      </c>
      <c r="V251" s="138">
        <f>I251-Расчеты!I188</f>
        <v>34.133333333333326</v>
      </c>
      <c r="W251" s="138">
        <f>J251-Расчеты!J188</f>
        <v>28.633333333333326</v>
      </c>
      <c r="X251" s="138">
        <f>K251-Расчеты!K188</f>
        <v>23.133333333333326</v>
      </c>
      <c r="Y251" s="138">
        <f>L251-Расчеты!L188</f>
        <v>17.633333333333326</v>
      </c>
      <c r="Z251" s="138">
        <f>M251-Расчеты!M188</f>
        <v>17.633333333333326</v>
      </c>
      <c r="AA251" s="138">
        <f>N251-Расчеты!N188</f>
        <v>12.133333333333326</v>
      </c>
      <c r="AB251" s="141">
        <f t="shared" si="76"/>
        <v>409.59999999999991</v>
      </c>
      <c r="AC251" s="143"/>
      <c r="AD251" s="143"/>
      <c r="AE251" s="143"/>
      <c r="AF251" s="143"/>
      <c r="AG251" s="143"/>
      <c r="AH251" s="143"/>
      <c r="AI251" s="143"/>
      <c r="AJ251" s="143"/>
      <c r="AK251" s="143"/>
      <c r="AL251" s="143"/>
      <c r="AM251" s="143"/>
      <c r="AN251" s="143"/>
      <c r="AO251" s="143"/>
      <c r="AP251" s="329"/>
    </row>
    <row r="252" spans="2:45" ht="20" customHeight="1">
      <c r="B252" s="125" t="s">
        <v>83</v>
      </c>
      <c r="C252" s="126">
        <f>SUM(C253:C254)</f>
        <v>3.3668483333333334</v>
      </c>
      <c r="D252" s="126">
        <f t="shared" ref="D252:N252" si="80">SUM(D253:D254)</f>
        <v>3.3668483333333334</v>
      </c>
      <c r="E252" s="126">
        <f t="shared" si="80"/>
        <v>3.3668483333333334</v>
      </c>
      <c r="F252" s="126">
        <f t="shared" si="80"/>
        <v>3.3668483333333334</v>
      </c>
      <c r="G252" s="126">
        <f t="shared" si="80"/>
        <v>3.3668483333333334</v>
      </c>
      <c r="H252" s="126">
        <f t="shared" si="80"/>
        <v>3.3668483333333334</v>
      </c>
      <c r="I252" s="126">
        <f t="shared" si="80"/>
        <v>3.3668483333333334</v>
      </c>
      <c r="J252" s="126">
        <f t="shared" si="80"/>
        <v>3.3668483333333334</v>
      </c>
      <c r="K252" s="126">
        <f t="shared" si="80"/>
        <v>3.3668483333333334</v>
      </c>
      <c r="L252" s="126">
        <f t="shared" si="80"/>
        <v>3.3668483333333334</v>
      </c>
      <c r="M252" s="126">
        <f t="shared" si="80"/>
        <v>3.3668483333333334</v>
      </c>
      <c r="N252" s="126">
        <f t="shared" si="80"/>
        <v>3.3668483333333334</v>
      </c>
      <c r="O252" s="126">
        <f t="shared" si="77"/>
        <v>40.402180000000001</v>
      </c>
      <c r="P252" s="175">
        <f>SUM(P253:P254)</f>
        <v>3.351499999999985E-2</v>
      </c>
      <c r="Q252" s="176">
        <f t="shared" ref="Q252:AA252" si="81">SUM(Q253:Q254)</f>
        <v>3.351499999999985E-2</v>
      </c>
      <c r="R252" s="176">
        <f t="shared" si="81"/>
        <v>3.351499999999985E-2</v>
      </c>
      <c r="S252" s="176">
        <f t="shared" si="81"/>
        <v>3.351499999999985E-2</v>
      </c>
      <c r="T252" s="176">
        <f t="shared" si="81"/>
        <v>3.351499999999985E-2</v>
      </c>
      <c r="U252" s="176">
        <f t="shared" si="81"/>
        <v>3.351499999999985E-2</v>
      </c>
      <c r="V252" s="176">
        <f t="shared" si="81"/>
        <v>3.351499999999985E-2</v>
      </c>
      <c r="W252" s="176">
        <f t="shared" si="81"/>
        <v>3.351499999999985E-2</v>
      </c>
      <c r="X252" s="176">
        <f t="shared" si="81"/>
        <v>3.351499999999985E-2</v>
      </c>
      <c r="Y252" s="176">
        <f t="shared" si="81"/>
        <v>3.351499999999985E-2</v>
      </c>
      <c r="Z252" s="176">
        <f t="shared" si="81"/>
        <v>3.351499999999985E-2</v>
      </c>
      <c r="AA252" s="176">
        <f t="shared" si="81"/>
        <v>3.351499999999985E-2</v>
      </c>
      <c r="AB252" s="144">
        <f t="shared" si="76"/>
        <v>0.40217999999999821</v>
      </c>
      <c r="AC252" s="143"/>
      <c r="AD252" s="143"/>
      <c r="AE252" s="143"/>
      <c r="AF252" s="143"/>
      <c r="AG252" s="143"/>
      <c r="AH252" s="143"/>
      <c r="AI252" s="143"/>
      <c r="AJ252" s="143"/>
      <c r="AK252" s="143"/>
      <c r="AL252" s="143"/>
      <c r="AM252" s="143"/>
      <c r="AN252" s="143"/>
      <c r="AO252" s="143"/>
      <c r="AP252" s="329"/>
    </row>
    <row r="253" spans="2:45" ht="20" customHeight="1">
      <c r="B253" s="117" t="s">
        <v>90</v>
      </c>
      <c r="C253" s="118">
        <v>0.84167416666666672</v>
      </c>
      <c r="D253" s="118">
        <v>0.84167416666666672</v>
      </c>
      <c r="E253" s="118">
        <v>0.84167416666666672</v>
      </c>
      <c r="F253" s="118">
        <v>0.84167416666666672</v>
      </c>
      <c r="G253" s="118">
        <v>0.84167416666666672</v>
      </c>
      <c r="H253" s="118">
        <v>0.84167416666666672</v>
      </c>
      <c r="I253" s="118">
        <v>0.84167416666666672</v>
      </c>
      <c r="J253" s="118">
        <v>0.84167416666666672</v>
      </c>
      <c r="K253" s="118">
        <v>0.84167416666666672</v>
      </c>
      <c r="L253" s="118">
        <v>0.84167416666666672</v>
      </c>
      <c r="M253" s="118">
        <v>0.84167416666666672</v>
      </c>
      <c r="N253" s="118">
        <v>0.84167416666666672</v>
      </c>
      <c r="O253" s="66">
        <f t="shared" si="77"/>
        <v>10.100090000000002</v>
      </c>
      <c r="P253" s="145">
        <f>C253-Расчеты!C190</f>
        <v>8.3408333333333529E-3</v>
      </c>
      <c r="Q253" s="131">
        <f>D253-Расчеты!D190</f>
        <v>8.3408333333333529E-3</v>
      </c>
      <c r="R253" s="131">
        <f>E253-Расчеты!E190</f>
        <v>8.3408333333333529E-3</v>
      </c>
      <c r="S253" s="131">
        <f>F253-Расчеты!F190</f>
        <v>8.3408333333333529E-3</v>
      </c>
      <c r="T253" s="131">
        <f>G253-Расчеты!G190</f>
        <v>8.3408333333333529E-3</v>
      </c>
      <c r="U253" s="131">
        <f>H253-Расчеты!H190</f>
        <v>8.3408333333333529E-3</v>
      </c>
      <c r="V253" s="131">
        <f>I253-Расчеты!I190</f>
        <v>8.3408333333333529E-3</v>
      </c>
      <c r="W253" s="131">
        <f>J253-Расчеты!J190</f>
        <v>8.3408333333333529E-3</v>
      </c>
      <c r="X253" s="131">
        <f>K253-Расчеты!K190</f>
        <v>8.3408333333333529E-3</v>
      </c>
      <c r="Y253" s="131">
        <f>L253-Расчеты!L190</f>
        <v>8.3408333333333529E-3</v>
      </c>
      <c r="Z253" s="131">
        <f>M253-Расчеты!M190</f>
        <v>8.3408333333333529E-3</v>
      </c>
      <c r="AA253" s="131">
        <f>N253-Расчеты!N190</f>
        <v>8.3408333333333529E-3</v>
      </c>
      <c r="AB253" s="146">
        <f t="shared" si="76"/>
        <v>0.10009000000000023</v>
      </c>
      <c r="AC253" s="143"/>
      <c r="AD253" s="143"/>
      <c r="AE253" s="143"/>
      <c r="AF253" s="143"/>
      <c r="AG253" s="143"/>
      <c r="AH253" s="143"/>
      <c r="AI253" s="143"/>
      <c r="AJ253" s="143"/>
      <c r="AK253" s="143"/>
      <c r="AL253" s="143"/>
      <c r="AM253" s="143"/>
      <c r="AN253" s="143"/>
      <c r="AO253" s="143"/>
      <c r="AP253" s="329"/>
    </row>
    <row r="254" spans="2:45" ht="20" customHeight="1" thickBot="1">
      <c r="B254" s="119" t="s">
        <v>85</v>
      </c>
      <c r="C254" s="120">
        <v>2.5251741666666665</v>
      </c>
      <c r="D254" s="120">
        <v>2.5251741666666665</v>
      </c>
      <c r="E254" s="120">
        <v>2.5251741666666665</v>
      </c>
      <c r="F254" s="120">
        <v>2.5251741666666665</v>
      </c>
      <c r="G254" s="120">
        <v>2.5251741666666665</v>
      </c>
      <c r="H254" s="120">
        <v>2.5251741666666665</v>
      </c>
      <c r="I254" s="120">
        <v>2.5251741666666665</v>
      </c>
      <c r="J254" s="120">
        <v>2.5251741666666665</v>
      </c>
      <c r="K254" s="120">
        <v>2.5251741666666665</v>
      </c>
      <c r="L254" s="120">
        <v>2.5251741666666665</v>
      </c>
      <c r="M254" s="120">
        <v>2.5251741666666665</v>
      </c>
      <c r="N254" s="120">
        <v>2.5251741666666665</v>
      </c>
      <c r="O254" s="122">
        <f t="shared" si="77"/>
        <v>30.302089999999996</v>
      </c>
      <c r="P254" s="148">
        <f>C254-Расчеты!C191</f>
        <v>2.5174166666666498E-2</v>
      </c>
      <c r="Q254" s="149">
        <f>D254-Расчеты!D191</f>
        <v>2.5174166666666498E-2</v>
      </c>
      <c r="R254" s="149">
        <f>E254-Расчеты!E191</f>
        <v>2.5174166666666498E-2</v>
      </c>
      <c r="S254" s="149">
        <f>F254-Расчеты!F191</f>
        <v>2.5174166666666498E-2</v>
      </c>
      <c r="T254" s="149">
        <f>G254-Расчеты!G191</f>
        <v>2.5174166666666498E-2</v>
      </c>
      <c r="U254" s="149">
        <f>H254-Расчеты!H191</f>
        <v>2.5174166666666498E-2</v>
      </c>
      <c r="V254" s="149">
        <f>I254-Расчеты!I191</f>
        <v>2.5174166666666498E-2</v>
      </c>
      <c r="W254" s="149">
        <f>J254-Расчеты!J191</f>
        <v>2.5174166666666498E-2</v>
      </c>
      <c r="X254" s="149">
        <f>K254-Расчеты!K191</f>
        <v>2.5174166666666498E-2</v>
      </c>
      <c r="Y254" s="149">
        <f>L254-Расчеты!L191</f>
        <v>2.5174166666666498E-2</v>
      </c>
      <c r="Z254" s="149">
        <f>M254-Расчеты!M191</f>
        <v>2.5174166666666498E-2</v>
      </c>
      <c r="AA254" s="149">
        <f>N254-Расчеты!N191</f>
        <v>2.5174166666666498E-2</v>
      </c>
      <c r="AB254" s="150">
        <f t="shared" si="76"/>
        <v>0.30208999999999797</v>
      </c>
      <c r="AC254" s="143"/>
      <c r="AD254" s="143"/>
      <c r="AE254" s="143"/>
      <c r="AF254" s="143"/>
      <c r="AG254" s="143"/>
      <c r="AH254" s="143"/>
      <c r="AI254" s="143"/>
      <c r="AJ254" s="143"/>
      <c r="AK254" s="143"/>
      <c r="AL254" s="143"/>
      <c r="AM254" s="143"/>
      <c r="AN254" s="143"/>
      <c r="AO254" s="143"/>
      <c r="AP254" s="330"/>
    </row>
    <row r="258" spans="2:41" hidden="1">
      <c r="B258" t="s">
        <v>27</v>
      </c>
      <c r="C258" s="9">
        <f t="shared" ref="C258:AB258" si="82">C10+C16</f>
        <v>246.83333333333331</v>
      </c>
      <c r="D258" s="9">
        <f t="shared" si="82"/>
        <v>506.84999999999997</v>
      </c>
      <c r="E258" s="9">
        <f t="shared" si="82"/>
        <v>800.0333333333333</v>
      </c>
      <c r="F258" s="9">
        <f t="shared" si="82"/>
        <v>1096.2</v>
      </c>
      <c r="G258" s="9">
        <f t="shared" si="82"/>
        <v>1334.4833333333331</v>
      </c>
      <c r="H258" s="9">
        <f t="shared" si="82"/>
        <v>1593.3666666666668</v>
      </c>
      <c r="I258" s="9">
        <f t="shared" si="82"/>
        <v>1857.75</v>
      </c>
      <c r="J258" s="9">
        <f t="shared" si="82"/>
        <v>2198.6999999999998</v>
      </c>
      <c r="K258" s="9">
        <f t="shared" si="82"/>
        <v>2551.9333333333334</v>
      </c>
      <c r="L258" s="9">
        <f t="shared" si="82"/>
        <v>2905.0999999999995</v>
      </c>
      <c r="M258" s="9">
        <f t="shared" si="82"/>
        <v>3175.9666666666672</v>
      </c>
      <c r="N258" s="9">
        <f t="shared" si="82"/>
        <v>3529.3833333333332</v>
      </c>
      <c r="O258" s="9">
        <f t="shared" si="82"/>
        <v>21796.600000000002</v>
      </c>
      <c r="P258" s="9">
        <f t="shared" si="82"/>
        <v>63.166666666666664</v>
      </c>
      <c r="Q258" s="9">
        <f t="shared" si="82"/>
        <v>67.510000000000019</v>
      </c>
      <c r="R258" s="9">
        <f t="shared" si="82"/>
        <v>100.11153333333334</v>
      </c>
      <c r="S258" s="9">
        <f t="shared" si="82"/>
        <v>130.69324899999998</v>
      </c>
      <c r="T258" s="9">
        <f t="shared" si="82"/>
        <v>98.291961558333327</v>
      </c>
      <c r="U258" s="9">
        <f t="shared" si="82"/>
        <v>75.209130217699638</v>
      </c>
      <c r="V258" s="9">
        <f t="shared" si="82"/>
        <v>43.584689445818427</v>
      </c>
      <c r="W258" s="9">
        <f t="shared" si="82"/>
        <v>73.785531959730079</v>
      </c>
      <c r="X258" s="9">
        <f t="shared" si="82"/>
        <v>127.80249164221455</v>
      </c>
      <c r="Y258" s="9">
        <f t="shared" si="82"/>
        <v>183.27166447007258</v>
      </c>
      <c r="Z258" s="9">
        <f t="shared" si="82"/>
        <v>150.72148389735997</v>
      </c>
      <c r="AA258" s="9">
        <f t="shared" si="82"/>
        <v>194.89155099616113</v>
      </c>
      <c r="AB258" s="9">
        <f t="shared" si="82"/>
        <v>1309.0399531873895</v>
      </c>
      <c r="AC258" s="9"/>
      <c r="AD258" s="9"/>
      <c r="AE258" s="9"/>
      <c r="AF258" s="9"/>
      <c r="AG258" s="9"/>
      <c r="AH258" s="9"/>
      <c r="AI258" s="9"/>
      <c r="AJ258" s="9"/>
      <c r="AK258" s="9"/>
      <c r="AL258" s="9"/>
      <c r="AM258" s="9"/>
      <c r="AN258" s="9"/>
      <c r="AO258" s="9"/>
    </row>
    <row r="259" spans="2:41" hidden="1">
      <c r="B259" t="s">
        <v>28</v>
      </c>
      <c r="C259" s="9">
        <f t="shared" ref="C259:AB259" si="83">-C88-C89-C94-C100-C242-C247</f>
        <v>-1773.4417041666666</v>
      </c>
      <c r="D259" s="9">
        <f t="shared" si="83"/>
        <v>-1914.8417041666667</v>
      </c>
      <c r="E259" s="9">
        <f t="shared" si="83"/>
        <v>-2050.8417041666667</v>
      </c>
      <c r="F259" s="9">
        <f t="shared" si="83"/>
        <v>-2189.2417041666668</v>
      </c>
      <c r="G259" s="9">
        <f t="shared" si="83"/>
        <v>-2186.8417041666667</v>
      </c>
      <c r="H259" s="9">
        <f t="shared" si="83"/>
        <v>-2320.2417041666663</v>
      </c>
      <c r="I259" s="9">
        <f t="shared" si="83"/>
        <v>-2467.2417041666663</v>
      </c>
      <c r="J259" s="9">
        <f t="shared" si="83"/>
        <v>-2600.8417041666667</v>
      </c>
      <c r="K259" s="9">
        <f t="shared" si="83"/>
        <v>-2734.0417041666665</v>
      </c>
      <c r="L259" s="9">
        <f t="shared" si="83"/>
        <v>-2877.041704166666</v>
      </c>
      <c r="M259" s="9">
        <f t="shared" si="83"/>
        <v>-2870.2417041666668</v>
      </c>
      <c r="N259" s="9">
        <f t="shared" si="83"/>
        <v>-3006.4417041666666</v>
      </c>
      <c r="O259" s="14">
        <f t="shared" si="83"/>
        <v>-28991.300449999999</v>
      </c>
      <c r="P259" s="9">
        <f t="shared" si="83"/>
        <v>-133.10837083333337</v>
      </c>
      <c r="Q259" s="9">
        <f t="shared" si="83"/>
        <v>-132.50837083333332</v>
      </c>
      <c r="R259" s="9">
        <f t="shared" si="83"/>
        <v>-268.50837083333329</v>
      </c>
      <c r="S259" s="9">
        <f t="shared" si="83"/>
        <v>-264.90837083333327</v>
      </c>
      <c r="T259" s="9">
        <f t="shared" si="83"/>
        <v>-120.50837083333332</v>
      </c>
      <c r="U259" s="9">
        <f t="shared" si="83"/>
        <v>-111.90837083333332</v>
      </c>
      <c r="V259" s="9">
        <f t="shared" si="83"/>
        <v>-258.90837083333327</v>
      </c>
      <c r="W259" s="9">
        <f t="shared" si="83"/>
        <v>-250.50837083333332</v>
      </c>
      <c r="X259" s="9">
        <f t="shared" si="83"/>
        <v>-241.70837083333319</v>
      </c>
      <c r="Y259" s="9">
        <f t="shared" si="83"/>
        <v>-242.70837083333336</v>
      </c>
      <c r="Z259" s="9">
        <f t="shared" si="83"/>
        <v>-235.90837083333324</v>
      </c>
      <c r="AA259" s="9">
        <f t="shared" si="83"/>
        <v>-230.10837083333328</v>
      </c>
      <c r="AB259" s="14">
        <f t="shared" si="83"/>
        <v>-2491.3004499999993</v>
      </c>
      <c r="AC259" s="14"/>
      <c r="AD259" s="14"/>
      <c r="AE259" s="14"/>
      <c r="AF259" s="14"/>
      <c r="AG259" s="14"/>
      <c r="AH259" s="14"/>
      <c r="AI259" s="14"/>
      <c r="AJ259" s="14"/>
      <c r="AK259" s="14"/>
      <c r="AL259" s="14"/>
      <c r="AM259" s="14"/>
      <c r="AN259" s="14"/>
      <c r="AO259" s="14"/>
    </row>
    <row r="260" spans="2:41" hidden="1">
      <c r="B260" t="s">
        <v>91</v>
      </c>
      <c r="C260" s="9">
        <f t="shared" ref="C260:AB260" si="84">-C105-C222-C229-C230-C235-C236-C237-C252</f>
        <v>-758.68351499999994</v>
      </c>
      <c r="D260" s="9">
        <f t="shared" si="84"/>
        <v>-763.45018166666671</v>
      </c>
      <c r="E260" s="9">
        <f t="shared" si="84"/>
        <v>-767.61684833333334</v>
      </c>
      <c r="F260" s="9">
        <f t="shared" si="84"/>
        <v>-771.98351500000001</v>
      </c>
      <c r="G260" s="9">
        <f t="shared" si="84"/>
        <v>-771.78351499999997</v>
      </c>
      <c r="H260" s="9">
        <f t="shared" si="84"/>
        <v>-775.75018166666666</v>
      </c>
      <c r="I260" s="9">
        <f t="shared" si="84"/>
        <v>-780.71684833333336</v>
      </c>
      <c r="J260" s="9">
        <f t="shared" si="84"/>
        <v>-784.68351499999994</v>
      </c>
      <c r="K260" s="9">
        <f t="shared" si="84"/>
        <v>-788.65018166666675</v>
      </c>
      <c r="L260" s="9">
        <f t="shared" si="84"/>
        <v>-793.21684833333336</v>
      </c>
      <c r="M260" s="9">
        <f t="shared" si="84"/>
        <v>-792.81684833333338</v>
      </c>
      <c r="N260" s="9">
        <f t="shared" si="84"/>
        <v>-796.98351500000001</v>
      </c>
      <c r="O260" s="9">
        <f t="shared" si="84"/>
        <v>-9346.3355133333334</v>
      </c>
      <c r="P260" s="9">
        <f t="shared" si="84"/>
        <v>42.399818333333329</v>
      </c>
      <c r="Q260" s="9">
        <f t="shared" si="84"/>
        <v>37.63315166666667</v>
      </c>
      <c r="R260" s="9">
        <f t="shared" si="84"/>
        <v>33.466484999999999</v>
      </c>
      <c r="S260" s="9">
        <f t="shared" si="84"/>
        <v>29.099818333333324</v>
      </c>
      <c r="T260" s="9">
        <f t="shared" si="84"/>
        <v>29.299818333333327</v>
      </c>
      <c r="U260" s="9">
        <f t="shared" si="84"/>
        <v>25.333151666666666</v>
      </c>
      <c r="V260" s="9">
        <f t="shared" si="84"/>
        <v>20.366484999999997</v>
      </c>
      <c r="W260" s="9">
        <f t="shared" si="84"/>
        <v>16.399818333333336</v>
      </c>
      <c r="X260" s="9">
        <f t="shared" si="84"/>
        <v>12.433151666666662</v>
      </c>
      <c r="Y260" s="9">
        <f t="shared" si="84"/>
        <v>7.8664849999999991</v>
      </c>
      <c r="Z260" s="9">
        <f t="shared" si="84"/>
        <v>8.2664849999999976</v>
      </c>
      <c r="AA260" s="9">
        <f t="shared" si="84"/>
        <v>4.0998183333333333</v>
      </c>
      <c r="AB260" s="14">
        <f t="shared" si="84"/>
        <v>266.66448666666662</v>
      </c>
      <c r="AC260" s="14"/>
      <c r="AD260" s="14"/>
      <c r="AE260" s="14"/>
      <c r="AF260" s="14"/>
      <c r="AG260" s="14"/>
      <c r="AH260" s="14"/>
      <c r="AI260" s="14"/>
      <c r="AJ260" s="14"/>
      <c r="AK260" s="14"/>
      <c r="AL260" s="14"/>
      <c r="AM260" s="14"/>
      <c r="AN260" s="14"/>
      <c r="AO260" s="14"/>
    </row>
    <row r="261" spans="2:41" hidden="1">
      <c r="B261" t="s">
        <v>92</v>
      </c>
      <c r="C261" s="15">
        <f>(C259+C260)*0.01</f>
        <v>-25.321252191666662</v>
      </c>
      <c r="D261" s="15">
        <f t="shared" ref="D261:AB261" si="85">(D259+D260)*0.01</f>
        <v>-26.782918858333332</v>
      </c>
      <c r="E261" s="15">
        <f t="shared" si="85"/>
        <v>-28.184585525000003</v>
      </c>
      <c r="F261" s="15">
        <f t="shared" si="85"/>
        <v>-29.612252191666666</v>
      </c>
      <c r="G261" s="15">
        <f t="shared" si="85"/>
        <v>-29.586252191666667</v>
      </c>
      <c r="H261" s="15">
        <f t="shared" si="85"/>
        <v>-30.959918858333332</v>
      </c>
      <c r="I261" s="15">
        <f t="shared" si="85"/>
        <v>-32.479585524999997</v>
      </c>
      <c r="J261" s="15">
        <f t="shared" si="85"/>
        <v>-33.855252191666672</v>
      </c>
      <c r="K261" s="15">
        <f t="shared" si="85"/>
        <v>-35.226918858333335</v>
      </c>
      <c r="L261" s="15">
        <f t="shared" si="85"/>
        <v>-36.702585524999996</v>
      </c>
      <c r="M261" s="15">
        <f t="shared" si="85"/>
        <v>-36.630585525000001</v>
      </c>
      <c r="N261" s="15">
        <f t="shared" si="85"/>
        <v>-38.034252191666667</v>
      </c>
      <c r="O261" s="15">
        <f t="shared" si="85"/>
        <v>-383.37635963333332</v>
      </c>
      <c r="P261" s="15">
        <f t="shared" si="85"/>
        <v>-0.90708552500000039</v>
      </c>
      <c r="Q261" s="15">
        <f t="shared" si="85"/>
        <v>-0.94875219166666658</v>
      </c>
      <c r="R261" s="15">
        <f t="shared" si="85"/>
        <v>-2.3504188583333328</v>
      </c>
      <c r="S261" s="15">
        <f t="shared" si="85"/>
        <v>-2.3580855249999995</v>
      </c>
      <c r="T261" s="15">
        <f t="shared" si="85"/>
        <v>-0.91208552499999995</v>
      </c>
      <c r="U261" s="15">
        <f t="shared" si="85"/>
        <v>-0.86575219166666662</v>
      </c>
      <c r="V261" s="15">
        <f t="shared" si="85"/>
        <v>-2.3854188583333324</v>
      </c>
      <c r="W261" s="15">
        <f t="shared" si="85"/>
        <v>-2.341085525</v>
      </c>
      <c r="X261" s="15">
        <f t="shared" si="85"/>
        <v>-2.2927521916666653</v>
      </c>
      <c r="Y261" s="15">
        <f t="shared" si="85"/>
        <v>-2.3484188583333334</v>
      </c>
      <c r="Z261" s="15">
        <f t="shared" si="85"/>
        <v>-2.2764188583333325</v>
      </c>
      <c r="AA261" s="15">
        <f t="shared" si="85"/>
        <v>-2.2600855249999996</v>
      </c>
      <c r="AB261" s="15">
        <f t="shared" si="85"/>
        <v>-22.246359633333327</v>
      </c>
      <c r="AC261" s="15"/>
      <c r="AD261" s="15"/>
      <c r="AE261" s="15"/>
      <c r="AF261" s="15"/>
      <c r="AG261" s="15"/>
      <c r="AH261" s="15"/>
      <c r="AI261" s="15"/>
      <c r="AJ261" s="15"/>
      <c r="AK261" s="15"/>
      <c r="AL261" s="15"/>
      <c r="AM261" s="15"/>
      <c r="AN261" s="15"/>
      <c r="AO261" s="15"/>
    </row>
    <row r="262" spans="2:41" hidden="1">
      <c r="B262" t="s">
        <v>93</v>
      </c>
      <c r="C262" s="9">
        <f>SUM(C258:C261)</f>
        <v>-2310.6131380249999</v>
      </c>
      <c r="D262" s="9">
        <f t="shared" ref="D262:AB262" si="86">SUM(D258:D261)</f>
        <v>-2198.2248046916666</v>
      </c>
      <c r="E262" s="9">
        <f t="shared" si="86"/>
        <v>-2046.6098046916668</v>
      </c>
      <c r="F262" s="9">
        <f t="shared" si="86"/>
        <v>-1894.6374713583334</v>
      </c>
      <c r="G262" s="9">
        <f t="shared" si="86"/>
        <v>-1653.7281380250004</v>
      </c>
      <c r="H262" s="9">
        <f t="shared" si="86"/>
        <v>-1533.5851380249997</v>
      </c>
      <c r="I262" s="9">
        <f t="shared" si="86"/>
        <v>-1422.6881380249997</v>
      </c>
      <c r="J262" s="9">
        <f t="shared" si="86"/>
        <v>-1220.6804713583335</v>
      </c>
      <c r="K262" s="9">
        <f t="shared" si="86"/>
        <v>-1005.9854713583331</v>
      </c>
      <c r="L262" s="9">
        <f t="shared" si="86"/>
        <v>-801.86113802499995</v>
      </c>
      <c r="M262" s="9">
        <f t="shared" si="86"/>
        <v>-523.722471358333</v>
      </c>
      <c r="N262" s="9">
        <f t="shared" si="86"/>
        <v>-312.07613802500003</v>
      </c>
      <c r="O262" s="14">
        <f t="shared" si="86"/>
        <v>-16924.412322966662</v>
      </c>
      <c r="P262" s="9">
        <f t="shared" si="86"/>
        <v>-28.448971358333381</v>
      </c>
      <c r="Q262" s="9">
        <f t="shared" si="86"/>
        <v>-28.313971358333294</v>
      </c>
      <c r="R262" s="9">
        <f t="shared" si="86"/>
        <v>-137.28077135833328</v>
      </c>
      <c r="S262" s="9">
        <f t="shared" si="86"/>
        <v>-107.47338902499995</v>
      </c>
      <c r="T262" s="9">
        <f t="shared" si="86"/>
        <v>6.1713235333333376</v>
      </c>
      <c r="U262" s="9">
        <f t="shared" si="86"/>
        <v>-12.231841140633685</v>
      </c>
      <c r="V262" s="9">
        <f t="shared" si="86"/>
        <v>-197.34261524584818</v>
      </c>
      <c r="W262" s="9">
        <f t="shared" si="86"/>
        <v>-162.66410606526989</v>
      </c>
      <c r="X262" s="9">
        <f t="shared" si="86"/>
        <v>-103.76547971611865</v>
      </c>
      <c r="Y262" s="9">
        <f t="shared" si="86"/>
        <v>-53.918640221594117</v>
      </c>
      <c r="Z262" s="9">
        <f t="shared" si="86"/>
        <v>-79.196820794306589</v>
      </c>
      <c r="AA262" s="9">
        <f t="shared" si="86"/>
        <v>-33.377087028838822</v>
      </c>
      <c r="AB262" s="9">
        <f t="shared" si="86"/>
        <v>-937.84236977927651</v>
      </c>
      <c r="AC262" s="9"/>
      <c r="AD262" s="9"/>
      <c r="AE262" s="9"/>
      <c r="AF262" s="9"/>
      <c r="AG262" s="9"/>
      <c r="AH262" s="9"/>
      <c r="AI262" s="9"/>
      <c r="AJ262" s="9"/>
      <c r="AK262" s="9"/>
      <c r="AL262" s="9"/>
      <c r="AM262" s="9"/>
      <c r="AN262" s="9"/>
      <c r="AO262" s="9"/>
    </row>
  </sheetData>
  <mergeCells count="35">
    <mergeCell ref="BI39:BU39"/>
    <mergeCell ref="AP239:AP254"/>
    <mergeCell ref="AP23:AP37"/>
    <mergeCell ref="AP85:AP89"/>
    <mergeCell ref="AP91:AP105"/>
    <mergeCell ref="AP155:AP169"/>
    <mergeCell ref="AP219:AP224"/>
    <mergeCell ref="AP232:AP237"/>
    <mergeCell ref="AP39:AP53"/>
    <mergeCell ref="AP55:AP67"/>
    <mergeCell ref="AP69:AP73"/>
    <mergeCell ref="AP123:AP127"/>
    <mergeCell ref="AP226:AP230"/>
    <mergeCell ref="AP139:AP143"/>
    <mergeCell ref="AP187:AP201"/>
    <mergeCell ref="AP171:AP185"/>
    <mergeCell ref="P7:AB7"/>
    <mergeCell ref="P23:AB23"/>
    <mergeCell ref="P39:AB39"/>
    <mergeCell ref="P55:AB55"/>
    <mergeCell ref="P69:AB69"/>
    <mergeCell ref="AC39:AO39"/>
    <mergeCell ref="AC55:AO55"/>
    <mergeCell ref="P232:AB232"/>
    <mergeCell ref="P239:AB239"/>
    <mergeCell ref="P171:AB171"/>
    <mergeCell ref="P187:AB187"/>
    <mergeCell ref="P219:AB219"/>
    <mergeCell ref="P226:AB226"/>
    <mergeCell ref="P85:AB85"/>
    <mergeCell ref="P91:AB91"/>
    <mergeCell ref="P123:AB123"/>
    <mergeCell ref="P139:AB139"/>
    <mergeCell ref="P155:AB155"/>
    <mergeCell ref="P107:AB107"/>
  </mergeCells>
  <dataValidations count="1">
    <dataValidation type="list" allowBlank="1" showInputMessage="1" showErrorMessage="1" sqref="AR27:AR30 AR69 AR85 AR55:AR61 AR123 AR219:AR221 AR226" xr:uid="{5306BD18-9F5D-47C1-924D-7A6EB76B7638}">
      <formula1>#REF!</formula1>
    </dataValidation>
  </dataValidations>
  <pageMargins left="0.7" right="0.7" top="0.75" bottom="0.75" header="0.3" footer="0.3"/>
  <ignoredErrors>
    <ignoredError sqref="C16:O16" formula="1"/>
  </ignoredErrors>
  <extLst>
    <ext xmlns:x14="http://schemas.microsoft.com/office/spreadsheetml/2009/9/main" uri="{CCE6A557-97BC-4b89-ADB6-D9C93CAAB3DF}">
      <x14:dataValidations xmlns:xm="http://schemas.microsoft.com/office/excel/2006/main" count="1">
        <x14:dataValidation type="list" allowBlank="1" showInputMessage="1" showErrorMessage="1" xr:uid="{AB122E77-83F3-483C-B92F-78D263925D71}">
          <x14:formula1>
            <xm:f>'План-Факт'!$V$2:$V$3</xm:f>
          </x14:formula1>
          <xm:sqref>AR232:AR234 AR7:AR9 AR23:AR26 AR39:AR44 AR91:AR94 AR107 AR139 AR239:AR242 AR155 AR187 AR171:AR173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8D2D4-E231-46A4-A1F1-73E190EDC27E}">
  <sheetPr>
    <tabColor theme="9" tint="0.79998168889431442"/>
  </sheetPr>
  <dimension ref="A1:V1286"/>
  <sheetViews>
    <sheetView topLeftCell="C80" zoomScale="110" zoomScaleNormal="110" workbookViewId="0">
      <selection activeCell="G6" sqref="G6"/>
    </sheetView>
  </sheetViews>
  <sheetFormatPr baseColWidth="10" defaultColWidth="8.83203125" defaultRowHeight="15"/>
  <cols>
    <col min="1" max="1" width="11.5" customWidth="1"/>
    <col min="2" max="2" width="12.6640625" customWidth="1"/>
    <col min="3" max="3" width="14.33203125" customWidth="1"/>
    <col min="4" max="4" width="14" customWidth="1"/>
    <col min="5" max="5" width="14.33203125" customWidth="1"/>
    <col min="6" max="6" width="10.33203125" bestFit="1" customWidth="1"/>
    <col min="7" max="7" width="25.33203125" bestFit="1" customWidth="1"/>
    <col min="8" max="8" width="26" bestFit="1" customWidth="1"/>
    <col min="9" max="9" width="19.1640625" bestFit="1" customWidth="1"/>
    <col min="10" max="20" width="9.83203125" bestFit="1" customWidth="1"/>
    <col min="21" max="21" width="10.83203125" bestFit="1" customWidth="1"/>
    <col min="22" max="22" width="15.5" style="297" bestFit="1" customWidth="1"/>
    <col min="23" max="23" width="12.1640625" bestFit="1" customWidth="1"/>
    <col min="24" max="24" width="8.1640625" bestFit="1" customWidth="1"/>
    <col min="25" max="26" width="12.1640625" bestFit="1" customWidth="1"/>
    <col min="27" max="41" width="19.1640625" bestFit="1" customWidth="1"/>
    <col min="42" max="42" width="10.6640625" bestFit="1" customWidth="1"/>
    <col min="43" max="43" width="12.6640625" bestFit="1" customWidth="1"/>
    <col min="44" max="44" width="10.6640625" bestFit="1" customWidth="1"/>
    <col min="45" max="45" width="12.6640625" bestFit="1" customWidth="1"/>
    <col min="46" max="46" width="11.6640625" bestFit="1" customWidth="1"/>
    <col min="47" max="47" width="13.5" bestFit="1" customWidth="1"/>
    <col min="48" max="48" width="11.5" bestFit="1" customWidth="1"/>
    <col min="49" max="49" width="13.5" bestFit="1" customWidth="1"/>
    <col min="50" max="50" width="11.5" bestFit="1" customWidth="1"/>
    <col min="51" max="51" width="13.5" bestFit="1" customWidth="1"/>
    <col min="52" max="52" width="12.5" bestFit="1" customWidth="1"/>
    <col min="53" max="53" width="14.5" bestFit="1" customWidth="1"/>
    <col min="54" max="54" width="11.33203125" bestFit="1" customWidth="1"/>
    <col min="55" max="55" width="13.33203125" bestFit="1" customWidth="1"/>
    <col min="56" max="56" width="11.33203125" bestFit="1" customWidth="1"/>
    <col min="57" max="57" width="13.33203125" bestFit="1" customWidth="1"/>
    <col min="58" max="58" width="12.33203125" bestFit="1" customWidth="1"/>
    <col min="59" max="59" width="14.33203125" bestFit="1" customWidth="1"/>
    <col min="60" max="60" width="11.1640625" bestFit="1" customWidth="1"/>
    <col min="61" max="61" width="13.1640625" bestFit="1" customWidth="1"/>
    <col min="62" max="62" width="11.1640625" bestFit="1" customWidth="1"/>
    <col min="63" max="63" width="13.1640625" bestFit="1" customWidth="1"/>
    <col min="64" max="64" width="12.1640625" bestFit="1" customWidth="1"/>
    <col min="65" max="65" width="14.1640625" bestFit="1" customWidth="1"/>
    <col min="66" max="66" width="11.5" bestFit="1" customWidth="1"/>
    <col min="67" max="67" width="13.6640625" bestFit="1" customWidth="1"/>
    <col min="68" max="68" width="12.5" bestFit="1" customWidth="1"/>
    <col min="69" max="69" width="14.6640625" bestFit="1" customWidth="1"/>
    <col min="70" max="70" width="11.5" bestFit="1" customWidth="1"/>
    <col min="71" max="71" width="13.5" bestFit="1" customWidth="1"/>
    <col min="72" max="72" width="11.5" bestFit="1" customWidth="1"/>
    <col min="73" max="73" width="13.5" bestFit="1" customWidth="1"/>
    <col min="74" max="74" width="12.5" bestFit="1" customWidth="1"/>
    <col min="75" max="75" width="14.33203125" bestFit="1" customWidth="1"/>
    <col min="76" max="76" width="10.6640625" bestFit="1" customWidth="1"/>
  </cols>
  <sheetData>
    <row r="1" spans="1:22" ht="17">
      <c r="A1" s="18" t="s">
        <v>94</v>
      </c>
      <c r="B1" t="s">
        <v>95</v>
      </c>
      <c r="C1" t="s">
        <v>96</v>
      </c>
      <c r="D1" t="s">
        <v>97</v>
      </c>
      <c r="E1" t="s">
        <v>98</v>
      </c>
      <c r="F1" t="s">
        <v>99</v>
      </c>
      <c r="G1" s="110" t="s">
        <v>16</v>
      </c>
      <c r="H1" s="3"/>
    </row>
    <row r="2" spans="1:22">
      <c r="A2" s="19">
        <v>46027</v>
      </c>
      <c r="B2" t="s">
        <v>100</v>
      </c>
      <c r="C2">
        <v>100005001</v>
      </c>
      <c r="D2" t="s">
        <v>65</v>
      </c>
      <c r="E2" t="s">
        <v>21</v>
      </c>
      <c r="F2" s="15">
        <v>40000</v>
      </c>
      <c r="G2" s="13" t="s">
        <v>18</v>
      </c>
      <c r="H2" s="1" t="str">
        <f>IF(G2="Нет", " ", "Сформируйте сводную таблицу по представленному массиву данных.")</f>
        <v xml:space="preserve"> </v>
      </c>
    </row>
    <row r="3" spans="1:22">
      <c r="A3" s="19">
        <v>46027</v>
      </c>
      <c r="B3" t="s">
        <v>100</v>
      </c>
      <c r="C3">
        <v>100005002</v>
      </c>
      <c r="D3" t="s">
        <v>66</v>
      </c>
      <c r="E3" t="s">
        <v>21</v>
      </c>
      <c r="F3" s="15">
        <v>24000</v>
      </c>
      <c r="G3" s="13" t="s">
        <v>18</v>
      </c>
      <c r="H3" s="1" t="str">
        <f>IF(G3="Нет", " ", "В сводной таблице добавьте в поле Столбцы даты, в поле Строки назначение, направление и должность, в поле Значения сумму. Сравните получившиеся данные со значениями на листе Свод факта.")</f>
        <v xml:space="preserve"> </v>
      </c>
    </row>
    <row r="4" spans="1:22">
      <c r="A4" s="19">
        <v>46027</v>
      </c>
      <c r="B4" t="s">
        <v>100</v>
      </c>
      <c r="C4">
        <v>100005003</v>
      </c>
      <c r="D4" t="s">
        <v>67</v>
      </c>
      <c r="E4" t="s">
        <v>21</v>
      </c>
      <c r="F4" s="15">
        <v>24000</v>
      </c>
      <c r="G4" s="13" t="s">
        <v>18</v>
      </c>
      <c r="H4" s="1" t="str">
        <f>IF(G4="Нет", " ", "На листе Свод факта заработная плата включает в себя основную выплату зп и аванс. Для сравнения суммируйте эти две части в сводной таблице.")</f>
        <v xml:space="preserve"> </v>
      </c>
    </row>
    <row r="5" spans="1:22">
      <c r="A5" s="19">
        <v>46027</v>
      </c>
      <c r="B5" t="s">
        <v>100</v>
      </c>
      <c r="C5">
        <v>100005004</v>
      </c>
      <c r="D5" t="s">
        <v>68</v>
      </c>
      <c r="E5" t="s">
        <v>21</v>
      </c>
      <c r="F5" s="15">
        <v>32000</v>
      </c>
      <c r="G5" s="13" t="s">
        <v>18</v>
      </c>
      <c r="H5" s="1" t="str">
        <f>IF(G5="Нет", " ", "Проверьте, были ли учтены в плане компенсации по питанию в расходах на персонал?")</f>
        <v xml:space="preserve"> </v>
      </c>
    </row>
    <row r="6" spans="1:22">
      <c r="A6" s="19">
        <v>46027</v>
      </c>
      <c r="B6" t="s">
        <v>100</v>
      </c>
      <c r="C6">
        <v>100005005</v>
      </c>
      <c r="D6" t="s">
        <v>69</v>
      </c>
      <c r="E6" t="s">
        <v>21</v>
      </c>
      <c r="F6" s="15">
        <v>32000</v>
      </c>
      <c r="G6" s="13" t="s">
        <v>18</v>
      </c>
      <c r="H6" s="1" t="str">
        <f>IF(G6="Нет", " ", "Для сравнения ДМС со значениями на листе Свод факта приведите данные сводной таблицы по ДМС к месячному формату, разделив их на 12.")</f>
        <v xml:space="preserve"> </v>
      </c>
    </row>
    <row r="7" spans="1:22">
      <c r="A7" s="19">
        <v>46027</v>
      </c>
      <c r="B7" t="s">
        <v>100</v>
      </c>
      <c r="C7">
        <v>100005006</v>
      </c>
      <c r="D7" t="s">
        <v>65</v>
      </c>
      <c r="E7" t="s">
        <v>22</v>
      </c>
      <c r="F7" s="15">
        <v>40000</v>
      </c>
    </row>
    <row r="8" spans="1:22">
      <c r="A8" s="19">
        <v>46027</v>
      </c>
      <c r="B8" t="s">
        <v>100</v>
      </c>
      <c r="C8">
        <v>100005009</v>
      </c>
      <c r="D8" t="s">
        <v>70</v>
      </c>
      <c r="E8" t="s">
        <v>22</v>
      </c>
      <c r="F8" s="15">
        <v>40000</v>
      </c>
    </row>
    <row r="9" spans="1:22">
      <c r="A9" s="19">
        <v>46027</v>
      </c>
      <c r="B9" t="s">
        <v>100</v>
      </c>
      <c r="C9">
        <v>100005007</v>
      </c>
      <c r="D9" t="s">
        <v>67</v>
      </c>
      <c r="E9" t="s">
        <v>22</v>
      </c>
      <c r="F9" s="15">
        <v>28000</v>
      </c>
    </row>
    <row r="10" spans="1:22">
      <c r="A10" s="19">
        <v>46027</v>
      </c>
      <c r="B10" t="s">
        <v>100</v>
      </c>
      <c r="C10">
        <v>100005008</v>
      </c>
      <c r="D10" t="s">
        <v>69</v>
      </c>
      <c r="E10" t="s">
        <v>22</v>
      </c>
      <c r="F10" s="15">
        <v>32000</v>
      </c>
    </row>
    <row r="11" spans="1:22">
      <c r="A11" s="19">
        <v>46027</v>
      </c>
      <c r="B11" t="s">
        <v>100</v>
      </c>
      <c r="C11">
        <v>100005000</v>
      </c>
      <c r="D11" t="s">
        <v>71</v>
      </c>
      <c r="E11" t="s">
        <v>83</v>
      </c>
      <c r="F11" s="15">
        <v>16000</v>
      </c>
    </row>
    <row r="12" spans="1:22">
      <c r="A12" s="19">
        <v>46042</v>
      </c>
      <c r="B12" t="s">
        <v>101</v>
      </c>
      <c r="C12">
        <v>100005001</v>
      </c>
      <c r="D12" t="s">
        <v>65</v>
      </c>
      <c r="E12" t="s">
        <v>21</v>
      </c>
      <c r="F12" s="15">
        <v>60000</v>
      </c>
      <c r="H12" s="258" t="s">
        <v>217</v>
      </c>
      <c r="I12" s="258" t="s">
        <v>216</v>
      </c>
    </row>
    <row r="13" spans="1:22">
      <c r="A13" s="19">
        <v>46042</v>
      </c>
      <c r="B13" t="s">
        <v>101</v>
      </c>
      <c r="C13">
        <v>100005002</v>
      </c>
      <c r="D13" t="s">
        <v>66</v>
      </c>
      <c r="E13" t="s">
        <v>21</v>
      </c>
      <c r="F13" s="15">
        <v>36000</v>
      </c>
      <c r="I13" t="s">
        <v>224</v>
      </c>
      <c r="J13" t="s">
        <v>225</v>
      </c>
      <c r="K13" t="s">
        <v>226</v>
      </c>
      <c r="L13" t="s">
        <v>227</v>
      </c>
      <c r="M13" t="s">
        <v>228</v>
      </c>
      <c r="N13" t="s">
        <v>229</v>
      </c>
      <c r="O13" t="s">
        <v>230</v>
      </c>
      <c r="P13" t="s">
        <v>231</v>
      </c>
      <c r="Q13" t="s">
        <v>232</v>
      </c>
      <c r="R13" t="s">
        <v>233</v>
      </c>
      <c r="S13" t="s">
        <v>234</v>
      </c>
      <c r="T13" t="s">
        <v>235</v>
      </c>
      <c r="U13" t="s">
        <v>215</v>
      </c>
    </row>
    <row r="14" spans="1:22">
      <c r="A14" s="19">
        <v>46042</v>
      </c>
      <c r="B14" t="s">
        <v>101</v>
      </c>
      <c r="C14">
        <v>100005003</v>
      </c>
      <c r="D14" t="s">
        <v>67</v>
      </c>
      <c r="E14" t="s">
        <v>21</v>
      </c>
      <c r="F14" s="15">
        <v>36000</v>
      </c>
    </row>
    <row r="15" spans="1:22">
      <c r="A15" s="19">
        <v>46042</v>
      </c>
      <c r="B15" t="s">
        <v>101</v>
      </c>
      <c r="C15">
        <v>100005004</v>
      </c>
      <c r="D15" t="s">
        <v>68</v>
      </c>
      <c r="E15" t="s">
        <v>21</v>
      </c>
      <c r="F15" s="15">
        <v>48000</v>
      </c>
      <c r="H15" s="258" t="s">
        <v>214</v>
      </c>
      <c r="V15" s="298" t="s">
        <v>236</v>
      </c>
    </row>
    <row r="16" spans="1:22">
      <c r="A16" s="19">
        <v>46042</v>
      </c>
      <c r="B16" t="s">
        <v>101</v>
      </c>
      <c r="C16">
        <v>100005005</v>
      </c>
      <c r="D16" t="s">
        <v>69</v>
      </c>
      <c r="E16" t="s">
        <v>21</v>
      </c>
      <c r="F16" s="15">
        <v>48000</v>
      </c>
      <c r="H16" s="259" t="s">
        <v>100</v>
      </c>
      <c r="I16" s="260">
        <v>308000</v>
      </c>
      <c r="J16" s="260">
        <v>348000</v>
      </c>
      <c r="K16" s="260">
        <v>442193.54838709679</v>
      </c>
      <c r="L16" s="260">
        <v>475600</v>
      </c>
      <c r="M16" s="260">
        <v>487612.90322580643</v>
      </c>
      <c r="N16" s="260">
        <v>546400</v>
      </c>
      <c r="O16" s="260">
        <v>575741.93548387103</v>
      </c>
      <c r="P16" s="260">
        <v>678064.51612903224</v>
      </c>
      <c r="Q16" s="260">
        <v>666400</v>
      </c>
      <c r="R16" s="260">
        <v>736387.09677419357</v>
      </c>
      <c r="S16" s="260">
        <v>712000</v>
      </c>
      <c r="T16" s="260">
        <v>765548.3870967743</v>
      </c>
      <c r="U16" s="260">
        <v>6741948.3870967748</v>
      </c>
      <c r="V16" s="299"/>
    </row>
    <row r="17" spans="1:22">
      <c r="A17" s="19">
        <v>46042</v>
      </c>
      <c r="B17" t="s">
        <v>101</v>
      </c>
      <c r="C17">
        <v>100005006</v>
      </c>
      <c r="D17" t="s">
        <v>65</v>
      </c>
      <c r="E17" t="s">
        <v>22</v>
      </c>
      <c r="F17" s="15">
        <v>60000</v>
      </c>
      <c r="H17" s="295" t="s">
        <v>83</v>
      </c>
      <c r="I17" s="260">
        <v>16000</v>
      </c>
      <c r="J17" s="260">
        <v>16000</v>
      </c>
      <c r="K17" s="260">
        <v>26838.709677419356</v>
      </c>
      <c r="L17" s="260">
        <v>16000</v>
      </c>
      <c r="M17" s="260">
        <v>16000</v>
      </c>
      <c r="N17" s="260">
        <v>16000</v>
      </c>
      <c r="O17" s="260">
        <v>16000</v>
      </c>
      <c r="P17" s="260">
        <v>26838.709677419356</v>
      </c>
      <c r="Q17" s="260">
        <v>16000</v>
      </c>
      <c r="R17" s="260">
        <v>16000</v>
      </c>
      <c r="S17" s="260">
        <v>16000</v>
      </c>
      <c r="T17" s="260">
        <v>16000</v>
      </c>
      <c r="U17" s="260">
        <v>213677.41935483873</v>
      </c>
      <c r="V17" s="300">
        <f>GETPIVOTDATA("Сумма, руб.",$H$12,"Назначение","аванс","Направление","Бухгалтерия")+GETPIVOTDATA("Сумма, руб.",$H$12,"Назначение","заработная плата","Направление","Бухгалтерия")</f>
        <v>480000</v>
      </c>
    </row>
    <row r="18" spans="1:22">
      <c r="A18" s="19">
        <v>46042</v>
      </c>
      <c r="B18" t="s">
        <v>101</v>
      </c>
      <c r="C18">
        <v>100005009</v>
      </c>
      <c r="D18" t="s">
        <v>70</v>
      </c>
      <c r="E18" t="s">
        <v>22</v>
      </c>
      <c r="F18" s="15">
        <v>60000</v>
      </c>
      <c r="H18" s="296" t="s">
        <v>71</v>
      </c>
      <c r="I18" s="260">
        <v>16000</v>
      </c>
      <c r="J18" s="260">
        <v>16000</v>
      </c>
      <c r="K18" s="260">
        <v>26838.709677419356</v>
      </c>
      <c r="L18" s="260">
        <v>16000</v>
      </c>
      <c r="M18" s="260">
        <v>16000</v>
      </c>
      <c r="N18" s="260">
        <v>16000</v>
      </c>
      <c r="O18" s="260">
        <v>16000</v>
      </c>
      <c r="P18" s="260">
        <v>26838.709677419356</v>
      </c>
      <c r="Q18" s="260">
        <v>16000</v>
      </c>
      <c r="R18" s="260">
        <v>16000</v>
      </c>
      <c r="S18" s="260">
        <v>16000</v>
      </c>
      <c r="T18" s="260">
        <v>16000</v>
      </c>
      <c r="U18" s="260">
        <v>213677.41935483873</v>
      </c>
      <c r="V18" s="300">
        <f>GETPIVOTDATA("Сумма, руб.",$H$12,"Назначение","аванс","Направление","Community")+GETPIVOTDATA("Сумма, руб.",$H$12,"Назначение","заработная плата","Направление","Community")</f>
        <v>4560000</v>
      </c>
    </row>
    <row r="19" spans="1:22">
      <c r="A19" s="19">
        <v>46042</v>
      </c>
      <c r="B19" t="s">
        <v>101</v>
      </c>
      <c r="C19">
        <v>100005007</v>
      </c>
      <c r="D19" t="s">
        <v>67</v>
      </c>
      <c r="E19" t="s">
        <v>22</v>
      </c>
      <c r="F19" s="15">
        <v>42000</v>
      </c>
      <c r="H19" s="295" t="s">
        <v>21</v>
      </c>
      <c r="I19" s="260">
        <v>152000</v>
      </c>
      <c r="J19" s="260">
        <v>152000</v>
      </c>
      <c r="K19" s="260">
        <v>173677.41935483873</v>
      </c>
      <c r="L19" s="260">
        <v>152000</v>
      </c>
      <c r="M19" s="260">
        <v>184516.12903225806</v>
      </c>
      <c r="N19" s="260">
        <v>202400</v>
      </c>
      <c r="O19" s="260">
        <v>173677.41935483873</v>
      </c>
      <c r="P19" s="260">
        <v>168258.06451612903</v>
      </c>
      <c r="Q19" s="260">
        <v>202400</v>
      </c>
      <c r="R19" s="260">
        <v>152000</v>
      </c>
      <c r="S19" s="260">
        <v>152000</v>
      </c>
      <c r="T19" s="260">
        <v>168258.06451612903</v>
      </c>
      <c r="U19" s="260">
        <v>2033187.0967741935</v>
      </c>
      <c r="V19" s="300">
        <f>GETPIVOTDATA("Сумма, руб.",$H$12,"Назначение","аванс","Направление","Education")+GETPIVOTDATA("Сумма, руб.",$H$12,"Назначение","заработная плата","Направление","Education")</f>
        <v>9800000</v>
      </c>
    </row>
    <row r="20" spans="1:22">
      <c r="A20" s="19">
        <v>46042</v>
      </c>
      <c r="B20" t="s">
        <v>101</v>
      </c>
      <c r="C20">
        <v>100005008</v>
      </c>
      <c r="D20" t="s">
        <v>69</v>
      </c>
      <c r="E20" t="s">
        <v>22</v>
      </c>
      <c r="F20" s="15">
        <v>48000</v>
      </c>
      <c r="H20" s="296" t="s">
        <v>67</v>
      </c>
      <c r="I20" s="260">
        <v>24000</v>
      </c>
      <c r="J20" s="260">
        <v>24000</v>
      </c>
      <c r="K20" s="260">
        <v>24000</v>
      </c>
      <c r="L20" s="260">
        <v>24000</v>
      </c>
      <c r="M20" s="260">
        <v>40258.06451612903</v>
      </c>
      <c r="N20" s="260">
        <v>24000</v>
      </c>
      <c r="O20" s="260">
        <v>24000</v>
      </c>
      <c r="P20" s="260">
        <v>40258.06451612903</v>
      </c>
      <c r="Q20" s="260">
        <v>24000</v>
      </c>
      <c r="R20" s="260">
        <v>24000</v>
      </c>
      <c r="S20" s="260">
        <v>24000</v>
      </c>
      <c r="T20" s="260">
        <v>24000</v>
      </c>
      <c r="U20" s="260">
        <v>320516.12903225806</v>
      </c>
    </row>
    <row r="21" spans="1:22">
      <c r="A21" s="19">
        <v>46042</v>
      </c>
      <c r="B21" t="s">
        <v>101</v>
      </c>
      <c r="C21">
        <v>100005000</v>
      </c>
      <c r="D21" t="s">
        <v>71</v>
      </c>
      <c r="E21" t="s">
        <v>83</v>
      </c>
      <c r="F21" s="15">
        <v>24000</v>
      </c>
      <c r="H21" s="296" t="s">
        <v>68</v>
      </c>
      <c r="I21" s="260">
        <v>32000</v>
      </c>
      <c r="J21" s="260">
        <v>32000</v>
      </c>
      <c r="K21" s="260">
        <v>53677.419354838712</v>
      </c>
      <c r="L21" s="260">
        <v>32000</v>
      </c>
      <c r="M21" s="260">
        <v>32000</v>
      </c>
      <c r="N21" s="260">
        <v>54400</v>
      </c>
      <c r="O21" s="260">
        <v>32000</v>
      </c>
      <c r="P21" s="260">
        <v>32000</v>
      </c>
      <c r="Q21" s="260">
        <v>32000</v>
      </c>
      <c r="R21" s="260">
        <v>32000</v>
      </c>
      <c r="S21" s="260">
        <v>32000</v>
      </c>
      <c r="T21" s="260">
        <v>32000</v>
      </c>
      <c r="U21" s="260">
        <v>428077.41935483873</v>
      </c>
    </row>
    <row r="22" spans="1:22">
      <c r="A22" s="19">
        <v>46058</v>
      </c>
      <c r="B22" t="s">
        <v>100</v>
      </c>
      <c r="C22">
        <v>100005001</v>
      </c>
      <c r="D22" t="s">
        <v>65</v>
      </c>
      <c r="E22" t="s">
        <v>21</v>
      </c>
      <c r="F22" s="15">
        <v>40000</v>
      </c>
      <c r="H22" s="296" t="s">
        <v>66</v>
      </c>
      <c r="I22" s="260">
        <v>24000</v>
      </c>
      <c r="J22" s="260">
        <v>24000</v>
      </c>
      <c r="K22" s="260">
        <v>24000</v>
      </c>
      <c r="L22" s="260">
        <v>24000</v>
      </c>
      <c r="M22" s="260">
        <v>40258.06451612903</v>
      </c>
      <c r="N22" s="260">
        <v>24000</v>
      </c>
      <c r="O22" s="260">
        <v>24000</v>
      </c>
      <c r="P22" s="260">
        <v>24000</v>
      </c>
      <c r="Q22" s="260">
        <v>24000</v>
      </c>
      <c r="R22" s="260">
        <v>24000</v>
      </c>
      <c r="S22" s="260">
        <v>24000</v>
      </c>
      <c r="T22" s="260">
        <v>40258.06451612903</v>
      </c>
      <c r="U22" s="260">
        <v>320516.12903225806</v>
      </c>
    </row>
    <row r="23" spans="1:22">
      <c r="A23" s="19">
        <v>46058</v>
      </c>
      <c r="B23" t="s">
        <v>100</v>
      </c>
      <c r="C23">
        <v>100005002</v>
      </c>
      <c r="D23" t="s">
        <v>66</v>
      </c>
      <c r="E23" t="s">
        <v>21</v>
      </c>
      <c r="F23" s="15">
        <v>24000</v>
      </c>
      <c r="H23" s="296" t="s">
        <v>65</v>
      </c>
      <c r="I23" s="260">
        <v>40000</v>
      </c>
      <c r="J23" s="260">
        <v>40000</v>
      </c>
      <c r="K23" s="260">
        <v>40000</v>
      </c>
      <c r="L23" s="260">
        <v>40000</v>
      </c>
      <c r="M23" s="260">
        <v>40000</v>
      </c>
      <c r="N23" s="260">
        <v>68000</v>
      </c>
      <c r="O23" s="260">
        <v>40000</v>
      </c>
      <c r="P23" s="260">
        <v>40000</v>
      </c>
      <c r="Q23" s="260">
        <v>68000</v>
      </c>
      <c r="R23" s="260">
        <v>40000</v>
      </c>
      <c r="S23" s="260">
        <v>40000</v>
      </c>
      <c r="T23" s="260">
        <v>40000</v>
      </c>
      <c r="U23" s="260">
        <v>536000</v>
      </c>
    </row>
    <row r="24" spans="1:22">
      <c r="A24" s="19">
        <v>46058</v>
      </c>
      <c r="B24" t="s">
        <v>100</v>
      </c>
      <c r="C24">
        <v>100005003</v>
      </c>
      <c r="D24" t="s">
        <v>67</v>
      </c>
      <c r="E24" t="s">
        <v>21</v>
      </c>
      <c r="F24" s="15">
        <v>24000</v>
      </c>
      <c r="H24" s="296" t="s">
        <v>69</v>
      </c>
      <c r="I24" s="260">
        <v>32000</v>
      </c>
      <c r="J24" s="260">
        <v>32000</v>
      </c>
      <c r="K24" s="260">
        <v>32000</v>
      </c>
      <c r="L24" s="260">
        <v>32000</v>
      </c>
      <c r="M24" s="260">
        <v>32000</v>
      </c>
      <c r="N24" s="260">
        <v>32000</v>
      </c>
      <c r="O24" s="260">
        <v>53677.419354838712</v>
      </c>
      <c r="P24" s="260">
        <v>32000</v>
      </c>
      <c r="Q24" s="260">
        <v>54400</v>
      </c>
      <c r="R24" s="260">
        <v>32000</v>
      </c>
      <c r="S24" s="260">
        <v>32000</v>
      </c>
      <c r="T24" s="260">
        <v>32000</v>
      </c>
      <c r="U24" s="260">
        <v>428077.41935483873</v>
      </c>
    </row>
    <row r="25" spans="1:22">
      <c r="A25" s="19">
        <v>46058</v>
      </c>
      <c r="B25" t="s">
        <v>100</v>
      </c>
      <c r="C25">
        <v>100005004</v>
      </c>
      <c r="D25" t="s">
        <v>68</v>
      </c>
      <c r="E25" t="s">
        <v>21</v>
      </c>
      <c r="F25" s="15">
        <v>32000</v>
      </c>
      <c r="H25" s="295" t="s">
        <v>22</v>
      </c>
      <c r="I25" s="260">
        <v>140000</v>
      </c>
      <c r="J25" s="260">
        <v>180000</v>
      </c>
      <c r="K25" s="260">
        <v>241677.41935483873</v>
      </c>
      <c r="L25" s="260">
        <v>307600</v>
      </c>
      <c r="M25" s="260">
        <v>287096.77419354836</v>
      </c>
      <c r="N25" s="260">
        <v>328000</v>
      </c>
      <c r="O25" s="260">
        <v>386064.51612903224</v>
      </c>
      <c r="P25" s="260">
        <v>482967.74193548394</v>
      </c>
      <c r="Q25" s="260">
        <v>448000</v>
      </c>
      <c r="R25" s="260">
        <v>568387.09677419357</v>
      </c>
      <c r="S25" s="260">
        <v>544000</v>
      </c>
      <c r="T25" s="260">
        <v>581290.32258064521</v>
      </c>
      <c r="U25" s="260">
        <v>4495083.8709677421</v>
      </c>
    </row>
    <row r="26" spans="1:22">
      <c r="A26" s="19">
        <v>46058</v>
      </c>
      <c r="B26" t="s">
        <v>100</v>
      </c>
      <c r="C26">
        <v>100005005</v>
      </c>
      <c r="D26" t="s">
        <v>69</v>
      </c>
      <c r="E26" t="s">
        <v>21</v>
      </c>
      <c r="F26" s="15">
        <v>32000</v>
      </c>
      <c r="H26" s="296" t="s">
        <v>67</v>
      </c>
      <c r="I26" s="260">
        <v>28000</v>
      </c>
      <c r="J26" s="260">
        <v>28000</v>
      </c>
      <c r="K26" s="260">
        <v>28000</v>
      </c>
      <c r="L26" s="260">
        <v>47600</v>
      </c>
      <c r="M26" s="260">
        <v>28000</v>
      </c>
      <c r="N26" s="260">
        <v>28000</v>
      </c>
      <c r="O26" s="260">
        <v>46967.741935483871</v>
      </c>
      <c r="P26" s="260">
        <v>28000</v>
      </c>
      <c r="Q26" s="260">
        <v>28000</v>
      </c>
      <c r="R26" s="260">
        <v>28000</v>
      </c>
      <c r="S26" s="260">
        <v>28000</v>
      </c>
      <c r="T26" s="260">
        <v>28000</v>
      </c>
      <c r="U26" s="260">
        <v>374567.74193548388</v>
      </c>
    </row>
    <row r="27" spans="1:22">
      <c r="A27" s="19">
        <v>46058</v>
      </c>
      <c r="B27" t="s">
        <v>100</v>
      </c>
      <c r="C27">
        <v>100005006</v>
      </c>
      <c r="D27" t="s">
        <v>65</v>
      </c>
      <c r="E27" t="s">
        <v>22</v>
      </c>
      <c r="F27" s="15">
        <v>40000</v>
      </c>
      <c r="H27" s="296" t="s">
        <v>70</v>
      </c>
      <c r="I27" s="260">
        <v>40000</v>
      </c>
      <c r="J27" s="260">
        <v>80000</v>
      </c>
      <c r="K27" s="260">
        <v>120000</v>
      </c>
      <c r="L27" s="260">
        <v>188000</v>
      </c>
      <c r="M27" s="260">
        <v>187096.77419354839</v>
      </c>
      <c r="N27" s="260">
        <v>228000</v>
      </c>
      <c r="O27" s="260">
        <v>267096.77419354836</v>
      </c>
      <c r="P27" s="260">
        <v>334193.54838709679</v>
      </c>
      <c r="Q27" s="260">
        <v>348000</v>
      </c>
      <c r="R27" s="260">
        <v>441290.32258064521</v>
      </c>
      <c r="S27" s="260">
        <v>444000</v>
      </c>
      <c r="T27" s="260">
        <v>481290.32258064521</v>
      </c>
      <c r="U27" s="260">
        <v>3158967.7419354841</v>
      </c>
    </row>
    <row r="28" spans="1:22">
      <c r="A28" s="19">
        <v>46058</v>
      </c>
      <c r="B28" t="s">
        <v>100</v>
      </c>
      <c r="C28">
        <v>100005009</v>
      </c>
      <c r="D28" t="s">
        <v>70</v>
      </c>
      <c r="E28" t="s">
        <v>22</v>
      </c>
      <c r="F28" s="15">
        <v>40000</v>
      </c>
      <c r="H28" s="296" t="s">
        <v>65</v>
      </c>
      <c r="I28" s="260">
        <v>40000</v>
      </c>
      <c r="J28" s="260">
        <v>40000</v>
      </c>
      <c r="K28" s="260">
        <v>40000</v>
      </c>
      <c r="L28" s="260">
        <v>40000</v>
      </c>
      <c r="M28" s="260">
        <v>40000</v>
      </c>
      <c r="N28" s="260">
        <v>40000</v>
      </c>
      <c r="O28" s="260">
        <v>40000</v>
      </c>
      <c r="P28" s="260">
        <v>67096.774193548394</v>
      </c>
      <c r="Q28" s="260">
        <v>40000</v>
      </c>
      <c r="R28" s="260">
        <v>67096.774193548394</v>
      </c>
      <c r="S28" s="260">
        <v>40000</v>
      </c>
      <c r="T28" s="260">
        <v>40000</v>
      </c>
      <c r="U28" s="260">
        <v>534193.54838709673</v>
      </c>
    </row>
    <row r="29" spans="1:22">
      <c r="A29" s="19">
        <v>46058</v>
      </c>
      <c r="B29" t="s">
        <v>100</v>
      </c>
      <c r="C29">
        <v>100005010</v>
      </c>
      <c r="D29" t="s">
        <v>70</v>
      </c>
      <c r="E29" t="s">
        <v>22</v>
      </c>
      <c r="F29" s="15">
        <v>40000</v>
      </c>
      <c r="H29" s="296" t="s">
        <v>69</v>
      </c>
      <c r="I29" s="260">
        <v>32000</v>
      </c>
      <c r="J29" s="260">
        <v>32000</v>
      </c>
      <c r="K29" s="260">
        <v>53677.419354838712</v>
      </c>
      <c r="L29" s="260">
        <v>32000</v>
      </c>
      <c r="M29" s="260">
        <v>32000</v>
      </c>
      <c r="N29" s="260">
        <v>32000</v>
      </c>
      <c r="O29" s="260">
        <v>32000</v>
      </c>
      <c r="P29" s="260">
        <v>53677.419354838712</v>
      </c>
      <c r="Q29" s="260">
        <v>32000</v>
      </c>
      <c r="R29" s="260">
        <v>32000</v>
      </c>
      <c r="S29" s="260">
        <v>32000</v>
      </c>
      <c r="T29" s="260">
        <v>32000</v>
      </c>
      <c r="U29" s="260">
        <v>427354.83870967745</v>
      </c>
    </row>
    <row r="30" spans="1:22">
      <c r="A30" s="19">
        <v>46058</v>
      </c>
      <c r="B30" t="s">
        <v>100</v>
      </c>
      <c r="C30">
        <v>100005007</v>
      </c>
      <c r="D30" t="s">
        <v>67</v>
      </c>
      <c r="E30" t="s">
        <v>22</v>
      </c>
      <c r="F30" s="15">
        <v>28000</v>
      </c>
      <c r="H30" s="259" t="s">
        <v>102</v>
      </c>
      <c r="I30" s="260">
        <v>240000</v>
      </c>
      <c r="J30" s="260">
        <v>24000</v>
      </c>
      <c r="K30" s="260">
        <v>24000</v>
      </c>
      <c r="L30" s="260">
        <v>24000</v>
      </c>
      <c r="M30" s="260"/>
      <c r="N30" s="260">
        <v>24000</v>
      </c>
      <c r="O30" s="260">
        <v>24000</v>
      </c>
      <c r="P30" s="260">
        <v>24000</v>
      </c>
      <c r="Q30" s="260">
        <v>24000</v>
      </c>
      <c r="R30" s="260">
        <v>24000</v>
      </c>
      <c r="S30" s="260"/>
      <c r="T30" s="260">
        <v>24000</v>
      </c>
      <c r="U30" s="260">
        <v>456000</v>
      </c>
    </row>
    <row r="31" spans="1:22">
      <c r="A31" s="19">
        <v>46058</v>
      </c>
      <c r="B31" t="s">
        <v>100</v>
      </c>
      <c r="C31">
        <v>100005008</v>
      </c>
      <c r="D31" t="s">
        <v>69</v>
      </c>
      <c r="E31" t="s">
        <v>22</v>
      </c>
      <c r="F31" s="15">
        <v>32000</v>
      </c>
      <c r="H31" s="295" t="s">
        <v>83</v>
      </c>
      <c r="I31" s="260">
        <v>24000</v>
      </c>
      <c r="J31" s="260"/>
      <c r="K31" s="260"/>
      <c r="L31" s="260"/>
      <c r="M31" s="260"/>
      <c r="N31" s="260"/>
      <c r="O31" s="260"/>
      <c r="P31" s="260"/>
      <c r="Q31" s="260"/>
      <c r="R31" s="260"/>
      <c r="S31" s="260"/>
      <c r="T31" s="260"/>
      <c r="U31" s="260">
        <v>24000</v>
      </c>
    </row>
    <row r="32" spans="1:22">
      <c r="A32" s="19">
        <v>46058</v>
      </c>
      <c r="B32" t="s">
        <v>100</v>
      </c>
      <c r="C32">
        <v>100005000</v>
      </c>
      <c r="D32" t="s">
        <v>71</v>
      </c>
      <c r="E32" t="s">
        <v>83</v>
      </c>
      <c r="F32" s="15">
        <v>16000</v>
      </c>
      <c r="H32" s="296" t="s">
        <v>71</v>
      </c>
      <c r="I32" s="260">
        <v>24000</v>
      </c>
      <c r="J32" s="260"/>
      <c r="K32" s="260"/>
      <c r="L32" s="260"/>
      <c r="M32" s="260"/>
      <c r="N32" s="260"/>
      <c r="O32" s="260"/>
      <c r="P32" s="260"/>
      <c r="Q32" s="260"/>
      <c r="R32" s="260"/>
      <c r="S32" s="260"/>
      <c r="T32" s="260"/>
      <c r="U32" s="260">
        <v>24000</v>
      </c>
    </row>
    <row r="33" spans="1:21">
      <c r="A33" s="19">
        <v>46073</v>
      </c>
      <c r="B33" t="s">
        <v>101</v>
      </c>
      <c r="C33">
        <v>100005001</v>
      </c>
      <c r="D33" t="s">
        <v>65</v>
      </c>
      <c r="E33" t="s">
        <v>21</v>
      </c>
      <c r="F33" s="15">
        <v>60000</v>
      </c>
      <c r="H33" s="295" t="s">
        <v>21</v>
      </c>
      <c r="I33" s="260">
        <v>120000</v>
      </c>
      <c r="J33" s="260"/>
      <c r="K33" s="260"/>
      <c r="L33" s="260"/>
      <c r="M33" s="260"/>
      <c r="N33" s="260"/>
      <c r="O33" s="260"/>
      <c r="P33" s="260"/>
      <c r="Q33" s="260"/>
      <c r="R33" s="260"/>
      <c r="S33" s="260"/>
      <c r="T33" s="260"/>
      <c r="U33" s="260">
        <v>120000</v>
      </c>
    </row>
    <row r="34" spans="1:21">
      <c r="A34" s="19">
        <v>46073</v>
      </c>
      <c r="B34" t="s">
        <v>101</v>
      </c>
      <c r="C34">
        <v>100005002</v>
      </c>
      <c r="D34" t="s">
        <v>66</v>
      </c>
      <c r="E34" t="s">
        <v>21</v>
      </c>
      <c r="F34" s="15">
        <v>36000</v>
      </c>
      <c r="H34" s="296" t="s">
        <v>67</v>
      </c>
      <c r="I34" s="260">
        <v>24000</v>
      </c>
      <c r="J34" s="260"/>
      <c r="K34" s="260"/>
      <c r="L34" s="260"/>
      <c r="M34" s="260"/>
      <c r="N34" s="260"/>
      <c r="O34" s="260"/>
      <c r="P34" s="260"/>
      <c r="Q34" s="260"/>
      <c r="R34" s="260"/>
      <c r="S34" s="260"/>
      <c r="T34" s="260"/>
      <c r="U34" s="260">
        <v>24000</v>
      </c>
    </row>
    <row r="35" spans="1:21">
      <c r="A35" s="19">
        <v>46073</v>
      </c>
      <c r="B35" t="s">
        <v>101</v>
      </c>
      <c r="C35">
        <v>100005003</v>
      </c>
      <c r="D35" t="s">
        <v>67</v>
      </c>
      <c r="E35" t="s">
        <v>21</v>
      </c>
      <c r="F35" s="15">
        <v>36000</v>
      </c>
      <c r="H35" s="296" t="s">
        <v>68</v>
      </c>
      <c r="I35" s="260">
        <v>24000</v>
      </c>
      <c r="J35" s="260"/>
      <c r="K35" s="260"/>
      <c r="L35" s="260"/>
      <c r="M35" s="260"/>
      <c r="N35" s="260"/>
      <c r="O35" s="260"/>
      <c r="P35" s="260"/>
      <c r="Q35" s="260"/>
      <c r="R35" s="260"/>
      <c r="S35" s="260"/>
      <c r="T35" s="260"/>
      <c r="U35" s="260">
        <v>24000</v>
      </c>
    </row>
    <row r="36" spans="1:21">
      <c r="A36" s="19">
        <v>46073</v>
      </c>
      <c r="B36" t="s">
        <v>101</v>
      </c>
      <c r="C36">
        <v>100005004</v>
      </c>
      <c r="D36" t="s">
        <v>68</v>
      </c>
      <c r="E36" t="s">
        <v>21</v>
      </c>
      <c r="F36" s="15">
        <v>48000</v>
      </c>
      <c r="H36" s="296" t="s">
        <v>66</v>
      </c>
      <c r="I36" s="260">
        <v>24000</v>
      </c>
      <c r="J36" s="260"/>
      <c r="K36" s="260"/>
      <c r="L36" s="260"/>
      <c r="M36" s="260"/>
      <c r="N36" s="260"/>
      <c r="O36" s="260"/>
      <c r="P36" s="260"/>
      <c r="Q36" s="260"/>
      <c r="R36" s="260"/>
      <c r="S36" s="260"/>
      <c r="T36" s="260"/>
      <c r="U36" s="260">
        <v>24000</v>
      </c>
    </row>
    <row r="37" spans="1:21">
      <c r="A37" s="19">
        <v>46073</v>
      </c>
      <c r="B37" t="s">
        <v>101</v>
      </c>
      <c r="C37">
        <v>100005005</v>
      </c>
      <c r="D37" t="s">
        <v>69</v>
      </c>
      <c r="E37" t="s">
        <v>21</v>
      </c>
      <c r="F37" s="15">
        <v>48000</v>
      </c>
      <c r="H37" s="296" t="s">
        <v>65</v>
      </c>
      <c r="I37" s="260">
        <v>24000</v>
      </c>
      <c r="J37" s="260"/>
      <c r="K37" s="260"/>
      <c r="L37" s="260"/>
      <c r="M37" s="260"/>
      <c r="N37" s="260"/>
      <c r="O37" s="260"/>
      <c r="P37" s="260"/>
      <c r="Q37" s="260"/>
      <c r="R37" s="260"/>
      <c r="S37" s="260"/>
      <c r="T37" s="260"/>
      <c r="U37" s="260">
        <v>24000</v>
      </c>
    </row>
    <row r="38" spans="1:21">
      <c r="A38" s="19">
        <v>46073</v>
      </c>
      <c r="B38" t="s">
        <v>101</v>
      </c>
      <c r="C38">
        <v>100005006</v>
      </c>
      <c r="D38" t="s">
        <v>65</v>
      </c>
      <c r="E38" t="s">
        <v>22</v>
      </c>
      <c r="F38" s="15">
        <v>60000</v>
      </c>
      <c r="H38" s="296" t="s">
        <v>69</v>
      </c>
      <c r="I38" s="260">
        <v>24000</v>
      </c>
      <c r="J38" s="260"/>
      <c r="K38" s="260"/>
      <c r="L38" s="260"/>
      <c r="M38" s="260"/>
      <c r="N38" s="260"/>
      <c r="O38" s="260"/>
      <c r="P38" s="260"/>
      <c r="Q38" s="260"/>
      <c r="R38" s="260"/>
      <c r="S38" s="260"/>
      <c r="T38" s="260"/>
      <c r="U38" s="260">
        <v>24000</v>
      </c>
    </row>
    <row r="39" spans="1:21">
      <c r="A39" s="19">
        <v>46073</v>
      </c>
      <c r="B39" t="s">
        <v>101</v>
      </c>
      <c r="C39">
        <v>100005009</v>
      </c>
      <c r="D39" t="s">
        <v>70</v>
      </c>
      <c r="E39" t="s">
        <v>22</v>
      </c>
      <c r="F39" s="15">
        <v>60000</v>
      </c>
      <c r="H39" s="295" t="s">
        <v>22</v>
      </c>
      <c r="I39" s="260">
        <v>96000</v>
      </c>
      <c r="J39" s="260">
        <v>24000</v>
      </c>
      <c r="K39" s="260">
        <v>24000</v>
      </c>
      <c r="L39" s="260">
        <v>24000</v>
      </c>
      <c r="M39" s="260"/>
      <c r="N39" s="260">
        <v>24000</v>
      </c>
      <c r="O39" s="260">
        <v>24000</v>
      </c>
      <c r="P39" s="260">
        <v>24000</v>
      </c>
      <c r="Q39" s="260">
        <v>24000</v>
      </c>
      <c r="R39" s="260">
        <v>24000</v>
      </c>
      <c r="S39" s="260"/>
      <c r="T39" s="260">
        <v>24000</v>
      </c>
      <c r="U39" s="260">
        <v>312000</v>
      </c>
    </row>
    <row r="40" spans="1:21">
      <c r="A40" s="19">
        <v>46073</v>
      </c>
      <c r="B40" t="s">
        <v>101</v>
      </c>
      <c r="C40">
        <v>100005010</v>
      </c>
      <c r="D40" t="s">
        <v>70</v>
      </c>
      <c r="E40" t="s">
        <v>22</v>
      </c>
      <c r="F40" s="15">
        <v>60000</v>
      </c>
      <c r="H40" s="296" t="s">
        <v>67</v>
      </c>
      <c r="I40" s="260">
        <v>24000</v>
      </c>
      <c r="J40" s="260"/>
      <c r="K40" s="260"/>
      <c r="L40" s="260"/>
      <c r="M40" s="260"/>
      <c r="N40" s="260"/>
      <c r="O40" s="260"/>
      <c r="P40" s="260"/>
      <c r="Q40" s="260"/>
      <c r="R40" s="260"/>
      <c r="S40" s="260"/>
      <c r="T40" s="260"/>
      <c r="U40" s="260">
        <v>24000</v>
      </c>
    </row>
    <row r="41" spans="1:21">
      <c r="A41" s="19">
        <v>46073</v>
      </c>
      <c r="B41" t="s">
        <v>101</v>
      </c>
      <c r="C41">
        <v>100005007</v>
      </c>
      <c r="D41" t="s">
        <v>67</v>
      </c>
      <c r="E41" t="s">
        <v>22</v>
      </c>
      <c r="F41" s="15">
        <v>42000</v>
      </c>
      <c r="H41" s="296" t="s">
        <v>70</v>
      </c>
      <c r="I41" s="260">
        <v>24000</v>
      </c>
      <c r="J41" s="260">
        <v>24000</v>
      </c>
      <c r="K41" s="260">
        <v>24000</v>
      </c>
      <c r="L41" s="260">
        <v>24000</v>
      </c>
      <c r="M41" s="260"/>
      <c r="N41" s="260">
        <v>24000</v>
      </c>
      <c r="O41" s="260">
        <v>24000</v>
      </c>
      <c r="P41" s="260">
        <v>24000</v>
      </c>
      <c r="Q41" s="260">
        <v>24000</v>
      </c>
      <c r="R41" s="260">
        <v>24000</v>
      </c>
      <c r="S41" s="260"/>
      <c r="T41" s="260">
        <v>24000</v>
      </c>
      <c r="U41" s="260">
        <v>240000</v>
      </c>
    </row>
    <row r="42" spans="1:21">
      <c r="A42" s="19">
        <v>46073</v>
      </c>
      <c r="B42" t="s">
        <v>101</v>
      </c>
      <c r="C42">
        <v>100005008</v>
      </c>
      <c r="D42" t="s">
        <v>69</v>
      </c>
      <c r="E42" t="s">
        <v>22</v>
      </c>
      <c r="F42" s="15">
        <v>48000</v>
      </c>
      <c r="H42" s="296" t="s">
        <v>65</v>
      </c>
      <c r="I42" s="260">
        <v>24000</v>
      </c>
      <c r="J42" s="260"/>
      <c r="K42" s="260"/>
      <c r="L42" s="260"/>
      <c r="M42" s="260"/>
      <c r="N42" s="260"/>
      <c r="O42" s="260"/>
      <c r="P42" s="260"/>
      <c r="Q42" s="260"/>
      <c r="R42" s="260"/>
      <c r="S42" s="260"/>
      <c r="T42" s="260"/>
      <c r="U42" s="260">
        <v>24000</v>
      </c>
    </row>
    <row r="43" spans="1:21">
      <c r="A43" s="19">
        <v>46073</v>
      </c>
      <c r="B43" t="s">
        <v>101</v>
      </c>
      <c r="C43">
        <v>100005000</v>
      </c>
      <c r="D43" t="s">
        <v>71</v>
      </c>
      <c r="E43" t="s">
        <v>83</v>
      </c>
      <c r="F43" s="15">
        <v>24000</v>
      </c>
      <c r="H43" s="296" t="s">
        <v>69</v>
      </c>
      <c r="I43" s="260">
        <v>24000</v>
      </c>
      <c r="J43" s="260"/>
      <c r="K43" s="260"/>
      <c r="L43" s="260"/>
      <c r="M43" s="260"/>
      <c r="N43" s="260"/>
      <c r="O43" s="260"/>
      <c r="P43" s="260"/>
      <c r="Q43" s="260"/>
      <c r="R43" s="260"/>
      <c r="S43" s="260"/>
      <c r="T43" s="260"/>
      <c r="U43" s="260">
        <v>24000</v>
      </c>
    </row>
    <row r="44" spans="1:21">
      <c r="A44" s="19">
        <v>46086</v>
      </c>
      <c r="B44" t="s">
        <v>100</v>
      </c>
      <c r="C44">
        <v>100005001</v>
      </c>
      <c r="D44" t="s">
        <v>65</v>
      </c>
      <c r="E44" t="s">
        <v>21</v>
      </c>
      <c r="F44" s="15">
        <v>40000</v>
      </c>
      <c r="H44" s="259" t="s">
        <v>101</v>
      </c>
      <c r="I44" s="260">
        <v>462000</v>
      </c>
      <c r="J44" s="260">
        <v>522000</v>
      </c>
      <c r="K44" s="260">
        <v>527806.45161290327</v>
      </c>
      <c r="L44" s="260">
        <v>594400</v>
      </c>
      <c r="M44" s="260">
        <v>582387.09677419357</v>
      </c>
      <c r="N44" s="260">
        <v>623600</v>
      </c>
      <c r="O44" s="260">
        <v>694258.06451612909</v>
      </c>
      <c r="P44" s="260">
        <v>691935.48387096787</v>
      </c>
      <c r="Q44" s="260">
        <v>803600</v>
      </c>
      <c r="R44" s="260">
        <v>833612.90322580654</v>
      </c>
      <c r="S44" s="260">
        <v>858000</v>
      </c>
      <c r="T44" s="260">
        <v>904451.61290322593</v>
      </c>
      <c r="U44" s="260">
        <v>8098051.6129032252</v>
      </c>
    </row>
    <row r="45" spans="1:21">
      <c r="A45" s="19">
        <v>46086</v>
      </c>
      <c r="B45" t="s">
        <v>100</v>
      </c>
      <c r="C45">
        <v>100005002</v>
      </c>
      <c r="D45" t="s">
        <v>66</v>
      </c>
      <c r="E45" t="s">
        <v>21</v>
      </c>
      <c r="F45" s="15">
        <v>24000</v>
      </c>
      <c r="H45" s="295" t="s">
        <v>83</v>
      </c>
      <c r="I45" s="260">
        <v>24000</v>
      </c>
      <c r="J45" s="260">
        <v>24000</v>
      </c>
      <c r="K45" s="260">
        <v>13161.290322580646</v>
      </c>
      <c r="L45" s="260">
        <v>24000</v>
      </c>
      <c r="M45" s="260">
        <v>24000</v>
      </c>
      <c r="N45" s="260">
        <v>24000</v>
      </c>
      <c r="O45" s="260">
        <v>24000</v>
      </c>
      <c r="P45" s="260">
        <v>13161.290322580646</v>
      </c>
      <c r="Q45" s="260">
        <v>24000</v>
      </c>
      <c r="R45" s="260">
        <v>24000</v>
      </c>
      <c r="S45" s="260">
        <v>24000</v>
      </c>
      <c r="T45" s="260">
        <v>24000</v>
      </c>
      <c r="U45" s="260">
        <v>266322.58064516127</v>
      </c>
    </row>
    <row r="46" spans="1:21">
      <c r="A46" s="19">
        <v>46086</v>
      </c>
      <c r="B46" t="s">
        <v>100</v>
      </c>
      <c r="C46">
        <v>100005003</v>
      </c>
      <c r="D46" t="s">
        <v>67</v>
      </c>
      <c r="E46" t="s">
        <v>21</v>
      </c>
      <c r="F46" s="15">
        <v>24000</v>
      </c>
      <c r="H46" s="296" t="s">
        <v>71</v>
      </c>
      <c r="I46" s="260">
        <v>24000</v>
      </c>
      <c r="J46" s="260">
        <v>24000</v>
      </c>
      <c r="K46" s="260">
        <v>13161.290322580646</v>
      </c>
      <c r="L46" s="260">
        <v>24000</v>
      </c>
      <c r="M46" s="260">
        <v>24000</v>
      </c>
      <c r="N46" s="260">
        <v>24000</v>
      </c>
      <c r="O46" s="260">
        <v>24000</v>
      </c>
      <c r="P46" s="260">
        <v>13161.290322580646</v>
      </c>
      <c r="Q46" s="260">
        <v>24000</v>
      </c>
      <c r="R46" s="260">
        <v>24000</v>
      </c>
      <c r="S46" s="260">
        <v>24000</v>
      </c>
      <c r="T46" s="260">
        <v>24000</v>
      </c>
      <c r="U46" s="260">
        <v>266322.58064516127</v>
      </c>
    </row>
    <row r="47" spans="1:21">
      <c r="A47" s="19">
        <v>46086</v>
      </c>
      <c r="B47" t="s">
        <v>100</v>
      </c>
      <c r="C47">
        <v>100005004</v>
      </c>
      <c r="D47" t="s">
        <v>68</v>
      </c>
      <c r="E47" t="s">
        <v>21</v>
      </c>
      <c r="F47" s="15">
        <v>53677.419354838712</v>
      </c>
      <c r="H47" s="295" t="s">
        <v>21</v>
      </c>
      <c r="I47" s="260">
        <v>228000</v>
      </c>
      <c r="J47" s="260">
        <v>228000</v>
      </c>
      <c r="K47" s="260">
        <v>206322.58064516127</v>
      </c>
      <c r="L47" s="260">
        <v>228000</v>
      </c>
      <c r="M47" s="260">
        <v>195483.87096774194</v>
      </c>
      <c r="N47" s="260">
        <v>177600</v>
      </c>
      <c r="O47" s="260">
        <v>206322.5806451613</v>
      </c>
      <c r="P47" s="260">
        <v>211741.93548387097</v>
      </c>
      <c r="Q47" s="260">
        <v>177600</v>
      </c>
      <c r="R47" s="260">
        <v>228000</v>
      </c>
      <c r="S47" s="260">
        <v>228000</v>
      </c>
      <c r="T47" s="260">
        <v>211741.93548387097</v>
      </c>
      <c r="U47" s="260">
        <v>2526812.9032258065</v>
      </c>
    </row>
    <row r="48" spans="1:21">
      <c r="A48" s="19">
        <v>46086</v>
      </c>
      <c r="B48" t="s">
        <v>100</v>
      </c>
      <c r="C48">
        <v>100005005</v>
      </c>
      <c r="D48" t="s">
        <v>69</v>
      </c>
      <c r="E48" t="s">
        <v>21</v>
      </c>
      <c r="F48" s="15">
        <v>32000</v>
      </c>
      <c r="H48" s="296" t="s">
        <v>67</v>
      </c>
      <c r="I48" s="260">
        <v>36000</v>
      </c>
      <c r="J48" s="260">
        <v>36000</v>
      </c>
      <c r="K48" s="260">
        <v>36000</v>
      </c>
      <c r="L48" s="260">
        <v>36000</v>
      </c>
      <c r="M48" s="260">
        <v>19741.935483870966</v>
      </c>
      <c r="N48" s="260">
        <v>36000</v>
      </c>
      <c r="O48" s="260">
        <v>36000</v>
      </c>
      <c r="P48" s="260">
        <v>19741.935483870966</v>
      </c>
      <c r="Q48" s="260">
        <v>36000</v>
      </c>
      <c r="R48" s="260">
        <v>36000</v>
      </c>
      <c r="S48" s="260">
        <v>36000</v>
      </c>
      <c r="T48" s="260">
        <v>36000</v>
      </c>
      <c r="U48" s="260">
        <v>399483.87096774194</v>
      </c>
    </row>
    <row r="49" spans="1:21">
      <c r="A49" s="19">
        <v>46086</v>
      </c>
      <c r="B49" t="s">
        <v>100</v>
      </c>
      <c r="C49">
        <v>100005006</v>
      </c>
      <c r="D49" t="s">
        <v>65</v>
      </c>
      <c r="E49" t="s">
        <v>22</v>
      </c>
      <c r="F49" s="15">
        <v>40000</v>
      </c>
      <c r="H49" s="296" t="s">
        <v>68</v>
      </c>
      <c r="I49" s="260">
        <v>48000</v>
      </c>
      <c r="J49" s="260">
        <v>48000</v>
      </c>
      <c r="K49" s="260">
        <v>26322.580645161292</v>
      </c>
      <c r="L49" s="260">
        <v>48000</v>
      </c>
      <c r="M49" s="260">
        <v>48000</v>
      </c>
      <c r="N49" s="260">
        <v>25599.999999999996</v>
      </c>
      <c r="O49" s="260">
        <v>48000</v>
      </c>
      <c r="P49" s="260">
        <v>48000</v>
      </c>
      <c r="Q49" s="260">
        <v>48000</v>
      </c>
      <c r="R49" s="260">
        <v>48000</v>
      </c>
      <c r="S49" s="260">
        <v>48000</v>
      </c>
      <c r="T49" s="260">
        <v>48000</v>
      </c>
      <c r="U49" s="260">
        <v>531922.58064516122</v>
      </c>
    </row>
    <row r="50" spans="1:21">
      <c r="A50" s="19">
        <v>46086</v>
      </c>
      <c r="B50" t="s">
        <v>100</v>
      </c>
      <c r="C50">
        <v>100005009</v>
      </c>
      <c r="D50" t="s">
        <v>70</v>
      </c>
      <c r="E50" t="s">
        <v>22</v>
      </c>
      <c r="F50" s="15">
        <v>40000</v>
      </c>
      <c r="H50" s="296" t="s">
        <v>66</v>
      </c>
      <c r="I50" s="260">
        <v>36000</v>
      </c>
      <c r="J50" s="260">
        <v>36000</v>
      </c>
      <c r="K50" s="260">
        <v>36000</v>
      </c>
      <c r="L50" s="260">
        <v>36000</v>
      </c>
      <c r="M50" s="260">
        <v>19741.935483870966</v>
      </c>
      <c r="N50" s="260">
        <v>36000</v>
      </c>
      <c r="O50" s="260">
        <v>36000</v>
      </c>
      <c r="P50" s="260">
        <v>36000</v>
      </c>
      <c r="Q50" s="260">
        <v>36000</v>
      </c>
      <c r="R50" s="260">
        <v>36000</v>
      </c>
      <c r="S50" s="260">
        <v>36000</v>
      </c>
      <c r="T50" s="260">
        <v>19741.935483870966</v>
      </c>
      <c r="U50" s="260">
        <v>399483.87096774194</v>
      </c>
    </row>
    <row r="51" spans="1:21">
      <c r="A51" s="19">
        <v>46086</v>
      </c>
      <c r="B51" t="s">
        <v>100</v>
      </c>
      <c r="C51">
        <v>100005010</v>
      </c>
      <c r="D51" t="s">
        <v>70</v>
      </c>
      <c r="E51" t="s">
        <v>22</v>
      </c>
      <c r="F51" s="15">
        <v>40000</v>
      </c>
      <c r="H51" s="296" t="s">
        <v>65</v>
      </c>
      <c r="I51" s="260">
        <v>60000</v>
      </c>
      <c r="J51" s="260">
        <v>60000</v>
      </c>
      <c r="K51" s="260">
        <v>60000</v>
      </c>
      <c r="L51" s="260">
        <v>60000</v>
      </c>
      <c r="M51" s="260">
        <v>60000</v>
      </c>
      <c r="N51" s="260">
        <v>32000</v>
      </c>
      <c r="O51" s="260">
        <v>60000</v>
      </c>
      <c r="P51" s="260">
        <v>60000</v>
      </c>
      <c r="Q51" s="260">
        <v>32000</v>
      </c>
      <c r="R51" s="260">
        <v>60000</v>
      </c>
      <c r="S51" s="260">
        <v>60000</v>
      </c>
      <c r="T51" s="260">
        <v>60000</v>
      </c>
      <c r="U51" s="260">
        <v>664000</v>
      </c>
    </row>
    <row r="52" spans="1:21">
      <c r="A52" s="19">
        <v>46086</v>
      </c>
      <c r="B52" t="s">
        <v>100</v>
      </c>
      <c r="C52">
        <v>100005011</v>
      </c>
      <c r="D52" t="s">
        <v>70</v>
      </c>
      <c r="E52" t="s">
        <v>22</v>
      </c>
      <c r="F52" s="15">
        <v>40000</v>
      </c>
      <c r="H52" s="296" t="s">
        <v>69</v>
      </c>
      <c r="I52" s="260">
        <v>48000</v>
      </c>
      <c r="J52" s="260">
        <v>48000</v>
      </c>
      <c r="K52" s="260">
        <v>48000</v>
      </c>
      <c r="L52" s="260">
        <v>48000</v>
      </c>
      <c r="M52" s="260">
        <v>48000</v>
      </c>
      <c r="N52" s="260">
        <v>48000</v>
      </c>
      <c r="O52" s="260">
        <v>26322.580645161292</v>
      </c>
      <c r="P52" s="260">
        <v>48000</v>
      </c>
      <c r="Q52" s="260">
        <v>25599.999999999996</v>
      </c>
      <c r="R52" s="260">
        <v>48000</v>
      </c>
      <c r="S52" s="260">
        <v>48000</v>
      </c>
      <c r="T52" s="260">
        <v>48000</v>
      </c>
      <c r="U52" s="260">
        <v>531922.58064516122</v>
      </c>
    </row>
    <row r="53" spans="1:21">
      <c r="A53" s="19">
        <v>46086</v>
      </c>
      <c r="B53" t="s">
        <v>100</v>
      </c>
      <c r="C53">
        <v>100005007</v>
      </c>
      <c r="D53" t="s">
        <v>67</v>
      </c>
      <c r="E53" t="s">
        <v>22</v>
      </c>
      <c r="F53" s="15">
        <v>28000</v>
      </c>
      <c r="H53" s="295" t="s">
        <v>22</v>
      </c>
      <c r="I53" s="260">
        <v>210000</v>
      </c>
      <c r="J53" s="260">
        <v>270000</v>
      </c>
      <c r="K53" s="260">
        <v>308322.58064516127</v>
      </c>
      <c r="L53" s="260">
        <v>342400</v>
      </c>
      <c r="M53" s="260">
        <v>362903.22580645164</v>
      </c>
      <c r="N53" s="260">
        <v>422000</v>
      </c>
      <c r="O53" s="260">
        <v>463935.48387096776</v>
      </c>
      <c r="P53" s="260">
        <v>467032.25806451612</v>
      </c>
      <c r="Q53" s="260">
        <v>602000</v>
      </c>
      <c r="R53" s="260">
        <v>581612.90322580643</v>
      </c>
      <c r="S53" s="260">
        <v>606000</v>
      </c>
      <c r="T53" s="260">
        <v>668709.67741935491</v>
      </c>
      <c r="U53" s="260">
        <v>5304916.129032257</v>
      </c>
    </row>
    <row r="54" spans="1:21">
      <c r="A54" s="19">
        <v>46086</v>
      </c>
      <c r="B54" t="s">
        <v>100</v>
      </c>
      <c r="C54">
        <v>100005008</v>
      </c>
      <c r="D54" t="s">
        <v>69</v>
      </c>
      <c r="E54" t="s">
        <v>22</v>
      </c>
      <c r="F54" s="15">
        <v>53677.419354838712</v>
      </c>
      <c r="H54" s="296" t="s">
        <v>67</v>
      </c>
      <c r="I54" s="260">
        <v>42000</v>
      </c>
      <c r="J54" s="260">
        <v>42000</v>
      </c>
      <c r="K54" s="260">
        <v>42000</v>
      </c>
      <c r="L54" s="260">
        <v>22399.999999999996</v>
      </c>
      <c r="M54" s="260">
        <v>42000</v>
      </c>
      <c r="N54" s="260">
        <v>42000</v>
      </c>
      <c r="O54" s="260">
        <v>23032.258064516125</v>
      </c>
      <c r="P54" s="260">
        <v>42000</v>
      </c>
      <c r="Q54" s="260">
        <v>42000</v>
      </c>
      <c r="R54" s="260">
        <v>42000</v>
      </c>
      <c r="S54" s="260">
        <v>42000</v>
      </c>
      <c r="T54" s="260">
        <v>42000</v>
      </c>
      <c r="U54" s="260">
        <v>465432.25806451612</v>
      </c>
    </row>
    <row r="55" spans="1:21">
      <c r="A55" s="19">
        <v>46086</v>
      </c>
      <c r="B55" t="s">
        <v>100</v>
      </c>
      <c r="C55">
        <v>100005000</v>
      </c>
      <c r="D55" t="s">
        <v>71</v>
      </c>
      <c r="E55" t="s">
        <v>83</v>
      </c>
      <c r="F55" s="15">
        <v>26838.709677419356</v>
      </c>
      <c r="H55" s="296" t="s">
        <v>70</v>
      </c>
      <c r="I55" s="260">
        <v>60000</v>
      </c>
      <c r="J55" s="260">
        <v>120000</v>
      </c>
      <c r="K55" s="260">
        <v>180000</v>
      </c>
      <c r="L55" s="260">
        <v>212000</v>
      </c>
      <c r="M55" s="260">
        <v>212903.22580645161</v>
      </c>
      <c r="N55" s="260">
        <v>272000</v>
      </c>
      <c r="O55" s="260">
        <v>332903.22580645164</v>
      </c>
      <c r="P55" s="260">
        <v>365806.45161290321</v>
      </c>
      <c r="Q55" s="260">
        <v>452000</v>
      </c>
      <c r="R55" s="260">
        <v>458709.67741935485</v>
      </c>
      <c r="S55" s="260">
        <v>456000</v>
      </c>
      <c r="T55" s="260">
        <v>518709.67741935491</v>
      </c>
      <c r="U55" s="260">
        <v>3641032.2580645159</v>
      </c>
    </row>
    <row r="56" spans="1:21">
      <c r="A56" s="19">
        <v>46101</v>
      </c>
      <c r="B56" t="s">
        <v>101</v>
      </c>
      <c r="C56">
        <v>100005001</v>
      </c>
      <c r="D56" t="s">
        <v>65</v>
      </c>
      <c r="E56" t="s">
        <v>21</v>
      </c>
      <c r="F56" s="15">
        <v>60000</v>
      </c>
      <c r="H56" s="296" t="s">
        <v>65</v>
      </c>
      <c r="I56" s="260">
        <v>60000</v>
      </c>
      <c r="J56" s="260">
        <v>60000</v>
      </c>
      <c r="K56" s="260">
        <v>60000</v>
      </c>
      <c r="L56" s="260">
        <v>60000</v>
      </c>
      <c r="M56" s="260">
        <v>60000</v>
      </c>
      <c r="N56" s="260">
        <v>60000</v>
      </c>
      <c r="O56" s="260">
        <v>60000</v>
      </c>
      <c r="P56" s="260">
        <v>32903.225806451614</v>
      </c>
      <c r="Q56" s="260">
        <v>60000</v>
      </c>
      <c r="R56" s="260">
        <v>32903.225806451614</v>
      </c>
      <c r="S56" s="260">
        <v>60000</v>
      </c>
      <c r="T56" s="260">
        <v>60000</v>
      </c>
      <c r="U56" s="260">
        <v>665806.45161290327</v>
      </c>
    </row>
    <row r="57" spans="1:21">
      <c r="A57" s="19">
        <v>46101</v>
      </c>
      <c r="B57" t="s">
        <v>101</v>
      </c>
      <c r="C57">
        <v>100005002</v>
      </c>
      <c r="D57" t="s">
        <v>66</v>
      </c>
      <c r="E57" t="s">
        <v>21</v>
      </c>
      <c r="F57" s="15">
        <v>36000</v>
      </c>
      <c r="H57" s="296" t="s">
        <v>69</v>
      </c>
      <c r="I57" s="260">
        <v>48000</v>
      </c>
      <c r="J57" s="260">
        <v>48000</v>
      </c>
      <c r="K57" s="260">
        <v>26322.580645161292</v>
      </c>
      <c r="L57" s="260">
        <v>48000</v>
      </c>
      <c r="M57" s="260">
        <v>48000</v>
      </c>
      <c r="N57" s="260">
        <v>48000</v>
      </c>
      <c r="O57" s="260">
        <v>48000</v>
      </c>
      <c r="P57" s="260">
        <v>26322.580645161292</v>
      </c>
      <c r="Q57" s="260">
        <v>48000</v>
      </c>
      <c r="R57" s="260">
        <v>48000</v>
      </c>
      <c r="S57" s="260">
        <v>48000</v>
      </c>
      <c r="T57" s="260">
        <v>48000</v>
      </c>
      <c r="U57" s="260">
        <v>532645.16129032255</v>
      </c>
    </row>
    <row r="58" spans="1:21">
      <c r="A58" s="19">
        <v>46101</v>
      </c>
      <c r="B58" t="s">
        <v>101</v>
      </c>
      <c r="C58">
        <v>100005003</v>
      </c>
      <c r="D58" t="s">
        <v>67</v>
      </c>
      <c r="E58" t="s">
        <v>21</v>
      </c>
      <c r="F58" s="15">
        <v>36000</v>
      </c>
      <c r="H58" s="259" t="s">
        <v>104</v>
      </c>
      <c r="I58" s="260">
        <v>34000</v>
      </c>
      <c r="J58" s="260">
        <v>44000</v>
      </c>
      <c r="K58" s="260">
        <v>48000</v>
      </c>
      <c r="L58" s="260">
        <v>54600</v>
      </c>
      <c r="M58" s="260">
        <v>52000</v>
      </c>
      <c r="N58" s="260">
        <v>53200</v>
      </c>
      <c r="O58" s="260">
        <v>69000</v>
      </c>
      <c r="P58" s="260">
        <v>70400</v>
      </c>
      <c r="Q58" s="260">
        <v>71400</v>
      </c>
      <c r="R58" s="260">
        <v>82800</v>
      </c>
      <c r="S58" s="260">
        <v>75600</v>
      </c>
      <c r="T58" s="260">
        <v>79800</v>
      </c>
      <c r="U58" s="260">
        <v>734800</v>
      </c>
    </row>
    <row r="59" spans="1:21">
      <c r="A59" s="19">
        <v>46101</v>
      </c>
      <c r="B59" t="s">
        <v>101</v>
      </c>
      <c r="C59">
        <v>100005004</v>
      </c>
      <c r="D59" t="s">
        <v>68</v>
      </c>
      <c r="E59" t="s">
        <v>21</v>
      </c>
      <c r="F59" s="15">
        <v>26322.580645161292</v>
      </c>
      <c r="H59" s="295" t="s">
        <v>83</v>
      </c>
      <c r="I59" s="260">
        <v>3400</v>
      </c>
      <c r="J59" s="260">
        <v>4000</v>
      </c>
      <c r="K59" s="260">
        <v>4000</v>
      </c>
      <c r="L59" s="260">
        <v>4200</v>
      </c>
      <c r="M59" s="260">
        <v>4000</v>
      </c>
      <c r="N59" s="260">
        <v>3800</v>
      </c>
      <c r="O59" s="260">
        <v>4600</v>
      </c>
      <c r="P59" s="260">
        <v>4400</v>
      </c>
      <c r="Q59" s="260">
        <v>4200</v>
      </c>
      <c r="R59" s="260">
        <v>4600</v>
      </c>
      <c r="S59" s="260">
        <v>4200</v>
      </c>
      <c r="T59" s="260">
        <v>4200</v>
      </c>
      <c r="U59" s="260">
        <v>49600</v>
      </c>
    </row>
    <row r="60" spans="1:21">
      <c r="A60" s="19">
        <v>46101</v>
      </c>
      <c r="B60" t="s">
        <v>101</v>
      </c>
      <c r="C60">
        <v>100005005</v>
      </c>
      <c r="D60" t="s">
        <v>69</v>
      </c>
      <c r="E60" t="s">
        <v>21</v>
      </c>
      <c r="F60" s="15">
        <v>48000</v>
      </c>
      <c r="H60" s="296" t="s">
        <v>71</v>
      </c>
      <c r="I60" s="260">
        <v>3400</v>
      </c>
      <c r="J60" s="260">
        <v>4000</v>
      </c>
      <c r="K60" s="260">
        <v>4000</v>
      </c>
      <c r="L60" s="260">
        <v>4200</v>
      </c>
      <c r="M60" s="260">
        <v>4000</v>
      </c>
      <c r="N60" s="260">
        <v>3800</v>
      </c>
      <c r="O60" s="260">
        <v>4600</v>
      </c>
      <c r="P60" s="260">
        <v>4400</v>
      </c>
      <c r="Q60" s="260">
        <v>4200</v>
      </c>
      <c r="R60" s="260">
        <v>4600</v>
      </c>
      <c r="S60" s="260">
        <v>4200</v>
      </c>
      <c r="T60" s="260">
        <v>4200</v>
      </c>
      <c r="U60" s="260">
        <v>49600</v>
      </c>
    </row>
    <row r="61" spans="1:21">
      <c r="A61" s="19">
        <v>46101</v>
      </c>
      <c r="B61" t="s">
        <v>101</v>
      </c>
      <c r="C61">
        <v>100005006</v>
      </c>
      <c r="D61" t="s">
        <v>65</v>
      </c>
      <c r="E61" t="s">
        <v>22</v>
      </c>
      <c r="F61" s="15">
        <v>60000</v>
      </c>
      <c r="H61" s="295" t="s">
        <v>21</v>
      </c>
      <c r="I61" s="260">
        <v>17000</v>
      </c>
      <c r="J61" s="260">
        <v>20000</v>
      </c>
      <c r="K61" s="260">
        <v>20000</v>
      </c>
      <c r="L61" s="260">
        <v>21000</v>
      </c>
      <c r="M61" s="260">
        <v>20000</v>
      </c>
      <c r="N61" s="260">
        <v>19000</v>
      </c>
      <c r="O61" s="260">
        <v>23000</v>
      </c>
      <c r="P61" s="260">
        <v>22000</v>
      </c>
      <c r="Q61" s="260">
        <v>21000</v>
      </c>
      <c r="R61" s="260">
        <v>23000</v>
      </c>
      <c r="S61" s="260">
        <v>21000</v>
      </c>
      <c r="T61" s="260">
        <v>21000</v>
      </c>
      <c r="U61" s="260">
        <v>248000</v>
      </c>
    </row>
    <row r="62" spans="1:21">
      <c r="A62" s="19">
        <v>46101</v>
      </c>
      <c r="B62" t="s">
        <v>101</v>
      </c>
      <c r="C62">
        <v>100005009</v>
      </c>
      <c r="D62" t="s">
        <v>70</v>
      </c>
      <c r="E62" t="s">
        <v>22</v>
      </c>
      <c r="F62" s="15">
        <v>60000</v>
      </c>
      <c r="H62" s="296" t="s">
        <v>67</v>
      </c>
      <c r="I62" s="260">
        <v>3400</v>
      </c>
      <c r="J62" s="260">
        <v>4000</v>
      </c>
      <c r="K62" s="260">
        <v>4000</v>
      </c>
      <c r="L62" s="260">
        <v>4200</v>
      </c>
      <c r="M62" s="260">
        <v>4000</v>
      </c>
      <c r="N62" s="260">
        <v>3800</v>
      </c>
      <c r="O62" s="260">
        <v>4600</v>
      </c>
      <c r="P62" s="260">
        <v>4400</v>
      </c>
      <c r="Q62" s="260">
        <v>4200</v>
      </c>
      <c r="R62" s="260">
        <v>4600</v>
      </c>
      <c r="S62" s="260">
        <v>4200</v>
      </c>
      <c r="T62" s="260">
        <v>4200</v>
      </c>
      <c r="U62" s="260">
        <v>49600</v>
      </c>
    </row>
    <row r="63" spans="1:21">
      <c r="A63" s="19">
        <v>46101</v>
      </c>
      <c r="B63" t="s">
        <v>101</v>
      </c>
      <c r="C63">
        <v>100005010</v>
      </c>
      <c r="D63" t="s">
        <v>70</v>
      </c>
      <c r="E63" t="s">
        <v>22</v>
      </c>
      <c r="F63" s="15">
        <v>60000</v>
      </c>
      <c r="H63" s="296" t="s">
        <v>68</v>
      </c>
      <c r="I63" s="260">
        <v>3400</v>
      </c>
      <c r="J63" s="260">
        <v>4000</v>
      </c>
      <c r="K63" s="260">
        <v>4000</v>
      </c>
      <c r="L63" s="260">
        <v>4200</v>
      </c>
      <c r="M63" s="260">
        <v>4000</v>
      </c>
      <c r="N63" s="260">
        <v>3800</v>
      </c>
      <c r="O63" s="260">
        <v>4600</v>
      </c>
      <c r="P63" s="260">
        <v>4400</v>
      </c>
      <c r="Q63" s="260">
        <v>4200</v>
      </c>
      <c r="R63" s="260">
        <v>4600</v>
      </c>
      <c r="S63" s="260">
        <v>4200</v>
      </c>
      <c r="T63" s="260">
        <v>4200</v>
      </c>
      <c r="U63" s="260">
        <v>49600</v>
      </c>
    </row>
    <row r="64" spans="1:21">
      <c r="A64" s="19">
        <v>46101</v>
      </c>
      <c r="B64" t="s">
        <v>101</v>
      </c>
      <c r="C64">
        <v>100005011</v>
      </c>
      <c r="D64" t="s">
        <v>70</v>
      </c>
      <c r="E64" t="s">
        <v>22</v>
      </c>
      <c r="F64" s="15">
        <v>60000</v>
      </c>
      <c r="H64" s="296" t="s">
        <v>66</v>
      </c>
      <c r="I64" s="260">
        <v>3400</v>
      </c>
      <c r="J64" s="260">
        <v>4000</v>
      </c>
      <c r="K64" s="260">
        <v>4000</v>
      </c>
      <c r="L64" s="260">
        <v>4200</v>
      </c>
      <c r="M64" s="260">
        <v>4000</v>
      </c>
      <c r="N64" s="260">
        <v>3800</v>
      </c>
      <c r="O64" s="260">
        <v>4600</v>
      </c>
      <c r="P64" s="260">
        <v>4400</v>
      </c>
      <c r="Q64" s="260">
        <v>4200</v>
      </c>
      <c r="R64" s="260">
        <v>4600</v>
      </c>
      <c r="S64" s="260">
        <v>4200</v>
      </c>
      <c r="T64" s="260">
        <v>4200</v>
      </c>
      <c r="U64" s="260">
        <v>49600</v>
      </c>
    </row>
    <row r="65" spans="1:21">
      <c r="A65" s="19">
        <v>46101</v>
      </c>
      <c r="B65" t="s">
        <v>101</v>
      </c>
      <c r="C65">
        <v>100005007</v>
      </c>
      <c r="D65" t="s">
        <v>67</v>
      </c>
      <c r="E65" t="s">
        <v>22</v>
      </c>
      <c r="F65" s="15">
        <v>42000</v>
      </c>
      <c r="H65" s="296" t="s">
        <v>65</v>
      </c>
      <c r="I65" s="260">
        <v>3400</v>
      </c>
      <c r="J65" s="260">
        <v>4000</v>
      </c>
      <c r="K65" s="260">
        <v>4000</v>
      </c>
      <c r="L65" s="260">
        <v>4200</v>
      </c>
      <c r="M65" s="260">
        <v>4000</v>
      </c>
      <c r="N65" s="260">
        <v>3800</v>
      </c>
      <c r="O65" s="260">
        <v>4600</v>
      </c>
      <c r="P65" s="260">
        <v>4400</v>
      </c>
      <c r="Q65" s="260">
        <v>4200</v>
      </c>
      <c r="R65" s="260">
        <v>4600</v>
      </c>
      <c r="S65" s="260">
        <v>4200</v>
      </c>
      <c r="T65" s="260">
        <v>4200</v>
      </c>
      <c r="U65" s="260">
        <v>49600</v>
      </c>
    </row>
    <row r="66" spans="1:21">
      <c r="A66" s="19">
        <v>46101</v>
      </c>
      <c r="B66" t="s">
        <v>101</v>
      </c>
      <c r="C66">
        <v>100005008</v>
      </c>
      <c r="D66" t="s">
        <v>69</v>
      </c>
      <c r="E66" t="s">
        <v>22</v>
      </c>
      <c r="F66" s="15">
        <v>26322.580645161292</v>
      </c>
      <c r="H66" s="296" t="s">
        <v>69</v>
      </c>
      <c r="I66" s="260">
        <v>3400</v>
      </c>
      <c r="J66" s="260">
        <v>4000</v>
      </c>
      <c r="K66" s="260">
        <v>4000</v>
      </c>
      <c r="L66" s="260">
        <v>4200</v>
      </c>
      <c r="M66" s="260">
        <v>4000</v>
      </c>
      <c r="N66" s="260">
        <v>3800</v>
      </c>
      <c r="O66" s="260">
        <v>4600</v>
      </c>
      <c r="P66" s="260">
        <v>4400</v>
      </c>
      <c r="Q66" s="260">
        <v>4200</v>
      </c>
      <c r="R66" s="260">
        <v>4600</v>
      </c>
      <c r="S66" s="260">
        <v>4200</v>
      </c>
      <c r="T66" s="260">
        <v>4200</v>
      </c>
      <c r="U66" s="260">
        <v>49600</v>
      </c>
    </row>
    <row r="67" spans="1:21">
      <c r="A67" s="19">
        <v>46101</v>
      </c>
      <c r="B67" t="s">
        <v>101</v>
      </c>
      <c r="C67">
        <v>100005000</v>
      </c>
      <c r="D67" t="s">
        <v>71</v>
      </c>
      <c r="E67" t="s">
        <v>83</v>
      </c>
      <c r="F67" s="15">
        <v>13161.290322580646</v>
      </c>
      <c r="H67" s="295" t="s">
        <v>22</v>
      </c>
      <c r="I67" s="260">
        <v>13600</v>
      </c>
      <c r="J67" s="260">
        <v>20000</v>
      </c>
      <c r="K67" s="260">
        <v>24000</v>
      </c>
      <c r="L67" s="260">
        <v>29400</v>
      </c>
      <c r="M67" s="260">
        <v>28000</v>
      </c>
      <c r="N67" s="260">
        <v>30400</v>
      </c>
      <c r="O67" s="260">
        <v>41400</v>
      </c>
      <c r="P67" s="260">
        <v>44000</v>
      </c>
      <c r="Q67" s="260">
        <v>46200</v>
      </c>
      <c r="R67" s="260">
        <v>55200</v>
      </c>
      <c r="S67" s="260">
        <v>50400</v>
      </c>
      <c r="T67" s="260">
        <v>54600</v>
      </c>
      <c r="U67" s="260">
        <v>437200</v>
      </c>
    </row>
    <row r="68" spans="1:21">
      <c r="A68" s="19">
        <v>46117</v>
      </c>
      <c r="B68" t="s">
        <v>100</v>
      </c>
      <c r="C68">
        <v>100005001</v>
      </c>
      <c r="D68" t="s">
        <v>65</v>
      </c>
      <c r="E68" t="s">
        <v>21</v>
      </c>
      <c r="F68" s="15">
        <v>40000</v>
      </c>
      <c r="H68" s="296" t="s">
        <v>67</v>
      </c>
      <c r="I68" s="260">
        <v>3400</v>
      </c>
      <c r="J68" s="260">
        <v>4000</v>
      </c>
      <c r="K68" s="260">
        <v>4000</v>
      </c>
      <c r="L68" s="260">
        <v>4200</v>
      </c>
      <c r="M68" s="260">
        <v>4000</v>
      </c>
      <c r="N68" s="260">
        <v>3800</v>
      </c>
      <c r="O68" s="260">
        <v>4600</v>
      </c>
      <c r="P68" s="260">
        <v>4400</v>
      </c>
      <c r="Q68" s="260">
        <v>4200</v>
      </c>
      <c r="R68" s="260">
        <v>4600</v>
      </c>
      <c r="S68" s="260">
        <v>4200</v>
      </c>
      <c r="T68" s="260">
        <v>4200</v>
      </c>
      <c r="U68" s="260">
        <v>49600</v>
      </c>
    </row>
    <row r="69" spans="1:21">
      <c r="A69" s="19">
        <v>46117</v>
      </c>
      <c r="B69" t="s">
        <v>100</v>
      </c>
      <c r="C69">
        <v>100005002</v>
      </c>
      <c r="D69" t="s">
        <v>66</v>
      </c>
      <c r="E69" t="s">
        <v>21</v>
      </c>
      <c r="F69" s="15">
        <v>24000</v>
      </c>
      <c r="H69" s="296" t="s">
        <v>70</v>
      </c>
      <c r="I69" s="260">
        <v>3400</v>
      </c>
      <c r="J69" s="260">
        <v>8000</v>
      </c>
      <c r="K69" s="260">
        <v>12000</v>
      </c>
      <c r="L69" s="260">
        <v>16800</v>
      </c>
      <c r="M69" s="260">
        <v>16000</v>
      </c>
      <c r="N69" s="260">
        <v>19000</v>
      </c>
      <c r="O69" s="260">
        <v>27600</v>
      </c>
      <c r="P69" s="260">
        <v>30800</v>
      </c>
      <c r="Q69" s="260">
        <v>33600</v>
      </c>
      <c r="R69" s="260">
        <v>41400</v>
      </c>
      <c r="S69" s="260">
        <v>37800</v>
      </c>
      <c r="T69" s="260">
        <v>42000</v>
      </c>
      <c r="U69" s="260">
        <v>288400</v>
      </c>
    </row>
    <row r="70" spans="1:21">
      <c r="A70" s="19">
        <v>46117</v>
      </c>
      <c r="B70" t="s">
        <v>100</v>
      </c>
      <c r="C70">
        <v>100005003</v>
      </c>
      <c r="D70" t="s">
        <v>67</v>
      </c>
      <c r="E70" t="s">
        <v>21</v>
      </c>
      <c r="F70" s="15">
        <v>24000</v>
      </c>
      <c r="H70" s="296" t="s">
        <v>65</v>
      </c>
      <c r="I70" s="260">
        <v>3400</v>
      </c>
      <c r="J70" s="260">
        <v>4000</v>
      </c>
      <c r="K70" s="260">
        <v>4000</v>
      </c>
      <c r="L70" s="260">
        <v>4200</v>
      </c>
      <c r="M70" s="260">
        <v>4000</v>
      </c>
      <c r="N70" s="260">
        <v>3800</v>
      </c>
      <c r="O70" s="260">
        <v>4600</v>
      </c>
      <c r="P70" s="260">
        <v>4400</v>
      </c>
      <c r="Q70" s="260">
        <v>4200</v>
      </c>
      <c r="R70" s="260">
        <v>4600</v>
      </c>
      <c r="S70" s="260">
        <v>4200</v>
      </c>
      <c r="T70" s="260">
        <v>4200</v>
      </c>
      <c r="U70" s="260">
        <v>49600</v>
      </c>
    </row>
    <row r="71" spans="1:21">
      <c r="A71" s="19">
        <v>46117</v>
      </c>
      <c r="B71" t="s">
        <v>100</v>
      </c>
      <c r="C71">
        <v>100005004</v>
      </c>
      <c r="D71" t="s">
        <v>68</v>
      </c>
      <c r="E71" t="s">
        <v>21</v>
      </c>
      <c r="F71" s="15">
        <v>32000</v>
      </c>
      <c r="H71" s="296" t="s">
        <v>69</v>
      </c>
      <c r="I71" s="260">
        <v>3400</v>
      </c>
      <c r="J71" s="260">
        <v>4000</v>
      </c>
      <c r="K71" s="260">
        <v>4000</v>
      </c>
      <c r="L71" s="260">
        <v>4200</v>
      </c>
      <c r="M71" s="260">
        <v>4000</v>
      </c>
      <c r="N71" s="260">
        <v>3800</v>
      </c>
      <c r="O71" s="260">
        <v>4600</v>
      </c>
      <c r="P71" s="260">
        <v>4400</v>
      </c>
      <c r="Q71" s="260">
        <v>4200</v>
      </c>
      <c r="R71" s="260">
        <v>4600</v>
      </c>
      <c r="S71" s="260">
        <v>4200</v>
      </c>
      <c r="T71" s="260">
        <v>4200</v>
      </c>
      <c r="U71" s="260">
        <v>49600</v>
      </c>
    </row>
    <row r="72" spans="1:21">
      <c r="A72" s="19">
        <v>46117</v>
      </c>
      <c r="B72" t="s">
        <v>100</v>
      </c>
      <c r="C72">
        <v>100005005</v>
      </c>
      <c r="D72" t="s">
        <v>69</v>
      </c>
      <c r="E72" t="s">
        <v>21</v>
      </c>
      <c r="F72" s="15">
        <v>32000</v>
      </c>
      <c r="H72" s="259" t="s">
        <v>103</v>
      </c>
      <c r="I72" s="260">
        <v>231000</v>
      </c>
      <c r="J72" s="260">
        <v>261000</v>
      </c>
      <c r="K72" s="260">
        <v>291000</v>
      </c>
      <c r="L72" s="260">
        <v>321000</v>
      </c>
      <c r="M72" s="260">
        <v>321000</v>
      </c>
      <c r="N72" s="260">
        <v>351000</v>
      </c>
      <c r="O72" s="260">
        <v>381000</v>
      </c>
      <c r="P72" s="260">
        <v>411000</v>
      </c>
      <c r="Q72" s="260">
        <v>441000</v>
      </c>
      <c r="R72" s="260">
        <v>471000</v>
      </c>
      <c r="S72" s="260">
        <v>471000</v>
      </c>
      <c r="T72" s="260">
        <v>500999.99999999994</v>
      </c>
      <c r="U72" s="260">
        <v>4452000</v>
      </c>
    </row>
    <row r="73" spans="1:21">
      <c r="A73" s="19">
        <v>46117</v>
      </c>
      <c r="B73" t="s">
        <v>100</v>
      </c>
      <c r="C73">
        <v>100005006</v>
      </c>
      <c r="D73" t="s">
        <v>65</v>
      </c>
      <c r="E73" t="s">
        <v>22</v>
      </c>
      <c r="F73" s="15">
        <v>40000</v>
      </c>
      <c r="H73" s="295" t="s">
        <v>83</v>
      </c>
      <c r="I73" s="260">
        <v>12000</v>
      </c>
      <c r="J73" s="260">
        <v>12000</v>
      </c>
      <c r="K73" s="260">
        <v>12000</v>
      </c>
      <c r="L73" s="260">
        <v>12000</v>
      </c>
      <c r="M73" s="260">
        <v>12000</v>
      </c>
      <c r="N73" s="260">
        <v>12000</v>
      </c>
      <c r="O73" s="260">
        <v>12000</v>
      </c>
      <c r="P73" s="260">
        <v>12000</v>
      </c>
      <c r="Q73" s="260">
        <v>12000</v>
      </c>
      <c r="R73" s="260">
        <v>12000</v>
      </c>
      <c r="S73" s="260">
        <v>12000</v>
      </c>
      <c r="T73" s="260">
        <v>12000</v>
      </c>
      <c r="U73" s="260">
        <v>144000</v>
      </c>
    </row>
    <row r="74" spans="1:21">
      <c r="A74" s="19">
        <v>46117</v>
      </c>
      <c r="B74" t="s">
        <v>100</v>
      </c>
      <c r="C74">
        <v>100005009</v>
      </c>
      <c r="D74" t="s">
        <v>70</v>
      </c>
      <c r="E74" t="s">
        <v>22</v>
      </c>
      <c r="F74" s="15">
        <v>68000</v>
      </c>
      <c r="H74" s="296" t="s">
        <v>71</v>
      </c>
      <c r="I74" s="260">
        <v>12000</v>
      </c>
      <c r="J74" s="260">
        <v>12000</v>
      </c>
      <c r="K74" s="260">
        <v>12000</v>
      </c>
      <c r="L74" s="260">
        <v>12000</v>
      </c>
      <c r="M74" s="260">
        <v>12000</v>
      </c>
      <c r="N74" s="260">
        <v>12000</v>
      </c>
      <c r="O74" s="260">
        <v>12000</v>
      </c>
      <c r="P74" s="260">
        <v>12000</v>
      </c>
      <c r="Q74" s="260">
        <v>12000</v>
      </c>
      <c r="R74" s="260">
        <v>12000</v>
      </c>
      <c r="S74" s="260">
        <v>12000</v>
      </c>
      <c r="T74" s="260">
        <v>12000</v>
      </c>
      <c r="U74" s="260">
        <v>144000</v>
      </c>
    </row>
    <row r="75" spans="1:21">
      <c r="A75" s="19">
        <v>46117</v>
      </c>
      <c r="B75" t="s">
        <v>100</v>
      </c>
      <c r="C75">
        <v>100005010</v>
      </c>
      <c r="D75" t="s">
        <v>70</v>
      </c>
      <c r="E75" t="s">
        <v>22</v>
      </c>
      <c r="F75" s="15">
        <v>40000</v>
      </c>
      <c r="H75" s="295" t="s">
        <v>21</v>
      </c>
      <c r="I75" s="260">
        <v>114000</v>
      </c>
      <c r="J75" s="260">
        <v>114000</v>
      </c>
      <c r="K75" s="260">
        <v>114000</v>
      </c>
      <c r="L75" s="260">
        <v>114000</v>
      </c>
      <c r="M75" s="260">
        <v>114000</v>
      </c>
      <c r="N75" s="260">
        <v>114000</v>
      </c>
      <c r="O75" s="260">
        <v>114000</v>
      </c>
      <c r="P75" s="260">
        <v>114000</v>
      </c>
      <c r="Q75" s="260">
        <v>114000</v>
      </c>
      <c r="R75" s="260">
        <v>114000</v>
      </c>
      <c r="S75" s="260">
        <v>114000</v>
      </c>
      <c r="T75" s="260">
        <v>114000</v>
      </c>
      <c r="U75" s="260">
        <v>1368000</v>
      </c>
    </row>
    <row r="76" spans="1:21">
      <c r="A76" s="19">
        <v>46117</v>
      </c>
      <c r="B76" t="s">
        <v>100</v>
      </c>
      <c r="C76">
        <v>100005011</v>
      </c>
      <c r="D76" t="s">
        <v>70</v>
      </c>
      <c r="E76" t="s">
        <v>22</v>
      </c>
      <c r="F76" s="15">
        <v>40000</v>
      </c>
      <c r="H76" s="296" t="s">
        <v>67</v>
      </c>
      <c r="I76" s="260">
        <v>18000</v>
      </c>
      <c r="J76" s="260">
        <v>18000</v>
      </c>
      <c r="K76" s="260">
        <v>18000</v>
      </c>
      <c r="L76" s="260">
        <v>18000</v>
      </c>
      <c r="M76" s="260">
        <v>18000</v>
      </c>
      <c r="N76" s="260">
        <v>18000</v>
      </c>
      <c r="O76" s="260">
        <v>18000</v>
      </c>
      <c r="P76" s="260">
        <v>18000</v>
      </c>
      <c r="Q76" s="260">
        <v>18000</v>
      </c>
      <c r="R76" s="260">
        <v>18000</v>
      </c>
      <c r="S76" s="260">
        <v>18000</v>
      </c>
      <c r="T76" s="260">
        <v>18000</v>
      </c>
      <c r="U76" s="260">
        <v>216000</v>
      </c>
    </row>
    <row r="77" spans="1:21">
      <c r="A77" s="19">
        <v>46117</v>
      </c>
      <c r="B77" t="s">
        <v>100</v>
      </c>
      <c r="C77">
        <v>100005012</v>
      </c>
      <c r="D77" t="s">
        <v>70</v>
      </c>
      <c r="E77" t="s">
        <v>22</v>
      </c>
      <c r="F77" s="15">
        <v>40000</v>
      </c>
      <c r="H77" s="296" t="s">
        <v>68</v>
      </c>
      <c r="I77" s="260">
        <v>24000</v>
      </c>
      <c r="J77" s="260">
        <v>24000</v>
      </c>
      <c r="K77" s="260">
        <v>24000</v>
      </c>
      <c r="L77" s="260">
        <v>24000</v>
      </c>
      <c r="M77" s="260">
        <v>24000</v>
      </c>
      <c r="N77" s="260">
        <v>24000</v>
      </c>
      <c r="O77" s="260">
        <v>24000</v>
      </c>
      <c r="P77" s="260">
        <v>24000</v>
      </c>
      <c r="Q77" s="260">
        <v>24000</v>
      </c>
      <c r="R77" s="260">
        <v>24000</v>
      </c>
      <c r="S77" s="260">
        <v>24000</v>
      </c>
      <c r="T77" s="260">
        <v>24000</v>
      </c>
      <c r="U77" s="260">
        <v>288000</v>
      </c>
    </row>
    <row r="78" spans="1:21">
      <c r="A78" s="19">
        <v>46117</v>
      </c>
      <c r="B78" t="s">
        <v>100</v>
      </c>
      <c r="C78">
        <v>100005007</v>
      </c>
      <c r="D78" t="s">
        <v>67</v>
      </c>
      <c r="E78" t="s">
        <v>22</v>
      </c>
      <c r="F78" s="15">
        <v>47600</v>
      </c>
      <c r="H78" s="296" t="s">
        <v>66</v>
      </c>
      <c r="I78" s="260">
        <v>18000</v>
      </c>
      <c r="J78" s="260">
        <v>18000</v>
      </c>
      <c r="K78" s="260">
        <v>18000</v>
      </c>
      <c r="L78" s="260">
        <v>18000</v>
      </c>
      <c r="M78" s="260">
        <v>18000</v>
      </c>
      <c r="N78" s="260">
        <v>18000</v>
      </c>
      <c r="O78" s="260">
        <v>18000</v>
      </c>
      <c r="P78" s="260">
        <v>18000</v>
      </c>
      <c r="Q78" s="260">
        <v>18000</v>
      </c>
      <c r="R78" s="260">
        <v>18000</v>
      </c>
      <c r="S78" s="260">
        <v>18000</v>
      </c>
      <c r="T78" s="260">
        <v>18000</v>
      </c>
      <c r="U78" s="260">
        <v>216000</v>
      </c>
    </row>
    <row r="79" spans="1:21">
      <c r="A79" s="19">
        <v>46117</v>
      </c>
      <c r="B79" t="s">
        <v>100</v>
      </c>
      <c r="C79">
        <v>100005008</v>
      </c>
      <c r="D79" t="s">
        <v>69</v>
      </c>
      <c r="E79" t="s">
        <v>22</v>
      </c>
      <c r="F79" s="15">
        <v>32000</v>
      </c>
      <c r="H79" s="296" t="s">
        <v>65</v>
      </c>
      <c r="I79" s="260">
        <v>30000</v>
      </c>
      <c r="J79" s="260">
        <v>30000</v>
      </c>
      <c r="K79" s="260">
        <v>30000</v>
      </c>
      <c r="L79" s="260">
        <v>30000</v>
      </c>
      <c r="M79" s="260">
        <v>30000</v>
      </c>
      <c r="N79" s="260">
        <v>30000</v>
      </c>
      <c r="O79" s="260">
        <v>30000</v>
      </c>
      <c r="P79" s="260">
        <v>30000</v>
      </c>
      <c r="Q79" s="260">
        <v>30000</v>
      </c>
      <c r="R79" s="260">
        <v>30000</v>
      </c>
      <c r="S79" s="260">
        <v>30000</v>
      </c>
      <c r="T79" s="260">
        <v>30000</v>
      </c>
      <c r="U79" s="260">
        <v>360000</v>
      </c>
    </row>
    <row r="80" spans="1:21">
      <c r="A80" s="19">
        <v>46117</v>
      </c>
      <c r="B80" t="s">
        <v>100</v>
      </c>
      <c r="C80">
        <v>100005000</v>
      </c>
      <c r="D80" t="s">
        <v>71</v>
      </c>
      <c r="E80" t="s">
        <v>83</v>
      </c>
      <c r="F80" s="15">
        <v>16000</v>
      </c>
      <c r="H80" s="296" t="s">
        <v>69</v>
      </c>
      <c r="I80" s="260">
        <v>24000</v>
      </c>
      <c r="J80" s="260">
        <v>24000</v>
      </c>
      <c r="K80" s="260">
        <v>24000</v>
      </c>
      <c r="L80" s="260">
        <v>24000</v>
      </c>
      <c r="M80" s="260">
        <v>24000</v>
      </c>
      <c r="N80" s="260">
        <v>24000</v>
      </c>
      <c r="O80" s="260">
        <v>24000</v>
      </c>
      <c r="P80" s="260">
        <v>24000</v>
      </c>
      <c r="Q80" s="260">
        <v>24000</v>
      </c>
      <c r="R80" s="260">
        <v>24000</v>
      </c>
      <c r="S80" s="260">
        <v>24000</v>
      </c>
      <c r="T80" s="260">
        <v>24000</v>
      </c>
      <c r="U80" s="260">
        <v>288000</v>
      </c>
    </row>
    <row r="81" spans="1:21">
      <c r="A81" s="19">
        <v>46132</v>
      </c>
      <c r="B81" t="s">
        <v>101</v>
      </c>
      <c r="C81">
        <v>100005001</v>
      </c>
      <c r="D81" t="s">
        <v>65</v>
      </c>
      <c r="E81" t="s">
        <v>21</v>
      </c>
      <c r="F81" s="15">
        <v>60000</v>
      </c>
      <c r="H81" s="295" t="s">
        <v>22</v>
      </c>
      <c r="I81" s="260">
        <v>105000</v>
      </c>
      <c r="J81" s="260">
        <v>135000</v>
      </c>
      <c r="K81" s="260">
        <v>165000</v>
      </c>
      <c r="L81" s="260">
        <v>195000</v>
      </c>
      <c r="M81" s="260">
        <v>195000</v>
      </c>
      <c r="N81" s="260">
        <v>225000</v>
      </c>
      <c r="O81" s="260">
        <v>255000</v>
      </c>
      <c r="P81" s="260">
        <v>285000</v>
      </c>
      <c r="Q81" s="260">
        <v>315000</v>
      </c>
      <c r="R81" s="260">
        <v>345000</v>
      </c>
      <c r="S81" s="260">
        <v>345000</v>
      </c>
      <c r="T81" s="260">
        <v>374999.99999999994</v>
      </c>
      <c r="U81" s="260">
        <v>2940000</v>
      </c>
    </row>
    <row r="82" spans="1:21">
      <c r="A82" s="19">
        <v>46132</v>
      </c>
      <c r="B82" t="s">
        <v>101</v>
      </c>
      <c r="C82">
        <v>100005002</v>
      </c>
      <c r="D82" t="s">
        <v>66</v>
      </c>
      <c r="E82" t="s">
        <v>21</v>
      </c>
      <c r="F82" s="15">
        <v>36000</v>
      </c>
      <c r="H82" s="296" t="s">
        <v>67</v>
      </c>
      <c r="I82" s="260">
        <v>21000</v>
      </c>
      <c r="J82" s="260">
        <v>21000</v>
      </c>
      <c r="K82" s="260">
        <v>21000</v>
      </c>
      <c r="L82" s="260">
        <v>21000</v>
      </c>
      <c r="M82" s="260">
        <v>21000</v>
      </c>
      <c r="N82" s="260">
        <v>21000</v>
      </c>
      <c r="O82" s="260">
        <v>21000</v>
      </c>
      <c r="P82" s="260">
        <v>21000</v>
      </c>
      <c r="Q82" s="260">
        <v>21000</v>
      </c>
      <c r="R82" s="260">
        <v>21000</v>
      </c>
      <c r="S82" s="260">
        <v>21000</v>
      </c>
      <c r="T82" s="260">
        <v>21000</v>
      </c>
      <c r="U82" s="260">
        <v>252000</v>
      </c>
    </row>
    <row r="83" spans="1:21">
      <c r="A83" s="19">
        <v>46132</v>
      </c>
      <c r="B83" t="s">
        <v>101</v>
      </c>
      <c r="C83">
        <v>100005003</v>
      </c>
      <c r="D83" t="s">
        <v>67</v>
      </c>
      <c r="E83" t="s">
        <v>21</v>
      </c>
      <c r="F83" s="15">
        <v>36000</v>
      </c>
      <c r="H83" s="296" t="s">
        <v>70</v>
      </c>
      <c r="I83" s="260">
        <v>30000</v>
      </c>
      <c r="J83" s="260">
        <v>60000</v>
      </c>
      <c r="K83" s="260">
        <v>90000</v>
      </c>
      <c r="L83" s="260">
        <v>120000</v>
      </c>
      <c r="M83" s="260">
        <v>120000</v>
      </c>
      <c r="N83" s="260">
        <v>150000</v>
      </c>
      <c r="O83" s="260">
        <v>180000</v>
      </c>
      <c r="P83" s="260">
        <v>210000</v>
      </c>
      <c r="Q83" s="260">
        <v>240000</v>
      </c>
      <c r="R83" s="260">
        <v>270000</v>
      </c>
      <c r="S83" s="260">
        <v>270000</v>
      </c>
      <c r="T83" s="260">
        <v>299999.99999999994</v>
      </c>
      <c r="U83" s="260">
        <v>2040000</v>
      </c>
    </row>
    <row r="84" spans="1:21">
      <c r="A84" s="19">
        <v>46132</v>
      </c>
      <c r="B84" t="s">
        <v>101</v>
      </c>
      <c r="C84">
        <v>100005004</v>
      </c>
      <c r="D84" t="s">
        <v>68</v>
      </c>
      <c r="E84" t="s">
        <v>21</v>
      </c>
      <c r="F84" s="15">
        <v>48000</v>
      </c>
      <c r="H84" s="296" t="s">
        <v>65</v>
      </c>
      <c r="I84" s="260">
        <v>30000</v>
      </c>
      <c r="J84" s="260">
        <v>30000</v>
      </c>
      <c r="K84" s="260">
        <v>30000</v>
      </c>
      <c r="L84" s="260">
        <v>30000</v>
      </c>
      <c r="M84" s="260">
        <v>30000</v>
      </c>
      <c r="N84" s="260">
        <v>30000</v>
      </c>
      <c r="O84" s="260">
        <v>30000</v>
      </c>
      <c r="P84" s="260">
        <v>30000</v>
      </c>
      <c r="Q84" s="260">
        <v>30000</v>
      </c>
      <c r="R84" s="260">
        <v>30000</v>
      </c>
      <c r="S84" s="260">
        <v>30000</v>
      </c>
      <c r="T84" s="260">
        <v>30000</v>
      </c>
      <c r="U84" s="260">
        <v>360000</v>
      </c>
    </row>
    <row r="85" spans="1:21">
      <c r="A85" s="19">
        <v>46132</v>
      </c>
      <c r="B85" t="s">
        <v>101</v>
      </c>
      <c r="C85">
        <v>100005005</v>
      </c>
      <c r="D85" t="s">
        <v>69</v>
      </c>
      <c r="E85" t="s">
        <v>21</v>
      </c>
      <c r="F85" s="15">
        <v>48000</v>
      </c>
      <c r="H85" s="296" t="s">
        <v>69</v>
      </c>
      <c r="I85" s="260">
        <v>24000</v>
      </c>
      <c r="J85" s="260">
        <v>24000</v>
      </c>
      <c r="K85" s="260">
        <v>24000</v>
      </c>
      <c r="L85" s="260">
        <v>24000</v>
      </c>
      <c r="M85" s="260">
        <v>24000</v>
      </c>
      <c r="N85" s="260">
        <v>24000</v>
      </c>
      <c r="O85" s="260">
        <v>24000</v>
      </c>
      <c r="P85" s="260">
        <v>24000</v>
      </c>
      <c r="Q85" s="260">
        <v>24000</v>
      </c>
      <c r="R85" s="260">
        <v>24000</v>
      </c>
      <c r="S85" s="260">
        <v>24000</v>
      </c>
      <c r="T85" s="260">
        <v>24000</v>
      </c>
      <c r="U85" s="260">
        <v>288000</v>
      </c>
    </row>
    <row r="86" spans="1:21">
      <c r="A86" s="19">
        <v>46132</v>
      </c>
      <c r="B86" t="s">
        <v>101</v>
      </c>
      <c r="C86">
        <v>100005006</v>
      </c>
      <c r="D86" t="s">
        <v>65</v>
      </c>
      <c r="E86" t="s">
        <v>22</v>
      </c>
      <c r="F86" s="15">
        <v>60000</v>
      </c>
      <c r="H86" s="259" t="s">
        <v>215</v>
      </c>
      <c r="I86" s="260">
        <v>1275000</v>
      </c>
      <c r="J86" s="260">
        <v>1199000</v>
      </c>
      <c r="K86" s="260">
        <v>1333000</v>
      </c>
      <c r="L86" s="260">
        <v>1469600</v>
      </c>
      <c r="M86" s="260">
        <v>1443000</v>
      </c>
      <c r="N86" s="260">
        <v>1598200</v>
      </c>
      <c r="O86" s="260">
        <v>1744000</v>
      </c>
      <c r="P86" s="260">
        <v>1875399.9999999998</v>
      </c>
      <c r="Q86" s="260">
        <v>2006400</v>
      </c>
      <c r="R86" s="260">
        <v>2147800</v>
      </c>
      <c r="S86" s="260">
        <v>2116600</v>
      </c>
      <c r="T86" s="260">
        <v>2274800</v>
      </c>
      <c r="U86" s="260">
        <v>20482800</v>
      </c>
    </row>
    <row r="87" spans="1:21">
      <c r="A87" s="19">
        <v>46132</v>
      </c>
      <c r="B87" t="s">
        <v>101</v>
      </c>
      <c r="C87">
        <v>100005009</v>
      </c>
      <c r="D87" t="s">
        <v>70</v>
      </c>
      <c r="E87" t="s">
        <v>22</v>
      </c>
      <c r="F87" s="15">
        <v>32000</v>
      </c>
    </row>
    <row r="88" spans="1:21">
      <c r="A88" s="19">
        <v>46132</v>
      </c>
      <c r="B88" t="s">
        <v>101</v>
      </c>
      <c r="C88">
        <v>100005010</v>
      </c>
      <c r="D88" t="s">
        <v>70</v>
      </c>
      <c r="E88" t="s">
        <v>22</v>
      </c>
      <c r="F88" s="15">
        <v>60000</v>
      </c>
    </row>
    <row r="89" spans="1:21">
      <c r="A89" s="19">
        <v>46132</v>
      </c>
      <c r="B89" t="s">
        <v>101</v>
      </c>
      <c r="C89">
        <v>100005011</v>
      </c>
      <c r="D89" t="s">
        <v>70</v>
      </c>
      <c r="E89" t="s">
        <v>22</v>
      </c>
      <c r="F89" s="15">
        <v>60000</v>
      </c>
      <c r="H89" s="21" t="s">
        <v>104</v>
      </c>
      <c r="I89" s="304">
        <v>34000</v>
      </c>
      <c r="J89" s="304">
        <v>44000</v>
      </c>
      <c r="K89" s="304">
        <v>48000</v>
      </c>
      <c r="L89" s="304">
        <v>54600</v>
      </c>
      <c r="M89" s="304">
        <v>52000</v>
      </c>
      <c r="N89" s="304">
        <v>53200</v>
      </c>
      <c r="O89" s="304">
        <v>69000</v>
      </c>
      <c r="P89" s="304">
        <v>70400</v>
      </c>
      <c r="Q89" s="304">
        <v>71400</v>
      </c>
      <c r="R89" s="304">
        <v>82800</v>
      </c>
      <c r="S89" s="304">
        <v>75600</v>
      </c>
      <c r="T89" s="304">
        <v>79800</v>
      </c>
      <c r="U89" s="304">
        <v>734800</v>
      </c>
    </row>
    <row r="90" spans="1:21">
      <c r="A90" s="19">
        <v>46132</v>
      </c>
      <c r="B90" t="s">
        <v>101</v>
      </c>
      <c r="C90">
        <v>100005012</v>
      </c>
      <c r="D90" t="s">
        <v>70</v>
      </c>
      <c r="E90" t="s">
        <v>22</v>
      </c>
      <c r="F90" s="15">
        <v>60000</v>
      </c>
      <c r="H90" s="21" t="s">
        <v>83</v>
      </c>
      <c r="I90" s="304">
        <v>3400</v>
      </c>
      <c r="J90" s="304">
        <v>4000</v>
      </c>
      <c r="K90" s="304">
        <v>4000</v>
      </c>
      <c r="L90" s="304">
        <v>4200</v>
      </c>
      <c r="M90" s="304">
        <v>4000</v>
      </c>
      <c r="N90" s="304">
        <v>3800</v>
      </c>
      <c r="O90" s="304">
        <v>4600</v>
      </c>
      <c r="P90" s="304">
        <v>4400</v>
      </c>
      <c r="Q90" s="304">
        <v>4200</v>
      </c>
      <c r="R90" s="304">
        <v>4600</v>
      </c>
      <c r="S90" s="304">
        <v>4200</v>
      </c>
      <c r="T90" s="304">
        <v>4200</v>
      </c>
      <c r="U90" s="304">
        <v>49600</v>
      </c>
    </row>
    <row r="91" spans="1:21">
      <c r="A91" s="19">
        <v>46132</v>
      </c>
      <c r="B91" t="s">
        <v>101</v>
      </c>
      <c r="C91">
        <v>100005007</v>
      </c>
      <c r="D91" t="s">
        <v>67</v>
      </c>
      <c r="E91" t="s">
        <v>22</v>
      </c>
      <c r="F91" s="15">
        <v>22399.999999999996</v>
      </c>
      <c r="H91" t="s">
        <v>71</v>
      </c>
      <c r="I91" s="260">
        <v>3400</v>
      </c>
      <c r="J91" s="260">
        <v>4000</v>
      </c>
      <c r="K91" s="260">
        <v>4000</v>
      </c>
      <c r="L91" s="260">
        <v>4200</v>
      </c>
      <c r="M91" s="260">
        <v>4000</v>
      </c>
      <c r="N91" s="260">
        <v>3800</v>
      </c>
      <c r="O91" s="260">
        <v>4600</v>
      </c>
      <c r="P91" s="260">
        <v>4400</v>
      </c>
      <c r="Q91" s="260">
        <v>4200</v>
      </c>
      <c r="R91" s="260">
        <v>4600</v>
      </c>
      <c r="S91" s="260">
        <v>4200</v>
      </c>
      <c r="T91" s="260">
        <v>4200</v>
      </c>
      <c r="U91" s="260">
        <v>49600</v>
      </c>
    </row>
    <row r="92" spans="1:21">
      <c r="A92" s="19">
        <v>46132</v>
      </c>
      <c r="B92" t="s">
        <v>101</v>
      </c>
      <c r="C92">
        <v>100005008</v>
      </c>
      <c r="D92" t="s">
        <v>69</v>
      </c>
      <c r="E92" t="s">
        <v>22</v>
      </c>
      <c r="F92" s="15">
        <v>48000</v>
      </c>
      <c r="H92" s="21" t="s">
        <v>21</v>
      </c>
      <c r="I92" s="304">
        <v>17000</v>
      </c>
      <c r="J92" s="304">
        <v>20000</v>
      </c>
      <c r="K92" s="304">
        <v>20000</v>
      </c>
      <c r="L92" s="304">
        <v>21000</v>
      </c>
      <c r="M92" s="304">
        <v>20000</v>
      </c>
      <c r="N92" s="304">
        <v>19000</v>
      </c>
      <c r="O92" s="304">
        <v>23000</v>
      </c>
      <c r="P92" s="304">
        <v>22000</v>
      </c>
      <c r="Q92" s="304">
        <v>21000</v>
      </c>
      <c r="R92" s="304">
        <v>23000</v>
      </c>
      <c r="S92" s="304">
        <v>21000</v>
      </c>
      <c r="T92" s="304">
        <v>21000</v>
      </c>
      <c r="U92" s="304">
        <v>248000</v>
      </c>
    </row>
    <row r="93" spans="1:21">
      <c r="A93" s="19">
        <v>46132</v>
      </c>
      <c r="B93" t="s">
        <v>101</v>
      </c>
      <c r="C93">
        <v>100005000</v>
      </c>
      <c r="D93" t="s">
        <v>71</v>
      </c>
      <c r="E93" t="s">
        <v>83</v>
      </c>
      <c r="F93" s="15">
        <v>24000</v>
      </c>
      <c r="H93" t="s">
        <v>67</v>
      </c>
      <c r="I93" s="260">
        <v>3400</v>
      </c>
      <c r="J93" s="260">
        <v>4000</v>
      </c>
      <c r="K93" s="260">
        <v>4000</v>
      </c>
      <c r="L93" s="260">
        <v>4200</v>
      </c>
      <c r="M93" s="260">
        <v>4000</v>
      </c>
      <c r="N93" s="260">
        <v>3800</v>
      </c>
      <c r="O93" s="260">
        <v>4600</v>
      </c>
      <c r="P93" s="260">
        <v>4400</v>
      </c>
      <c r="Q93" s="260">
        <v>4200</v>
      </c>
      <c r="R93" s="260">
        <v>4600</v>
      </c>
      <c r="S93" s="260">
        <v>4200</v>
      </c>
      <c r="T93" s="260">
        <v>4200</v>
      </c>
      <c r="U93" s="260">
        <v>49600</v>
      </c>
    </row>
    <row r="94" spans="1:21">
      <c r="A94" s="19">
        <v>46147</v>
      </c>
      <c r="B94" t="s">
        <v>100</v>
      </c>
      <c r="C94">
        <v>100005001</v>
      </c>
      <c r="D94" t="s">
        <v>65</v>
      </c>
      <c r="E94" t="s">
        <v>21</v>
      </c>
      <c r="F94" s="15">
        <v>40000</v>
      </c>
      <c r="H94" t="s">
        <v>68</v>
      </c>
      <c r="I94" s="260">
        <v>3400</v>
      </c>
      <c r="J94" s="260">
        <v>4000</v>
      </c>
      <c r="K94" s="260">
        <v>4000</v>
      </c>
      <c r="L94" s="260">
        <v>4200</v>
      </c>
      <c r="M94" s="260">
        <v>4000</v>
      </c>
      <c r="N94" s="260">
        <v>3800</v>
      </c>
      <c r="O94" s="260">
        <v>4600</v>
      </c>
      <c r="P94" s="260">
        <v>4400</v>
      </c>
      <c r="Q94" s="260">
        <v>4200</v>
      </c>
      <c r="R94" s="260">
        <v>4600</v>
      </c>
      <c r="S94" s="260">
        <v>4200</v>
      </c>
      <c r="T94" s="260">
        <v>4200</v>
      </c>
      <c r="U94" s="260">
        <v>49600</v>
      </c>
    </row>
    <row r="95" spans="1:21">
      <c r="A95" s="19">
        <v>46147</v>
      </c>
      <c r="B95" t="s">
        <v>100</v>
      </c>
      <c r="C95">
        <v>100005002</v>
      </c>
      <c r="D95" t="s">
        <v>66</v>
      </c>
      <c r="E95" t="s">
        <v>21</v>
      </c>
      <c r="F95" s="15">
        <v>40258.06451612903</v>
      </c>
      <c r="H95" t="s">
        <v>66</v>
      </c>
      <c r="I95" s="260">
        <v>3400</v>
      </c>
      <c r="J95" s="260">
        <v>4000</v>
      </c>
      <c r="K95" s="260">
        <v>4000</v>
      </c>
      <c r="L95" s="260">
        <v>4200</v>
      </c>
      <c r="M95" s="260">
        <v>4000</v>
      </c>
      <c r="N95" s="260">
        <v>3800</v>
      </c>
      <c r="O95" s="260">
        <v>4600</v>
      </c>
      <c r="P95" s="260">
        <v>4400</v>
      </c>
      <c r="Q95" s="260">
        <v>4200</v>
      </c>
      <c r="R95" s="260">
        <v>4600</v>
      </c>
      <c r="S95" s="260">
        <v>4200</v>
      </c>
      <c r="T95" s="260">
        <v>4200</v>
      </c>
      <c r="U95" s="260">
        <v>49600</v>
      </c>
    </row>
    <row r="96" spans="1:21">
      <c r="A96" s="19">
        <v>46147</v>
      </c>
      <c r="B96" t="s">
        <v>100</v>
      </c>
      <c r="C96">
        <v>100005003</v>
      </c>
      <c r="D96" t="s">
        <v>67</v>
      </c>
      <c r="E96" t="s">
        <v>21</v>
      </c>
      <c r="F96" s="15">
        <v>40258.06451612903</v>
      </c>
      <c r="H96" t="s">
        <v>65</v>
      </c>
      <c r="I96" s="260">
        <v>3400</v>
      </c>
      <c r="J96" s="260">
        <v>4000</v>
      </c>
      <c r="K96" s="260">
        <v>4000</v>
      </c>
      <c r="L96" s="260">
        <v>4200</v>
      </c>
      <c r="M96" s="260">
        <v>4000</v>
      </c>
      <c r="N96" s="260">
        <v>3800</v>
      </c>
      <c r="O96" s="260">
        <v>4600</v>
      </c>
      <c r="P96" s="260">
        <v>4400</v>
      </c>
      <c r="Q96" s="260">
        <v>4200</v>
      </c>
      <c r="R96" s="260">
        <v>4600</v>
      </c>
      <c r="S96" s="260">
        <v>4200</v>
      </c>
      <c r="T96" s="260">
        <v>4200</v>
      </c>
      <c r="U96" s="260">
        <v>49600</v>
      </c>
    </row>
    <row r="97" spans="1:21">
      <c r="A97" s="19">
        <v>46147</v>
      </c>
      <c r="B97" t="s">
        <v>100</v>
      </c>
      <c r="C97">
        <v>100005004</v>
      </c>
      <c r="D97" t="s">
        <v>68</v>
      </c>
      <c r="E97" t="s">
        <v>21</v>
      </c>
      <c r="F97" s="15">
        <v>32000</v>
      </c>
      <c r="H97" t="s">
        <v>69</v>
      </c>
      <c r="I97" s="260">
        <v>3400</v>
      </c>
      <c r="J97" s="260">
        <v>4000</v>
      </c>
      <c r="K97" s="260">
        <v>4000</v>
      </c>
      <c r="L97" s="260">
        <v>4200</v>
      </c>
      <c r="M97" s="260">
        <v>4000</v>
      </c>
      <c r="N97" s="260">
        <v>3800</v>
      </c>
      <c r="O97" s="260">
        <v>4600</v>
      </c>
      <c r="P97" s="260">
        <v>4400</v>
      </c>
      <c r="Q97" s="260">
        <v>4200</v>
      </c>
      <c r="R97" s="260">
        <v>4600</v>
      </c>
      <c r="S97" s="260">
        <v>4200</v>
      </c>
      <c r="T97" s="260">
        <v>4200</v>
      </c>
      <c r="U97" s="260">
        <v>49600</v>
      </c>
    </row>
    <row r="98" spans="1:21">
      <c r="A98" s="19">
        <v>46147</v>
      </c>
      <c r="B98" t="s">
        <v>100</v>
      </c>
      <c r="C98">
        <v>100005005</v>
      </c>
      <c r="D98" t="s">
        <v>69</v>
      </c>
      <c r="E98" t="s">
        <v>21</v>
      </c>
      <c r="F98" s="15">
        <v>32000</v>
      </c>
      <c r="H98" s="21" t="s">
        <v>22</v>
      </c>
      <c r="I98" s="304">
        <v>13600</v>
      </c>
      <c r="J98" s="304">
        <v>20000</v>
      </c>
      <c r="K98" s="304">
        <v>24000</v>
      </c>
      <c r="L98" s="304">
        <v>29400</v>
      </c>
      <c r="M98" s="304">
        <v>28000</v>
      </c>
      <c r="N98" s="304">
        <v>30400</v>
      </c>
      <c r="O98" s="304">
        <v>41400</v>
      </c>
      <c r="P98" s="304">
        <v>44000</v>
      </c>
      <c r="Q98" s="304">
        <v>46200</v>
      </c>
      <c r="R98" s="304">
        <v>55200</v>
      </c>
      <c r="S98" s="304">
        <v>50400</v>
      </c>
      <c r="T98" s="304">
        <v>54600</v>
      </c>
      <c r="U98" s="304">
        <v>437200</v>
      </c>
    </row>
    <row r="99" spans="1:21">
      <c r="A99" s="19">
        <v>46147</v>
      </c>
      <c r="B99" t="s">
        <v>100</v>
      </c>
      <c r="C99">
        <v>100005006</v>
      </c>
      <c r="D99" t="s">
        <v>65</v>
      </c>
      <c r="E99" t="s">
        <v>22</v>
      </c>
      <c r="F99" s="15">
        <v>40000</v>
      </c>
      <c r="H99" t="s">
        <v>67</v>
      </c>
      <c r="I99" s="260">
        <v>3400</v>
      </c>
      <c r="J99" s="260">
        <v>4000</v>
      </c>
      <c r="K99" s="260">
        <v>4000</v>
      </c>
      <c r="L99" s="260">
        <v>4200</v>
      </c>
      <c r="M99" s="260">
        <v>4000</v>
      </c>
      <c r="N99" s="260">
        <v>3800</v>
      </c>
      <c r="O99" s="260">
        <v>4600</v>
      </c>
      <c r="P99" s="260">
        <v>4400</v>
      </c>
      <c r="Q99" s="260">
        <v>4200</v>
      </c>
      <c r="R99" s="260">
        <v>4600</v>
      </c>
      <c r="S99" s="260">
        <v>4200</v>
      </c>
      <c r="T99" s="260">
        <v>4200</v>
      </c>
      <c r="U99" s="260">
        <v>49600</v>
      </c>
    </row>
    <row r="100" spans="1:21">
      <c r="A100" s="19">
        <v>46147</v>
      </c>
      <c r="B100" t="s">
        <v>100</v>
      </c>
      <c r="C100">
        <v>100005009</v>
      </c>
      <c r="D100" t="s">
        <v>70</v>
      </c>
      <c r="E100" t="s">
        <v>22</v>
      </c>
      <c r="F100" s="15">
        <v>40000</v>
      </c>
      <c r="H100" t="s">
        <v>70</v>
      </c>
      <c r="I100" s="260">
        <v>3400</v>
      </c>
      <c r="J100" s="260">
        <v>8000</v>
      </c>
      <c r="K100" s="260">
        <v>12000</v>
      </c>
      <c r="L100" s="260">
        <v>16800</v>
      </c>
      <c r="M100" s="260">
        <v>16000</v>
      </c>
      <c r="N100" s="260">
        <v>19000</v>
      </c>
      <c r="O100" s="260">
        <v>27600</v>
      </c>
      <c r="P100" s="260">
        <v>30800</v>
      </c>
      <c r="Q100" s="260">
        <v>33600</v>
      </c>
      <c r="R100" s="260">
        <v>41400</v>
      </c>
      <c r="S100" s="260">
        <v>37800</v>
      </c>
      <c r="T100" s="260">
        <v>42000</v>
      </c>
      <c r="U100" s="260">
        <v>288400</v>
      </c>
    </row>
    <row r="101" spans="1:21">
      <c r="A101" s="19">
        <v>46147</v>
      </c>
      <c r="B101" t="s">
        <v>100</v>
      </c>
      <c r="C101">
        <v>100005010</v>
      </c>
      <c r="D101" t="s">
        <v>70</v>
      </c>
      <c r="E101" t="s">
        <v>22</v>
      </c>
      <c r="F101" s="15">
        <v>67096.774193548394</v>
      </c>
      <c r="H101" t="s">
        <v>65</v>
      </c>
      <c r="I101" s="260">
        <v>3400</v>
      </c>
      <c r="J101" s="260">
        <v>4000</v>
      </c>
      <c r="K101" s="260">
        <v>4000</v>
      </c>
      <c r="L101" s="260">
        <v>4200</v>
      </c>
      <c r="M101" s="260">
        <v>4000</v>
      </c>
      <c r="N101" s="260">
        <v>3800</v>
      </c>
      <c r="O101" s="260">
        <v>4600</v>
      </c>
      <c r="P101" s="260">
        <v>4400</v>
      </c>
      <c r="Q101" s="260">
        <v>4200</v>
      </c>
      <c r="R101" s="260">
        <v>4600</v>
      </c>
      <c r="S101" s="260">
        <v>4200</v>
      </c>
      <c r="T101" s="260">
        <v>4200</v>
      </c>
      <c r="U101" s="260">
        <v>49600</v>
      </c>
    </row>
    <row r="102" spans="1:21">
      <c r="A102" s="19">
        <v>46147</v>
      </c>
      <c r="B102" t="s">
        <v>100</v>
      </c>
      <c r="C102">
        <v>100005011</v>
      </c>
      <c r="D102" t="s">
        <v>70</v>
      </c>
      <c r="E102" t="s">
        <v>22</v>
      </c>
      <c r="F102" s="15">
        <v>40000</v>
      </c>
      <c r="H102" t="s">
        <v>69</v>
      </c>
      <c r="I102" s="260">
        <v>3400</v>
      </c>
      <c r="J102" s="260">
        <v>4000</v>
      </c>
      <c r="K102" s="260">
        <v>4000</v>
      </c>
      <c r="L102" s="260">
        <v>4200</v>
      </c>
      <c r="M102" s="260">
        <v>4000</v>
      </c>
      <c r="N102" s="260">
        <v>3800</v>
      </c>
      <c r="O102" s="260">
        <v>4600</v>
      </c>
      <c r="P102" s="260">
        <v>4400</v>
      </c>
      <c r="Q102" s="260">
        <v>4200</v>
      </c>
      <c r="R102" s="260">
        <v>4600</v>
      </c>
      <c r="S102" s="260">
        <v>4200</v>
      </c>
      <c r="T102" s="260">
        <v>4200</v>
      </c>
      <c r="U102" s="260">
        <v>49600</v>
      </c>
    </row>
    <row r="103" spans="1:21">
      <c r="A103" s="19">
        <v>46147</v>
      </c>
      <c r="B103" t="s">
        <v>100</v>
      </c>
      <c r="C103">
        <v>100005012</v>
      </c>
      <c r="D103" t="s">
        <v>70</v>
      </c>
      <c r="E103" t="s">
        <v>22</v>
      </c>
      <c r="F103" s="15">
        <v>40000</v>
      </c>
    </row>
    <row r="104" spans="1:21">
      <c r="A104" s="19">
        <v>46147</v>
      </c>
      <c r="B104" t="s">
        <v>100</v>
      </c>
      <c r="C104">
        <v>100005007</v>
      </c>
      <c r="D104" t="s">
        <v>67</v>
      </c>
      <c r="E104" t="s">
        <v>22</v>
      </c>
      <c r="F104" s="15">
        <v>28000</v>
      </c>
    </row>
    <row r="105" spans="1:21">
      <c r="A105" s="19">
        <v>46147</v>
      </c>
      <c r="B105" t="s">
        <v>100</v>
      </c>
      <c r="C105">
        <v>100005008</v>
      </c>
      <c r="D105" t="s">
        <v>69</v>
      </c>
      <c r="E105" t="s">
        <v>22</v>
      </c>
      <c r="F105" s="15">
        <v>32000</v>
      </c>
    </row>
    <row r="106" spans="1:21">
      <c r="A106" s="19">
        <v>46147</v>
      </c>
      <c r="B106" t="s">
        <v>100</v>
      </c>
      <c r="C106">
        <v>100005000</v>
      </c>
      <c r="D106" t="s">
        <v>71</v>
      </c>
      <c r="E106" t="s">
        <v>83</v>
      </c>
      <c r="F106" s="15">
        <v>16000</v>
      </c>
    </row>
    <row r="107" spans="1:21">
      <c r="A107" s="19">
        <v>46162</v>
      </c>
      <c r="B107" t="s">
        <v>101</v>
      </c>
      <c r="C107">
        <v>100005001</v>
      </c>
      <c r="D107" t="s">
        <v>65</v>
      </c>
      <c r="E107" t="s">
        <v>21</v>
      </c>
      <c r="F107" s="15">
        <v>60000</v>
      </c>
    </row>
    <row r="108" spans="1:21">
      <c r="A108" s="19">
        <v>46162</v>
      </c>
      <c r="B108" t="s">
        <v>101</v>
      </c>
      <c r="C108">
        <v>100005002</v>
      </c>
      <c r="D108" t="s">
        <v>66</v>
      </c>
      <c r="E108" t="s">
        <v>21</v>
      </c>
      <c r="F108" s="15">
        <v>19741.935483870966</v>
      </c>
    </row>
    <row r="109" spans="1:21">
      <c r="A109" s="19">
        <v>46162</v>
      </c>
      <c r="B109" t="s">
        <v>101</v>
      </c>
      <c r="C109">
        <v>100005003</v>
      </c>
      <c r="D109" t="s">
        <v>67</v>
      </c>
      <c r="E109" t="s">
        <v>21</v>
      </c>
      <c r="F109" s="15">
        <v>19741.935483870966</v>
      </c>
    </row>
    <row r="110" spans="1:21">
      <c r="A110" s="19">
        <v>46162</v>
      </c>
      <c r="B110" t="s">
        <v>101</v>
      </c>
      <c r="C110">
        <v>100005004</v>
      </c>
      <c r="D110" t="s">
        <v>68</v>
      </c>
      <c r="E110" t="s">
        <v>21</v>
      </c>
      <c r="F110" s="15">
        <v>48000</v>
      </c>
    </row>
    <row r="111" spans="1:21">
      <c r="A111" s="19">
        <v>46162</v>
      </c>
      <c r="B111" t="s">
        <v>101</v>
      </c>
      <c r="C111">
        <v>100005005</v>
      </c>
      <c r="D111" t="s">
        <v>69</v>
      </c>
      <c r="E111" t="s">
        <v>21</v>
      </c>
      <c r="F111" s="15">
        <v>48000</v>
      </c>
    </row>
    <row r="112" spans="1:21">
      <c r="A112" s="19">
        <v>46162</v>
      </c>
      <c r="B112" t="s">
        <v>101</v>
      </c>
      <c r="C112">
        <v>100005006</v>
      </c>
      <c r="D112" t="s">
        <v>65</v>
      </c>
      <c r="E112" t="s">
        <v>22</v>
      </c>
      <c r="F112" s="15">
        <v>60000</v>
      </c>
    </row>
    <row r="113" spans="1:6">
      <c r="A113" s="19">
        <v>46162</v>
      </c>
      <c r="B113" t="s">
        <v>101</v>
      </c>
      <c r="C113">
        <v>100005009</v>
      </c>
      <c r="D113" t="s">
        <v>70</v>
      </c>
      <c r="E113" t="s">
        <v>22</v>
      </c>
      <c r="F113" s="15">
        <v>60000</v>
      </c>
    </row>
    <row r="114" spans="1:6">
      <c r="A114" s="19">
        <v>46162</v>
      </c>
      <c r="B114" t="s">
        <v>101</v>
      </c>
      <c r="C114">
        <v>100005010</v>
      </c>
      <c r="D114" t="s">
        <v>70</v>
      </c>
      <c r="E114" t="s">
        <v>22</v>
      </c>
      <c r="F114" s="15">
        <v>32903.225806451614</v>
      </c>
    </row>
    <row r="115" spans="1:6">
      <c r="A115" s="19">
        <v>46162</v>
      </c>
      <c r="B115" t="s">
        <v>101</v>
      </c>
      <c r="C115">
        <v>100005011</v>
      </c>
      <c r="D115" t="s">
        <v>70</v>
      </c>
      <c r="E115" t="s">
        <v>22</v>
      </c>
      <c r="F115" s="15">
        <v>60000</v>
      </c>
    </row>
    <row r="116" spans="1:6">
      <c r="A116" s="19">
        <v>46162</v>
      </c>
      <c r="B116" t="s">
        <v>101</v>
      </c>
      <c r="C116">
        <v>100005012</v>
      </c>
      <c r="D116" t="s">
        <v>70</v>
      </c>
      <c r="E116" t="s">
        <v>22</v>
      </c>
      <c r="F116" s="15">
        <v>60000</v>
      </c>
    </row>
    <row r="117" spans="1:6">
      <c r="A117" s="19">
        <v>46162</v>
      </c>
      <c r="B117" t="s">
        <v>101</v>
      </c>
      <c r="C117">
        <v>100005007</v>
      </c>
      <c r="D117" t="s">
        <v>67</v>
      </c>
      <c r="E117" t="s">
        <v>22</v>
      </c>
      <c r="F117" s="15">
        <v>42000</v>
      </c>
    </row>
    <row r="118" spans="1:6">
      <c r="A118" s="19">
        <v>46162</v>
      </c>
      <c r="B118" t="s">
        <v>101</v>
      </c>
      <c r="C118">
        <v>100005008</v>
      </c>
      <c r="D118" t="s">
        <v>69</v>
      </c>
      <c r="E118" t="s">
        <v>22</v>
      </c>
      <c r="F118" s="15">
        <v>48000</v>
      </c>
    </row>
    <row r="119" spans="1:6">
      <c r="A119" s="19">
        <v>46162</v>
      </c>
      <c r="B119" t="s">
        <v>101</v>
      </c>
      <c r="C119">
        <v>100005000</v>
      </c>
      <c r="D119" t="s">
        <v>71</v>
      </c>
      <c r="E119" t="s">
        <v>83</v>
      </c>
      <c r="F119" s="15">
        <v>24000</v>
      </c>
    </row>
    <row r="120" spans="1:6">
      <c r="A120" s="19">
        <v>46178</v>
      </c>
      <c r="B120" t="s">
        <v>100</v>
      </c>
      <c r="C120">
        <v>100005001</v>
      </c>
      <c r="D120" t="s">
        <v>65</v>
      </c>
      <c r="E120" t="s">
        <v>21</v>
      </c>
      <c r="F120" s="15">
        <v>68000</v>
      </c>
    </row>
    <row r="121" spans="1:6">
      <c r="A121" s="19">
        <v>46178</v>
      </c>
      <c r="B121" t="s">
        <v>100</v>
      </c>
      <c r="C121">
        <v>100005002</v>
      </c>
      <c r="D121" t="s">
        <v>66</v>
      </c>
      <c r="E121" t="s">
        <v>21</v>
      </c>
      <c r="F121" s="15">
        <v>24000</v>
      </c>
    </row>
    <row r="122" spans="1:6">
      <c r="A122" s="19">
        <v>46178</v>
      </c>
      <c r="B122" t="s">
        <v>100</v>
      </c>
      <c r="C122">
        <v>100005003</v>
      </c>
      <c r="D122" t="s">
        <v>67</v>
      </c>
      <c r="E122" t="s">
        <v>21</v>
      </c>
      <c r="F122" s="15">
        <v>24000</v>
      </c>
    </row>
    <row r="123" spans="1:6">
      <c r="A123" s="19">
        <v>46178</v>
      </c>
      <c r="B123" t="s">
        <v>100</v>
      </c>
      <c r="C123">
        <v>100005004</v>
      </c>
      <c r="D123" t="s">
        <v>68</v>
      </c>
      <c r="E123" t="s">
        <v>21</v>
      </c>
      <c r="F123" s="15">
        <v>54400</v>
      </c>
    </row>
    <row r="124" spans="1:6">
      <c r="A124" s="19">
        <v>46178</v>
      </c>
      <c r="B124" t="s">
        <v>100</v>
      </c>
      <c r="C124">
        <v>100005005</v>
      </c>
      <c r="D124" t="s">
        <v>69</v>
      </c>
      <c r="E124" t="s">
        <v>21</v>
      </c>
      <c r="F124" s="15">
        <v>32000</v>
      </c>
    </row>
    <row r="125" spans="1:6">
      <c r="A125" s="19">
        <v>46178</v>
      </c>
      <c r="B125" t="s">
        <v>100</v>
      </c>
      <c r="C125">
        <v>100005006</v>
      </c>
      <c r="D125" t="s">
        <v>65</v>
      </c>
      <c r="E125" t="s">
        <v>22</v>
      </c>
      <c r="F125" s="15">
        <v>40000</v>
      </c>
    </row>
    <row r="126" spans="1:6">
      <c r="A126" s="19">
        <v>46178</v>
      </c>
      <c r="B126" t="s">
        <v>100</v>
      </c>
      <c r="C126">
        <v>100005009</v>
      </c>
      <c r="D126" t="s">
        <v>70</v>
      </c>
      <c r="E126" t="s">
        <v>22</v>
      </c>
      <c r="F126" s="15">
        <v>40000</v>
      </c>
    </row>
    <row r="127" spans="1:6">
      <c r="A127" s="19">
        <v>46178</v>
      </c>
      <c r="B127" t="s">
        <v>100</v>
      </c>
      <c r="C127">
        <v>100005010</v>
      </c>
      <c r="D127" t="s">
        <v>70</v>
      </c>
      <c r="E127" t="s">
        <v>22</v>
      </c>
      <c r="F127" s="15">
        <v>40000</v>
      </c>
    </row>
    <row r="128" spans="1:6">
      <c r="A128" s="19">
        <v>46178</v>
      </c>
      <c r="B128" t="s">
        <v>100</v>
      </c>
      <c r="C128">
        <v>100005011</v>
      </c>
      <c r="D128" t="s">
        <v>70</v>
      </c>
      <c r="E128" t="s">
        <v>22</v>
      </c>
      <c r="F128" s="15">
        <v>68000</v>
      </c>
    </row>
    <row r="129" spans="1:6">
      <c r="A129" s="19">
        <v>46178</v>
      </c>
      <c r="B129" t="s">
        <v>100</v>
      </c>
      <c r="C129">
        <v>100005012</v>
      </c>
      <c r="D129" t="s">
        <v>70</v>
      </c>
      <c r="E129" t="s">
        <v>22</v>
      </c>
      <c r="F129" s="15">
        <v>40000</v>
      </c>
    </row>
    <row r="130" spans="1:6">
      <c r="A130" s="19">
        <v>46178</v>
      </c>
      <c r="B130" t="s">
        <v>100</v>
      </c>
      <c r="C130">
        <v>100005013</v>
      </c>
      <c r="D130" t="s">
        <v>70</v>
      </c>
      <c r="E130" t="s">
        <v>22</v>
      </c>
      <c r="F130" s="15">
        <v>40000</v>
      </c>
    </row>
    <row r="131" spans="1:6">
      <c r="A131" s="19">
        <v>46178</v>
      </c>
      <c r="B131" t="s">
        <v>100</v>
      </c>
      <c r="C131">
        <v>100005007</v>
      </c>
      <c r="D131" t="s">
        <v>67</v>
      </c>
      <c r="E131" t="s">
        <v>22</v>
      </c>
      <c r="F131" s="15">
        <v>28000</v>
      </c>
    </row>
    <row r="132" spans="1:6">
      <c r="A132" s="19">
        <v>46178</v>
      </c>
      <c r="B132" t="s">
        <v>100</v>
      </c>
      <c r="C132">
        <v>100005008</v>
      </c>
      <c r="D132" t="s">
        <v>69</v>
      </c>
      <c r="E132" t="s">
        <v>22</v>
      </c>
      <c r="F132" s="15">
        <v>32000</v>
      </c>
    </row>
    <row r="133" spans="1:6">
      <c r="A133" s="19">
        <v>46178</v>
      </c>
      <c r="B133" t="s">
        <v>100</v>
      </c>
      <c r="C133">
        <v>100005000</v>
      </c>
      <c r="D133" t="s">
        <v>71</v>
      </c>
      <c r="E133" t="s">
        <v>83</v>
      </c>
      <c r="F133" s="15">
        <v>16000</v>
      </c>
    </row>
    <row r="134" spans="1:6">
      <c r="A134" s="19">
        <v>46193</v>
      </c>
      <c r="B134" t="s">
        <v>101</v>
      </c>
      <c r="C134">
        <v>100005001</v>
      </c>
      <c r="D134" t="s">
        <v>65</v>
      </c>
      <c r="E134" t="s">
        <v>21</v>
      </c>
      <c r="F134" s="15">
        <v>32000</v>
      </c>
    </row>
    <row r="135" spans="1:6">
      <c r="A135" s="19">
        <v>46193</v>
      </c>
      <c r="B135" t="s">
        <v>101</v>
      </c>
      <c r="C135">
        <v>100005002</v>
      </c>
      <c r="D135" t="s">
        <v>66</v>
      </c>
      <c r="E135" t="s">
        <v>21</v>
      </c>
      <c r="F135" s="15">
        <v>36000</v>
      </c>
    </row>
    <row r="136" spans="1:6">
      <c r="A136" s="19">
        <v>46193</v>
      </c>
      <c r="B136" t="s">
        <v>101</v>
      </c>
      <c r="C136">
        <v>100005003</v>
      </c>
      <c r="D136" t="s">
        <v>67</v>
      </c>
      <c r="E136" t="s">
        <v>21</v>
      </c>
      <c r="F136" s="15">
        <v>36000</v>
      </c>
    </row>
    <row r="137" spans="1:6">
      <c r="A137" s="19">
        <v>46193</v>
      </c>
      <c r="B137" t="s">
        <v>101</v>
      </c>
      <c r="C137">
        <v>100005004</v>
      </c>
      <c r="D137" t="s">
        <v>68</v>
      </c>
      <c r="E137" t="s">
        <v>21</v>
      </c>
      <c r="F137" s="15">
        <v>25599.999999999996</v>
      </c>
    </row>
    <row r="138" spans="1:6">
      <c r="A138" s="19">
        <v>46193</v>
      </c>
      <c r="B138" t="s">
        <v>101</v>
      </c>
      <c r="C138">
        <v>100005005</v>
      </c>
      <c r="D138" t="s">
        <v>69</v>
      </c>
      <c r="E138" t="s">
        <v>21</v>
      </c>
      <c r="F138" s="15">
        <v>48000</v>
      </c>
    </row>
    <row r="139" spans="1:6">
      <c r="A139" s="19">
        <v>46193</v>
      </c>
      <c r="B139" t="s">
        <v>101</v>
      </c>
      <c r="C139">
        <v>100005006</v>
      </c>
      <c r="D139" t="s">
        <v>65</v>
      </c>
      <c r="E139" t="s">
        <v>22</v>
      </c>
      <c r="F139" s="15">
        <v>60000</v>
      </c>
    </row>
    <row r="140" spans="1:6">
      <c r="A140" s="19">
        <v>46193</v>
      </c>
      <c r="B140" t="s">
        <v>101</v>
      </c>
      <c r="C140">
        <v>100005009</v>
      </c>
      <c r="D140" t="s">
        <v>70</v>
      </c>
      <c r="E140" t="s">
        <v>22</v>
      </c>
      <c r="F140" s="15">
        <v>60000</v>
      </c>
    </row>
    <row r="141" spans="1:6">
      <c r="A141" s="19">
        <v>46193</v>
      </c>
      <c r="B141" t="s">
        <v>101</v>
      </c>
      <c r="C141">
        <v>100005010</v>
      </c>
      <c r="D141" t="s">
        <v>70</v>
      </c>
      <c r="E141" t="s">
        <v>22</v>
      </c>
      <c r="F141" s="15">
        <v>60000</v>
      </c>
    </row>
    <row r="142" spans="1:6">
      <c r="A142" s="19">
        <v>46193</v>
      </c>
      <c r="B142" t="s">
        <v>101</v>
      </c>
      <c r="C142">
        <v>100005011</v>
      </c>
      <c r="D142" t="s">
        <v>70</v>
      </c>
      <c r="E142" t="s">
        <v>22</v>
      </c>
      <c r="F142" s="15">
        <v>32000</v>
      </c>
    </row>
    <row r="143" spans="1:6">
      <c r="A143" s="19">
        <v>46193</v>
      </c>
      <c r="B143" t="s">
        <v>101</v>
      </c>
      <c r="C143">
        <v>100005012</v>
      </c>
      <c r="D143" t="s">
        <v>70</v>
      </c>
      <c r="E143" t="s">
        <v>22</v>
      </c>
      <c r="F143" s="15">
        <v>60000</v>
      </c>
    </row>
    <row r="144" spans="1:6">
      <c r="A144" s="19">
        <v>46193</v>
      </c>
      <c r="B144" t="s">
        <v>101</v>
      </c>
      <c r="C144">
        <v>100005013</v>
      </c>
      <c r="D144" t="s">
        <v>70</v>
      </c>
      <c r="E144" t="s">
        <v>22</v>
      </c>
      <c r="F144" s="15">
        <v>60000</v>
      </c>
    </row>
    <row r="145" spans="1:6">
      <c r="A145" s="19">
        <v>46193</v>
      </c>
      <c r="B145" t="s">
        <v>101</v>
      </c>
      <c r="C145">
        <v>100005007</v>
      </c>
      <c r="D145" t="s">
        <v>67</v>
      </c>
      <c r="E145" t="s">
        <v>22</v>
      </c>
      <c r="F145" s="15">
        <v>42000</v>
      </c>
    </row>
    <row r="146" spans="1:6">
      <c r="A146" s="19">
        <v>46193</v>
      </c>
      <c r="B146" t="s">
        <v>101</v>
      </c>
      <c r="C146">
        <v>100005008</v>
      </c>
      <c r="D146" t="s">
        <v>69</v>
      </c>
      <c r="E146" t="s">
        <v>22</v>
      </c>
      <c r="F146" s="15">
        <v>48000</v>
      </c>
    </row>
    <row r="147" spans="1:6">
      <c r="A147" s="19">
        <v>46193</v>
      </c>
      <c r="B147" t="s">
        <v>101</v>
      </c>
      <c r="C147">
        <v>100005000</v>
      </c>
      <c r="D147" t="s">
        <v>71</v>
      </c>
      <c r="E147" t="s">
        <v>83</v>
      </c>
      <c r="F147" s="15">
        <v>24000</v>
      </c>
    </row>
    <row r="148" spans="1:6">
      <c r="A148" s="19">
        <v>46208</v>
      </c>
      <c r="B148" t="s">
        <v>100</v>
      </c>
      <c r="C148">
        <v>100005001</v>
      </c>
      <c r="D148" t="s">
        <v>65</v>
      </c>
      <c r="E148" t="s">
        <v>21</v>
      </c>
      <c r="F148" s="15">
        <v>40000</v>
      </c>
    </row>
    <row r="149" spans="1:6">
      <c r="A149" s="19">
        <v>46208</v>
      </c>
      <c r="B149" t="s">
        <v>100</v>
      </c>
      <c r="C149">
        <v>100005002</v>
      </c>
      <c r="D149" t="s">
        <v>66</v>
      </c>
      <c r="E149" t="s">
        <v>21</v>
      </c>
      <c r="F149" s="15">
        <v>24000</v>
      </c>
    </row>
    <row r="150" spans="1:6">
      <c r="A150" s="19">
        <v>46208</v>
      </c>
      <c r="B150" t="s">
        <v>100</v>
      </c>
      <c r="C150">
        <v>100005003</v>
      </c>
      <c r="D150" t="s">
        <v>67</v>
      </c>
      <c r="E150" t="s">
        <v>21</v>
      </c>
      <c r="F150" s="15">
        <v>24000</v>
      </c>
    </row>
    <row r="151" spans="1:6">
      <c r="A151" s="19">
        <v>46208</v>
      </c>
      <c r="B151" t="s">
        <v>100</v>
      </c>
      <c r="C151">
        <v>100005004</v>
      </c>
      <c r="D151" t="s">
        <v>68</v>
      </c>
      <c r="E151" t="s">
        <v>21</v>
      </c>
      <c r="F151" s="15">
        <v>32000</v>
      </c>
    </row>
    <row r="152" spans="1:6">
      <c r="A152" s="19">
        <v>46208</v>
      </c>
      <c r="B152" t="s">
        <v>100</v>
      </c>
      <c r="C152">
        <v>100005005</v>
      </c>
      <c r="D152" t="s">
        <v>69</v>
      </c>
      <c r="E152" t="s">
        <v>21</v>
      </c>
      <c r="F152" s="15">
        <v>53677.419354838712</v>
      </c>
    </row>
    <row r="153" spans="1:6">
      <c r="A153" s="19">
        <v>46208</v>
      </c>
      <c r="B153" t="s">
        <v>100</v>
      </c>
      <c r="C153">
        <v>100005006</v>
      </c>
      <c r="D153" t="s">
        <v>65</v>
      </c>
      <c r="E153" t="s">
        <v>22</v>
      </c>
      <c r="F153" s="15">
        <v>40000</v>
      </c>
    </row>
    <row r="154" spans="1:6">
      <c r="A154" s="19">
        <v>46208</v>
      </c>
      <c r="B154" t="s">
        <v>100</v>
      </c>
      <c r="C154">
        <v>100005009</v>
      </c>
      <c r="D154" t="s">
        <v>70</v>
      </c>
      <c r="E154" t="s">
        <v>22</v>
      </c>
      <c r="F154" s="15">
        <v>40000</v>
      </c>
    </row>
    <row r="155" spans="1:6">
      <c r="A155" s="19">
        <v>46208</v>
      </c>
      <c r="B155" t="s">
        <v>100</v>
      </c>
      <c r="C155">
        <v>100005010</v>
      </c>
      <c r="D155" t="s">
        <v>70</v>
      </c>
      <c r="E155" t="s">
        <v>22</v>
      </c>
      <c r="F155" s="15">
        <v>40000</v>
      </c>
    </row>
    <row r="156" spans="1:6">
      <c r="A156" s="19">
        <v>46208</v>
      </c>
      <c r="B156" t="s">
        <v>100</v>
      </c>
      <c r="C156">
        <v>100005011</v>
      </c>
      <c r="D156" t="s">
        <v>70</v>
      </c>
      <c r="E156" t="s">
        <v>22</v>
      </c>
      <c r="F156" s="15">
        <v>40000</v>
      </c>
    </row>
    <row r="157" spans="1:6">
      <c r="A157" s="19">
        <v>46208</v>
      </c>
      <c r="B157" t="s">
        <v>100</v>
      </c>
      <c r="C157">
        <v>100005012</v>
      </c>
      <c r="D157" t="s">
        <v>70</v>
      </c>
      <c r="E157" t="s">
        <v>22</v>
      </c>
      <c r="F157" s="15">
        <v>40000</v>
      </c>
    </row>
    <row r="158" spans="1:6">
      <c r="A158" s="19">
        <v>46208</v>
      </c>
      <c r="B158" t="s">
        <v>100</v>
      </c>
      <c r="C158">
        <v>100005013</v>
      </c>
      <c r="D158" t="s">
        <v>70</v>
      </c>
      <c r="E158" t="s">
        <v>22</v>
      </c>
      <c r="F158" s="15">
        <v>67096.774193548394</v>
      </c>
    </row>
    <row r="159" spans="1:6">
      <c r="A159" s="19">
        <v>46208</v>
      </c>
      <c r="B159" t="s">
        <v>100</v>
      </c>
      <c r="C159">
        <v>100005014</v>
      </c>
      <c r="D159" t="s">
        <v>70</v>
      </c>
      <c r="E159" t="s">
        <v>22</v>
      </c>
      <c r="F159" s="15">
        <v>40000</v>
      </c>
    </row>
    <row r="160" spans="1:6">
      <c r="A160" s="19">
        <v>46208</v>
      </c>
      <c r="B160" t="s">
        <v>100</v>
      </c>
      <c r="C160">
        <v>100005007</v>
      </c>
      <c r="D160" t="s">
        <v>67</v>
      </c>
      <c r="E160" t="s">
        <v>22</v>
      </c>
      <c r="F160" s="15">
        <v>46967.741935483871</v>
      </c>
    </row>
    <row r="161" spans="1:6">
      <c r="A161" s="19">
        <v>46208</v>
      </c>
      <c r="B161" t="s">
        <v>100</v>
      </c>
      <c r="C161">
        <v>100005008</v>
      </c>
      <c r="D161" t="s">
        <v>69</v>
      </c>
      <c r="E161" t="s">
        <v>22</v>
      </c>
      <c r="F161" s="15">
        <v>32000</v>
      </c>
    </row>
    <row r="162" spans="1:6">
      <c r="A162" s="19">
        <v>46208</v>
      </c>
      <c r="B162" t="s">
        <v>100</v>
      </c>
      <c r="C162">
        <v>100005000</v>
      </c>
      <c r="D162" t="s">
        <v>71</v>
      </c>
      <c r="E162" t="s">
        <v>83</v>
      </c>
      <c r="F162" s="15">
        <v>16000</v>
      </c>
    </row>
    <row r="163" spans="1:6">
      <c r="A163" s="19">
        <v>46223</v>
      </c>
      <c r="B163" t="s">
        <v>101</v>
      </c>
      <c r="C163">
        <v>100005001</v>
      </c>
      <c r="D163" t="s">
        <v>65</v>
      </c>
      <c r="E163" t="s">
        <v>21</v>
      </c>
      <c r="F163" s="15">
        <v>60000</v>
      </c>
    </row>
    <row r="164" spans="1:6">
      <c r="A164" s="19">
        <v>46223</v>
      </c>
      <c r="B164" t="s">
        <v>101</v>
      </c>
      <c r="C164">
        <v>100005002</v>
      </c>
      <c r="D164" t="s">
        <v>66</v>
      </c>
      <c r="E164" t="s">
        <v>21</v>
      </c>
      <c r="F164" s="15">
        <v>36000</v>
      </c>
    </row>
    <row r="165" spans="1:6">
      <c r="A165" s="19">
        <v>46223</v>
      </c>
      <c r="B165" t="s">
        <v>101</v>
      </c>
      <c r="C165">
        <v>100005003</v>
      </c>
      <c r="D165" t="s">
        <v>67</v>
      </c>
      <c r="E165" t="s">
        <v>21</v>
      </c>
      <c r="F165" s="15">
        <v>36000</v>
      </c>
    </row>
    <row r="166" spans="1:6">
      <c r="A166" s="19">
        <v>46223</v>
      </c>
      <c r="B166" t="s">
        <v>101</v>
      </c>
      <c r="C166">
        <v>100005004</v>
      </c>
      <c r="D166" t="s">
        <v>68</v>
      </c>
      <c r="E166" t="s">
        <v>21</v>
      </c>
      <c r="F166" s="15">
        <v>48000</v>
      </c>
    </row>
    <row r="167" spans="1:6">
      <c r="A167" s="19">
        <v>46223</v>
      </c>
      <c r="B167" t="s">
        <v>101</v>
      </c>
      <c r="C167">
        <v>100005005</v>
      </c>
      <c r="D167" t="s">
        <v>69</v>
      </c>
      <c r="E167" t="s">
        <v>21</v>
      </c>
      <c r="F167" s="15">
        <v>26322.580645161292</v>
      </c>
    </row>
    <row r="168" spans="1:6">
      <c r="A168" s="19">
        <v>46223</v>
      </c>
      <c r="B168" t="s">
        <v>101</v>
      </c>
      <c r="C168">
        <v>100005006</v>
      </c>
      <c r="D168" t="s">
        <v>65</v>
      </c>
      <c r="E168" t="s">
        <v>22</v>
      </c>
      <c r="F168" s="15">
        <v>60000</v>
      </c>
    </row>
    <row r="169" spans="1:6">
      <c r="A169" s="19">
        <v>46223</v>
      </c>
      <c r="B169" t="s">
        <v>101</v>
      </c>
      <c r="C169">
        <v>100005009</v>
      </c>
      <c r="D169" t="s">
        <v>70</v>
      </c>
      <c r="E169" t="s">
        <v>22</v>
      </c>
      <c r="F169" s="15">
        <v>60000</v>
      </c>
    </row>
    <row r="170" spans="1:6">
      <c r="A170" s="19">
        <v>46223</v>
      </c>
      <c r="B170" t="s">
        <v>101</v>
      </c>
      <c r="C170">
        <v>100005010</v>
      </c>
      <c r="D170" t="s">
        <v>70</v>
      </c>
      <c r="E170" t="s">
        <v>22</v>
      </c>
      <c r="F170" s="15">
        <v>60000</v>
      </c>
    </row>
    <row r="171" spans="1:6">
      <c r="A171" s="19">
        <v>46223</v>
      </c>
      <c r="B171" t="s">
        <v>101</v>
      </c>
      <c r="C171">
        <v>100005011</v>
      </c>
      <c r="D171" t="s">
        <v>70</v>
      </c>
      <c r="E171" t="s">
        <v>22</v>
      </c>
      <c r="F171" s="15">
        <v>60000</v>
      </c>
    </row>
    <row r="172" spans="1:6">
      <c r="A172" s="19">
        <v>46223</v>
      </c>
      <c r="B172" t="s">
        <v>101</v>
      </c>
      <c r="C172">
        <v>100005012</v>
      </c>
      <c r="D172" t="s">
        <v>70</v>
      </c>
      <c r="E172" t="s">
        <v>22</v>
      </c>
      <c r="F172" s="15">
        <v>60000</v>
      </c>
    </row>
    <row r="173" spans="1:6">
      <c r="A173" s="19">
        <v>46223</v>
      </c>
      <c r="B173" t="s">
        <v>101</v>
      </c>
      <c r="C173">
        <v>100005013</v>
      </c>
      <c r="D173" t="s">
        <v>70</v>
      </c>
      <c r="E173" t="s">
        <v>22</v>
      </c>
      <c r="F173" s="15">
        <v>32903.225806451614</v>
      </c>
    </row>
    <row r="174" spans="1:6">
      <c r="A174" s="19">
        <v>46223</v>
      </c>
      <c r="B174" t="s">
        <v>101</v>
      </c>
      <c r="C174">
        <v>100005014</v>
      </c>
      <c r="D174" t="s">
        <v>70</v>
      </c>
      <c r="E174" t="s">
        <v>22</v>
      </c>
      <c r="F174" s="15">
        <v>60000</v>
      </c>
    </row>
    <row r="175" spans="1:6">
      <c r="A175" s="19">
        <v>46223</v>
      </c>
      <c r="B175" t="s">
        <v>101</v>
      </c>
      <c r="C175">
        <v>100005007</v>
      </c>
      <c r="D175" t="s">
        <v>67</v>
      </c>
      <c r="E175" t="s">
        <v>22</v>
      </c>
      <c r="F175" s="15">
        <v>23032.258064516125</v>
      </c>
    </row>
    <row r="176" spans="1:6">
      <c r="A176" s="19">
        <v>46223</v>
      </c>
      <c r="B176" t="s">
        <v>101</v>
      </c>
      <c r="C176">
        <v>100005008</v>
      </c>
      <c r="D176" t="s">
        <v>69</v>
      </c>
      <c r="E176" t="s">
        <v>22</v>
      </c>
      <c r="F176" s="15">
        <v>48000</v>
      </c>
    </row>
    <row r="177" spans="1:6">
      <c r="A177" s="19">
        <v>46223</v>
      </c>
      <c r="B177" t="s">
        <v>101</v>
      </c>
      <c r="C177">
        <v>100005000</v>
      </c>
      <c r="D177" t="s">
        <v>71</v>
      </c>
      <c r="E177" t="s">
        <v>83</v>
      </c>
      <c r="F177" s="15">
        <v>24000</v>
      </c>
    </row>
    <row r="178" spans="1:6">
      <c r="A178" s="19">
        <v>46239</v>
      </c>
      <c r="B178" t="s">
        <v>100</v>
      </c>
      <c r="C178">
        <v>100005001</v>
      </c>
      <c r="D178" t="s">
        <v>65</v>
      </c>
      <c r="E178" t="s">
        <v>21</v>
      </c>
      <c r="F178" s="15">
        <v>40000</v>
      </c>
    </row>
    <row r="179" spans="1:6">
      <c r="A179" s="19">
        <v>46239</v>
      </c>
      <c r="B179" t="s">
        <v>100</v>
      </c>
      <c r="C179">
        <v>100005002</v>
      </c>
      <c r="D179" t="s">
        <v>66</v>
      </c>
      <c r="E179" t="s">
        <v>21</v>
      </c>
      <c r="F179" s="15">
        <v>24000</v>
      </c>
    </row>
    <row r="180" spans="1:6">
      <c r="A180" s="19">
        <v>46239</v>
      </c>
      <c r="B180" t="s">
        <v>100</v>
      </c>
      <c r="C180">
        <v>100005003</v>
      </c>
      <c r="D180" t="s">
        <v>67</v>
      </c>
      <c r="E180" t="s">
        <v>21</v>
      </c>
      <c r="F180" s="15">
        <v>40258.06451612903</v>
      </c>
    </row>
    <row r="181" spans="1:6">
      <c r="A181" s="19">
        <v>46239</v>
      </c>
      <c r="B181" t="s">
        <v>100</v>
      </c>
      <c r="C181">
        <v>100005004</v>
      </c>
      <c r="D181" t="s">
        <v>68</v>
      </c>
      <c r="E181" t="s">
        <v>21</v>
      </c>
      <c r="F181" s="15">
        <v>32000</v>
      </c>
    </row>
    <row r="182" spans="1:6">
      <c r="A182" s="19">
        <v>46239</v>
      </c>
      <c r="B182" t="s">
        <v>100</v>
      </c>
      <c r="C182">
        <v>100005005</v>
      </c>
      <c r="D182" t="s">
        <v>69</v>
      </c>
      <c r="E182" t="s">
        <v>21</v>
      </c>
      <c r="F182" s="15">
        <v>32000</v>
      </c>
    </row>
    <row r="183" spans="1:6">
      <c r="A183" s="19">
        <v>46239</v>
      </c>
      <c r="B183" t="s">
        <v>100</v>
      </c>
      <c r="C183">
        <v>100005006</v>
      </c>
      <c r="D183" t="s">
        <v>65</v>
      </c>
      <c r="E183" t="s">
        <v>22</v>
      </c>
      <c r="F183" s="15">
        <v>67096.774193548394</v>
      </c>
    </row>
    <row r="184" spans="1:6">
      <c r="A184" s="19">
        <v>46239</v>
      </c>
      <c r="B184" t="s">
        <v>100</v>
      </c>
      <c r="C184">
        <v>100005009</v>
      </c>
      <c r="D184" t="s">
        <v>70</v>
      </c>
      <c r="E184" t="s">
        <v>22</v>
      </c>
      <c r="F184" s="15">
        <v>67096.774193548394</v>
      </c>
    </row>
    <row r="185" spans="1:6">
      <c r="A185" s="19">
        <v>46239</v>
      </c>
      <c r="B185" t="s">
        <v>100</v>
      </c>
      <c r="C185">
        <v>100005010</v>
      </c>
      <c r="D185" t="s">
        <v>70</v>
      </c>
      <c r="E185" t="s">
        <v>22</v>
      </c>
      <c r="F185" s="15">
        <v>40000</v>
      </c>
    </row>
    <row r="186" spans="1:6">
      <c r="A186" s="19">
        <v>46239</v>
      </c>
      <c r="B186" t="s">
        <v>100</v>
      </c>
      <c r="C186">
        <v>100005011</v>
      </c>
      <c r="D186" t="s">
        <v>70</v>
      </c>
      <c r="E186" t="s">
        <v>22</v>
      </c>
      <c r="F186" s="15">
        <v>40000</v>
      </c>
    </row>
    <row r="187" spans="1:6">
      <c r="A187" s="19">
        <v>46239</v>
      </c>
      <c r="B187" t="s">
        <v>100</v>
      </c>
      <c r="C187">
        <v>100005012</v>
      </c>
      <c r="D187" t="s">
        <v>70</v>
      </c>
      <c r="E187" t="s">
        <v>22</v>
      </c>
      <c r="F187" s="15">
        <v>67096.774193548394</v>
      </c>
    </row>
    <row r="188" spans="1:6">
      <c r="A188" s="19">
        <v>46239</v>
      </c>
      <c r="B188" t="s">
        <v>100</v>
      </c>
      <c r="C188">
        <v>100005013</v>
      </c>
      <c r="D188" t="s">
        <v>70</v>
      </c>
      <c r="E188" t="s">
        <v>22</v>
      </c>
      <c r="F188" s="15">
        <v>40000</v>
      </c>
    </row>
    <row r="189" spans="1:6">
      <c r="A189" s="19">
        <v>46239</v>
      </c>
      <c r="B189" t="s">
        <v>100</v>
      </c>
      <c r="C189">
        <v>100005014</v>
      </c>
      <c r="D189" t="s">
        <v>70</v>
      </c>
      <c r="E189" t="s">
        <v>22</v>
      </c>
      <c r="F189" s="15">
        <v>40000</v>
      </c>
    </row>
    <row r="190" spans="1:6">
      <c r="A190" s="19">
        <v>46239</v>
      </c>
      <c r="B190" t="s">
        <v>100</v>
      </c>
      <c r="C190">
        <v>100005015</v>
      </c>
      <c r="D190" t="s">
        <v>70</v>
      </c>
      <c r="E190" t="s">
        <v>22</v>
      </c>
      <c r="F190" s="15">
        <v>40000</v>
      </c>
    </row>
    <row r="191" spans="1:6">
      <c r="A191" s="19">
        <v>46239</v>
      </c>
      <c r="B191" t="s">
        <v>100</v>
      </c>
      <c r="C191">
        <v>100005007</v>
      </c>
      <c r="D191" t="s">
        <v>67</v>
      </c>
      <c r="E191" t="s">
        <v>22</v>
      </c>
      <c r="F191" s="15">
        <v>28000</v>
      </c>
    </row>
    <row r="192" spans="1:6">
      <c r="A192" s="19">
        <v>46239</v>
      </c>
      <c r="B192" t="s">
        <v>100</v>
      </c>
      <c r="C192">
        <v>100005008</v>
      </c>
      <c r="D192" t="s">
        <v>69</v>
      </c>
      <c r="E192" t="s">
        <v>22</v>
      </c>
      <c r="F192" s="15">
        <v>53677.419354838712</v>
      </c>
    </row>
    <row r="193" spans="1:6">
      <c r="A193" s="19">
        <v>46239</v>
      </c>
      <c r="B193" t="s">
        <v>100</v>
      </c>
      <c r="C193">
        <v>100005000</v>
      </c>
      <c r="D193" t="s">
        <v>71</v>
      </c>
      <c r="E193" t="s">
        <v>83</v>
      </c>
      <c r="F193" s="15">
        <v>26838.709677419356</v>
      </c>
    </row>
    <row r="194" spans="1:6">
      <c r="A194" s="19">
        <v>46254</v>
      </c>
      <c r="B194" t="s">
        <v>101</v>
      </c>
      <c r="C194">
        <v>100005001</v>
      </c>
      <c r="D194" t="s">
        <v>65</v>
      </c>
      <c r="E194" t="s">
        <v>21</v>
      </c>
      <c r="F194" s="15">
        <v>60000</v>
      </c>
    </row>
    <row r="195" spans="1:6">
      <c r="A195" s="19">
        <v>46254</v>
      </c>
      <c r="B195" t="s">
        <v>101</v>
      </c>
      <c r="C195">
        <v>100005002</v>
      </c>
      <c r="D195" t="s">
        <v>66</v>
      </c>
      <c r="E195" t="s">
        <v>21</v>
      </c>
      <c r="F195" s="15">
        <v>36000</v>
      </c>
    </row>
    <row r="196" spans="1:6">
      <c r="A196" s="19">
        <v>46254</v>
      </c>
      <c r="B196" t="s">
        <v>101</v>
      </c>
      <c r="C196">
        <v>100005003</v>
      </c>
      <c r="D196" t="s">
        <v>67</v>
      </c>
      <c r="E196" t="s">
        <v>21</v>
      </c>
      <c r="F196" s="15">
        <v>19741.935483870966</v>
      </c>
    </row>
    <row r="197" spans="1:6">
      <c r="A197" s="19">
        <v>46254</v>
      </c>
      <c r="B197" t="s">
        <v>101</v>
      </c>
      <c r="C197">
        <v>100005004</v>
      </c>
      <c r="D197" t="s">
        <v>68</v>
      </c>
      <c r="E197" t="s">
        <v>21</v>
      </c>
      <c r="F197" s="15">
        <v>48000</v>
      </c>
    </row>
    <row r="198" spans="1:6">
      <c r="A198" s="19">
        <v>46254</v>
      </c>
      <c r="B198" t="s">
        <v>101</v>
      </c>
      <c r="C198">
        <v>100005005</v>
      </c>
      <c r="D198" t="s">
        <v>69</v>
      </c>
      <c r="E198" t="s">
        <v>21</v>
      </c>
      <c r="F198" s="15">
        <v>48000</v>
      </c>
    </row>
    <row r="199" spans="1:6">
      <c r="A199" s="19">
        <v>46254</v>
      </c>
      <c r="B199" t="s">
        <v>101</v>
      </c>
      <c r="C199">
        <v>100005006</v>
      </c>
      <c r="D199" t="s">
        <v>65</v>
      </c>
      <c r="E199" t="s">
        <v>22</v>
      </c>
      <c r="F199" s="15">
        <v>32903.225806451614</v>
      </c>
    </row>
    <row r="200" spans="1:6">
      <c r="A200" s="19">
        <v>46254</v>
      </c>
      <c r="B200" t="s">
        <v>101</v>
      </c>
      <c r="C200">
        <v>100005009</v>
      </c>
      <c r="D200" t="s">
        <v>70</v>
      </c>
      <c r="E200" t="s">
        <v>22</v>
      </c>
      <c r="F200" s="15">
        <v>32903.225806451614</v>
      </c>
    </row>
    <row r="201" spans="1:6">
      <c r="A201" s="19">
        <v>46254</v>
      </c>
      <c r="B201" t="s">
        <v>101</v>
      </c>
      <c r="C201">
        <v>100005010</v>
      </c>
      <c r="D201" t="s">
        <v>70</v>
      </c>
      <c r="E201" t="s">
        <v>22</v>
      </c>
      <c r="F201" s="15">
        <v>60000</v>
      </c>
    </row>
    <row r="202" spans="1:6">
      <c r="A202" s="19">
        <v>46254</v>
      </c>
      <c r="B202" t="s">
        <v>101</v>
      </c>
      <c r="C202">
        <v>100005011</v>
      </c>
      <c r="D202" t="s">
        <v>70</v>
      </c>
      <c r="E202" t="s">
        <v>22</v>
      </c>
      <c r="F202" s="15">
        <v>60000</v>
      </c>
    </row>
    <row r="203" spans="1:6">
      <c r="A203" s="19">
        <v>46254</v>
      </c>
      <c r="B203" t="s">
        <v>101</v>
      </c>
      <c r="C203">
        <v>100005012</v>
      </c>
      <c r="D203" t="s">
        <v>70</v>
      </c>
      <c r="E203" t="s">
        <v>22</v>
      </c>
      <c r="F203" s="15">
        <v>32903.225806451614</v>
      </c>
    </row>
    <row r="204" spans="1:6">
      <c r="A204" s="19">
        <v>46254</v>
      </c>
      <c r="B204" t="s">
        <v>101</v>
      </c>
      <c r="C204">
        <v>100005013</v>
      </c>
      <c r="D204" t="s">
        <v>70</v>
      </c>
      <c r="E204" t="s">
        <v>22</v>
      </c>
      <c r="F204" s="15">
        <v>60000</v>
      </c>
    </row>
    <row r="205" spans="1:6">
      <c r="A205" s="19">
        <v>46254</v>
      </c>
      <c r="B205" t="s">
        <v>101</v>
      </c>
      <c r="C205">
        <v>100005014</v>
      </c>
      <c r="D205" t="s">
        <v>70</v>
      </c>
      <c r="E205" t="s">
        <v>22</v>
      </c>
      <c r="F205" s="15">
        <v>60000</v>
      </c>
    </row>
    <row r="206" spans="1:6">
      <c r="A206" s="19">
        <v>46254</v>
      </c>
      <c r="B206" t="s">
        <v>101</v>
      </c>
      <c r="C206">
        <v>100005015</v>
      </c>
      <c r="D206" t="s">
        <v>70</v>
      </c>
      <c r="E206" t="s">
        <v>22</v>
      </c>
      <c r="F206" s="15">
        <v>60000</v>
      </c>
    </row>
    <row r="207" spans="1:6">
      <c r="A207" s="19">
        <v>46254</v>
      </c>
      <c r="B207" t="s">
        <v>101</v>
      </c>
      <c r="C207">
        <v>100005007</v>
      </c>
      <c r="D207" t="s">
        <v>67</v>
      </c>
      <c r="E207" t="s">
        <v>22</v>
      </c>
      <c r="F207" s="15">
        <v>42000</v>
      </c>
    </row>
    <row r="208" spans="1:6">
      <c r="A208" s="19">
        <v>46254</v>
      </c>
      <c r="B208" t="s">
        <v>101</v>
      </c>
      <c r="C208">
        <v>100005008</v>
      </c>
      <c r="D208" t="s">
        <v>69</v>
      </c>
      <c r="E208" t="s">
        <v>22</v>
      </c>
      <c r="F208" s="15">
        <v>26322.580645161292</v>
      </c>
    </row>
    <row r="209" spans="1:6">
      <c r="A209" s="19">
        <v>46254</v>
      </c>
      <c r="B209" t="s">
        <v>101</v>
      </c>
      <c r="C209">
        <v>100005000</v>
      </c>
      <c r="D209" t="s">
        <v>71</v>
      </c>
      <c r="E209" t="s">
        <v>83</v>
      </c>
      <c r="F209" s="15">
        <v>13161.290322580646</v>
      </c>
    </row>
    <row r="210" spans="1:6">
      <c r="A210" s="19">
        <v>46270</v>
      </c>
      <c r="B210" t="s">
        <v>100</v>
      </c>
      <c r="C210">
        <v>100005001</v>
      </c>
      <c r="D210" t="s">
        <v>65</v>
      </c>
      <c r="E210" t="s">
        <v>21</v>
      </c>
      <c r="F210" s="15">
        <v>68000</v>
      </c>
    </row>
    <row r="211" spans="1:6">
      <c r="A211" s="19">
        <v>46270</v>
      </c>
      <c r="B211" t="s">
        <v>100</v>
      </c>
      <c r="C211">
        <v>100005002</v>
      </c>
      <c r="D211" t="s">
        <v>66</v>
      </c>
      <c r="E211" t="s">
        <v>21</v>
      </c>
      <c r="F211" s="15">
        <v>24000</v>
      </c>
    </row>
    <row r="212" spans="1:6">
      <c r="A212" s="19">
        <v>46270</v>
      </c>
      <c r="B212" t="s">
        <v>100</v>
      </c>
      <c r="C212">
        <v>100005003</v>
      </c>
      <c r="D212" t="s">
        <v>67</v>
      </c>
      <c r="E212" t="s">
        <v>21</v>
      </c>
      <c r="F212" s="15">
        <v>24000</v>
      </c>
    </row>
    <row r="213" spans="1:6">
      <c r="A213" s="19">
        <v>46270</v>
      </c>
      <c r="B213" t="s">
        <v>100</v>
      </c>
      <c r="C213">
        <v>100005004</v>
      </c>
      <c r="D213" t="s">
        <v>68</v>
      </c>
      <c r="E213" t="s">
        <v>21</v>
      </c>
      <c r="F213" s="15">
        <v>32000</v>
      </c>
    </row>
    <row r="214" spans="1:6">
      <c r="A214" s="19">
        <v>46270</v>
      </c>
      <c r="B214" t="s">
        <v>100</v>
      </c>
      <c r="C214">
        <v>100005005</v>
      </c>
      <c r="D214" t="s">
        <v>69</v>
      </c>
      <c r="E214" t="s">
        <v>21</v>
      </c>
      <c r="F214" s="15">
        <v>54400</v>
      </c>
    </row>
    <row r="215" spans="1:6">
      <c r="A215" s="19">
        <v>46270</v>
      </c>
      <c r="B215" t="s">
        <v>100</v>
      </c>
      <c r="C215">
        <v>100005006</v>
      </c>
      <c r="D215" t="s">
        <v>65</v>
      </c>
      <c r="E215" t="s">
        <v>22</v>
      </c>
      <c r="F215" s="15">
        <v>40000</v>
      </c>
    </row>
    <row r="216" spans="1:6">
      <c r="A216" s="19">
        <v>46270</v>
      </c>
      <c r="B216" t="s">
        <v>100</v>
      </c>
      <c r="C216">
        <v>100005009</v>
      </c>
      <c r="D216" t="s">
        <v>70</v>
      </c>
      <c r="E216" t="s">
        <v>22</v>
      </c>
      <c r="F216" s="15">
        <v>40000</v>
      </c>
    </row>
    <row r="217" spans="1:6">
      <c r="A217" s="19">
        <v>46270</v>
      </c>
      <c r="B217" t="s">
        <v>100</v>
      </c>
      <c r="C217">
        <v>100005010</v>
      </c>
      <c r="D217" t="s">
        <v>70</v>
      </c>
      <c r="E217" t="s">
        <v>22</v>
      </c>
      <c r="F217" s="15">
        <v>40000</v>
      </c>
    </row>
    <row r="218" spans="1:6">
      <c r="A218" s="19">
        <v>46270</v>
      </c>
      <c r="B218" t="s">
        <v>100</v>
      </c>
      <c r="C218">
        <v>100005011</v>
      </c>
      <c r="D218" t="s">
        <v>70</v>
      </c>
      <c r="E218" t="s">
        <v>22</v>
      </c>
      <c r="F218" s="15">
        <v>40000</v>
      </c>
    </row>
    <row r="219" spans="1:6">
      <c r="A219" s="19">
        <v>46270</v>
      </c>
      <c r="B219" t="s">
        <v>100</v>
      </c>
      <c r="C219">
        <v>100005012</v>
      </c>
      <c r="D219" t="s">
        <v>70</v>
      </c>
      <c r="E219" t="s">
        <v>22</v>
      </c>
      <c r="F219" s="15">
        <v>40000</v>
      </c>
    </row>
    <row r="220" spans="1:6">
      <c r="A220" s="19">
        <v>46270</v>
      </c>
      <c r="B220" t="s">
        <v>100</v>
      </c>
      <c r="C220">
        <v>100005013</v>
      </c>
      <c r="D220" t="s">
        <v>70</v>
      </c>
      <c r="E220" t="s">
        <v>22</v>
      </c>
      <c r="F220" s="15">
        <v>40000</v>
      </c>
    </row>
    <row r="221" spans="1:6">
      <c r="A221" s="19">
        <v>46270</v>
      </c>
      <c r="B221" t="s">
        <v>100</v>
      </c>
      <c r="C221">
        <v>100005014</v>
      </c>
      <c r="D221" t="s">
        <v>70</v>
      </c>
      <c r="E221" t="s">
        <v>22</v>
      </c>
      <c r="F221" s="15">
        <v>40000</v>
      </c>
    </row>
    <row r="222" spans="1:6">
      <c r="A222" s="19">
        <v>46270</v>
      </c>
      <c r="B222" t="s">
        <v>100</v>
      </c>
      <c r="C222">
        <v>100005015</v>
      </c>
      <c r="D222" t="s">
        <v>70</v>
      </c>
      <c r="E222" t="s">
        <v>22</v>
      </c>
      <c r="F222" s="15">
        <v>68000</v>
      </c>
    </row>
    <row r="223" spans="1:6">
      <c r="A223" s="19">
        <v>46270</v>
      </c>
      <c r="B223" t="s">
        <v>100</v>
      </c>
      <c r="C223">
        <v>100005016</v>
      </c>
      <c r="D223" t="s">
        <v>70</v>
      </c>
      <c r="E223" t="s">
        <v>22</v>
      </c>
      <c r="F223" s="15">
        <v>40000</v>
      </c>
    </row>
    <row r="224" spans="1:6">
      <c r="A224" s="19">
        <v>46270</v>
      </c>
      <c r="B224" t="s">
        <v>100</v>
      </c>
      <c r="C224">
        <v>100005007</v>
      </c>
      <c r="D224" t="s">
        <v>67</v>
      </c>
      <c r="E224" t="s">
        <v>22</v>
      </c>
      <c r="F224" s="15">
        <v>28000</v>
      </c>
    </row>
    <row r="225" spans="1:6">
      <c r="A225" s="19">
        <v>46270</v>
      </c>
      <c r="B225" t="s">
        <v>100</v>
      </c>
      <c r="C225">
        <v>100005008</v>
      </c>
      <c r="D225" t="s">
        <v>69</v>
      </c>
      <c r="E225" t="s">
        <v>22</v>
      </c>
      <c r="F225" s="15">
        <v>32000</v>
      </c>
    </row>
    <row r="226" spans="1:6">
      <c r="A226" s="19">
        <v>46270</v>
      </c>
      <c r="B226" t="s">
        <v>100</v>
      </c>
      <c r="C226">
        <v>100005000</v>
      </c>
      <c r="D226" t="s">
        <v>71</v>
      </c>
      <c r="E226" t="s">
        <v>83</v>
      </c>
      <c r="F226" s="15">
        <v>16000</v>
      </c>
    </row>
    <row r="227" spans="1:6">
      <c r="A227" s="19">
        <v>46285</v>
      </c>
      <c r="B227" t="s">
        <v>101</v>
      </c>
      <c r="C227">
        <v>100005001</v>
      </c>
      <c r="D227" t="s">
        <v>65</v>
      </c>
      <c r="E227" t="s">
        <v>21</v>
      </c>
      <c r="F227" s="15">
        <v>32000</v>
      </c>
    </row>
    <row r="228" spans="1:6">
      <c r="A228" s="19">
        <v>46285</v>
      </c>
      <c r="B228" t="s">
        <v>101</v>
      </c>
      <c r="C228">
        <v>100005002</v>
      </c>
      <c r="D228" t="s">
        <v>66</v>
      </c>
      <c r="E228" t="s">
        <v>21</v>
      </c>
      <c r="F228" s="15">
        <v>36000</v>
      </c>
    </row>
    <row r="229" spans="1:6">
      <c r="A229" s="19">
        <v>46285</v>
      </c>
      <c r="B229" t="s">
        <v>101</v>
      </c>
      <c r="C229">
        <v>100005003</v>
      </c>
      <c r="D229" t="s">
        <v>67</v>
      </c>
      <c r="E229" t="s">
        <v>21</v>
      </c>
      <c r="F229" s="15">
        <v>36000</v>
      </c>
    </row>
    <row r="230" spans="1:6">
      <c r="A230" s="19">
        <v>46285</v>
      </c>
      <c r="B230" t="s">
        <v>101</v>
      </c>
      <c r="C230">
        <v>100005004</v>
      </c>
      <c r="D230" t="s">
        <v>68</v>
      </c>
      <c r="E230" t="s">
        <v>21</v>
      </c>
      <c r="F230" s="15">
        <v>48000</v>
      </c>
    </row>
    <row r="231" spans="1:6">
      <c r="A231" s="19">
        <v>46285</v>
      </c>
      <c r="B231" t="s">
        <v>101</v>
      </c>
      <c r="C231">
        <v>100005005</v>
      </c>
      <c r="D231" t="s">
        <v>69</v>
      </c>
      <c r="E231" t="s">
        <v>21</v>
      </c>
      <c r="F231" s="15">
        <v>25599.999999999996</v>
      </c>
    </row>
    <row r="232" spans="1:6">
      <c r="A232" s="19">
        <v>46285</v>
      </c>
      <c r="B232" t="s">
        <v>101</v>
      </c>
      <c r="C232">
        <v>100005006</v>
      </c>
      <c r="D232" t="s">
        <v>65</v>
      </c>
      <c r="E232" t="s">
        <v>22</v>
      </c>
      <c r="F232" s="15">
        <v>60000</v>
      </c>
    </row>
    <row r="233" spans="1:6">
      <c r="A233" s="19">
        <v>46285</v>
      </c>
      <c r="B233" t="s">
        <v>101</v>
      </c>
      <c r="C233">
        <v>100005009</v>
      </c>
      <c r="D233" t="s">
        <v>70</v>
      </c>
      <c r="E233" t="s">
        <v>22</v>
      </c>
      <c r="F233" s="15">
        <v>60000</v>
      </c>
    </row>
    <row r="234" spans="1:6">
      <c r="A234" s="19">
        <v>46285</v>
      </c>
      <c r="B234" t="s">
        <v>101</v>
      </c>
      <c r="C234">
        <v>100005010</v>
      </c>
      <c r="D234" t="s">
        <v>70</v>
      </c>
      <c r="E234" t="s">
        <v>22</v>
      </c>
      <c r="F234" s="15">
        <v>60000</v>
      </c>
    </row>
    <row r="235" spans="1:6">
      <c r="A235" s="19">
        <v>46285</v>
      </c>
      <c r="B235" t="s">
        <v>101</v>
      </c>
      <c r="C235">
        <v>100005011</v>
      </c>
      <c r="D235" t="s">
        <v>70</v>
      </c>
      <c r="E235" t="s">
        <v>22</v>
      </c>
      <c r="F235" s="15">
        <v>60000</v>
      </c>
    </row>
    <row r="236" spans="1:6">
      <c r="A236" s="19">
        <v>46285</v>
      </c>
      <c r="B236" t="s">
        <v>101</v>
      </c>
      <c r="C236">
        <v>100005012</v>
      </c>
      <c r="D236" t="s">
        <v>70</v>
      </c>
      <c r="E236" t="s">
        <v>22</v>
      </c>
      <c r="F236" s="15">
        <v>60000</v>
      </c>
    </row>
    <row r="237" spans="1:6">
      <c r="A237" s="19">
        <v>46285</v>
      </c>
      <c r="B237" t="s">
        <v>101</v>
      </c>
      <c r="C237">
        <v>100005013</v>
      </c>
      <c r="D237" t="s">
        <v>70</v>
      </c>
      <c r="E237" t="s">
        <v>22</v>
      </c>
      <c r="F237" s="15">
        <v>60000</v>
      </c>
    </row>
    <row r="238" spans="1:6">
      <c r="A238" s="19">
        <v>46285</v>
      </c>
      <c r="B238" t="s">
        <v>101</v>
      </c>
      <c r="C238">
        <v>100005014</v>
      </c>
      <c r="D238" t="s">
        <v>70</v>
      </c>
      <c r="E238" t="s">
        <v>22</v>
      </c>
      <c r="F238" s="15">
        <v>60000</v>
      </c>
    </row>
    <row r="239" spans="1:6">
      <c r="A239" s="19">
        <v>46285</v>
      </c>
      <c r="B239" t="s">
        <v>101</v>
      </c>
      <c r="C239">
        <v>100005015</v>
      </c>
      <c r="D239" t="s">
        <v>70</v>
      </c>
      <c r="E239" t="s">
        <v>22</v>
      </c>
      <c r="F239" s="15">
        <v>32000</v>
      </c>
    </row>
    <row r="240" spans="1:6">
      <c r="A240" s="19">
        <v>46285</v>
      </c>
      <c r="B240" t="s">
        <v>101</v>
      </c>
      <c r="C240">
        <v>100005016</v>
      </c>
      <c r="D240" t="s">
        <v>70</v>
      </c>
      <c r="E240" t="s">
        <v>22</v>
      </c>
      <c r="F240" s="15">
        <v>60000</v>
      </c>
    </row>
    <row r="241" spans="1:6">
      <c r="A241" s="19">
        <v>46285</v>
      </c>
      <c r="B241" t="s">
        <v>101</v>
      </c>
      <c r="C241">
        <v>100005007</v>
      </c>
      <c r="D241" t="s">
        <v>67</v>
      </c>
      <c r="E241" t="s">
        <v>22</v>
      </c>
      <c r="F241" s="15">
        <v>42000</v>
      </c>
    </row>
    <row r="242" spans="1:6">
      <c r="A242" s="19">
        <v>46285</v>
      </c>
      <c r="B242" t="s">
        <v>101</v>
      </c>
      <c r="C242">
        <v>100005008</v>
      </c>
      <c r="D242" t="s">
        <v>69</v>
      </c>
      <c r="E242" t="s">
        <v>22</v>
      </c>
      <c r="F242" s="15">
        <v>48000</v>
      </c>
    </row>
    <row r="243" spans="1:6">
      <c r="A243" s="19">
        <v>46285</v>
      </c>
      <c r="B243" t="s">
        <v>101</v>
      </c>
      <c r="C243">
        <v>100005000</v>
      </c>
      <c r="D243" t="s">
        <v>71</v>
      </c>
      <c r="E243" t="s">
        <v>83</v>
      </c>
      <c r="F243" s="15">
        <v>24000</v>
      </c>
    </row>
    <row r="244" spans="1:6">
      <c r="A244" s="19">
        <v>46300</v>
      </c>
      <c r="B244" t="s">
        <v>100</v>
      </c>
      <c r="C244">
        <v>100005001</v>
      </c>
      <c r="D244" t="s">
        <v>65</v>
      </c>
      <c r="E244" t="s">
        <v>21</v>
      </c>
      <c r="F244" s="15">
        <v>40000</v>
      </c>
    </row>
    <row r="245" spans="1:6">
      <c r="A245" s="19">
        <v>46300</v>
      </c>
      <c r="B245" t="s">
        <v>100</v>
      </c>
      <c r="C245">
        <v>100005002</v>
      </c>
      <c r="D245" t="s">
        <v>66</v>
      </c>
      <c r="E245" t="s">
        <v>21</v>
      </c>
      <c r="F245" s="15">
        <v>24000</v>
      </c>
    </row>
    <row r="246" spans="1:6">
      <c r="A246" s="19">
        <v>46300</v>
      </c>
      <c r="B246" t="s">
        <v>100</v>
      </c>
      <c r="C246">
        <v>100005003</v>
      </c>
      <c r="D246" t="s">
        <v>67</v>
      </c>
      <c r="E246" t="s">
        <v>21</v>
      </c>
      <c r="F246" s="15">
        <v>24000</v>
      </c>
    </row>
    <row r="247" spans="1:6">
      <c r="A247" s="19">
        <v>46300</v>
      </c>
      <c r="B247" t="s">
        <v>100</v>
      </c>
      <c r="C247">
        <v>100005004</v>
      </c>
      <c r="D247" t="s">
        <v>68</v>
      </c>
      <c r="E247" t="s">
        <v>21</v>
      </c>
      <c r="F247" s="15">
        <v>32000</v>
      </c>
    </row>
    <row r="248" spans="1:6">
      <c r="A248" s="19">
        <v>46300</v>
      </c>
      <c r="B248" t="s">
        <v>100</v>
      </c>
      <c r="C248">
        <v>100005005</v>
      </c>
      <c r="D248" t="s">
        <v>69</v>
      </c>
      <c r="E248" t="s">
        <v>21</v>
      </c>
      <c r="F248" s="15">
        <v>32000</v>
      </c>
    </row>
    <row r="249" spans="1:6">
      <c r="A249" s="19">
        <v>46300</v>
      </c>
      <c r="B249" t="s">
        <v>100</v>
      </c>
      <c r="C249">
        <v>100005006</v>
      </c>
      <c r="D249" t="s">
        <v>65</v>
      </c>
      <c r="E249" t="s">
        <v>22</v>
      </c>
      <c r="F249" s="15">
        <v>67096.774193548394</v>
      </c>
    </row>
    <row r="250" spans="1:6">
      <c r="A250" s="19">
        <v>46300</v>
      </c>
      <c r="B250" t="s">
        <v>100</v>
      </c>
      <c r="C250">
        <v>100005009</v>
      </c>
      <c r="D250" t="s">
        <v>70</v>
      </c>
      <c r="E250" t="s">
        <v>22</v>
      </c>
      <c r="F250" s="15">
        <v>40000</v>
      </c>
    </row>
    <row r="251" spans="1:6">
      <c r="A251" s="19">
        <v>46300</v>
      </c>
      <c r="B251" t="s">
        <v>100</v>
      </c>
      <c r="C251">
        <v>100005010</v>
      </c>
      <c r="D251" t="s">
        <v>70</v>
      </c>
      <c r="E251" t="s">
        <v>22</v>
      </c>
      <c r="F251" s="15">
        <v>67096.774193548394</v>
      </c>
    </row>
    <row r="252" spans="1:6">
      <c r="A252" s="19">
        <v>46300</v>
      </c>
      <c r="B252" t="s">
        <v>100</v>
      </c>
      <c r="C252">
        <v>100005011</v>
      </c>
      <c r="D252" t="s">
        <v>70</v>
      </c>
      <c r="E252" t="s">
        <v>22</v>
      </c>
      <c r="F252" s="15">
        <v>40000</v>
      </c>
    </row>
    <row r="253" spans="1:6">
      <c r="A253" s="19">
        <v>46300</v>
      </c>
      <c r="B253" t="s">
        <v>100</v>
      </c>
      <c r="C253">
        <v>100005012</v>
      </c>
      <c r="D253" t="s">
        <v>70</v>
      </c>
      <c r="E253" t="s">
        <v>22</v>
      </c>
      <c r="F253" s="15">
        <v>40000</v>
      </c>
    </row>
    <row r="254" spans="1:6">
      <c r="A254" s="19">
        <v>46300</v>
      </c>
      <c r="B254" t="s">
        <v>100</v>
      </c>
      <c r="C254">
        <v>100005013</v>
      </c>
      <c r="D254" t="s">
        <v>70</v>
      </c>
      <c r="E254" t="s">
        <v>22</v>
      </c>
      <c r="F254" s="15">
        <v>67096.774193548394</v>
      </c>
    </row>
    <row r="255" spans="1:6">
      <c r="A255" s="19">
        <v>46300</v>
      </c>
      <c r="B255" t="s">
        <v>100</v>
      </c>
      <c r="C255">
        <v>100005014</v>
      </c>
      <c r="D255" t="s">
        <v>70</v>
      </c>
      <c r="E255" t="s">
        <v>22</v>
      </c>
      <c r="F255" s="15">
        <v>67096.774193548394</v>
      </c>
    </row>
    <row r="256" spans="1:6">
      <c r="A256" s="19">
        <v>46300</v>
      </c>
      <c r="B256" t="s">
        <v>100</v>
      </c>
      <c r="C256">
        <v>100005015</v>
      </c>
      <c r="D256" t="s">
        <v>70</v>
      </c>
      <c r="E256" t="s">
        <v>22</v>
      </c>
      <c r="F256" s="15">
        <v>40000</v>
      </c>
    </row>
    <row r="257" spans="1:6">
      <c r="A257" s="19">
        <v>46300</v>
      </c>
      <c r="B257" t="s">
        <v>100</v>
      </c>
      <c r="C257">
        <v>100005016</v>
      </c>
      <c r="D257" t="s">
        <v>70</v>
      </c>
      <c r="E257" t="s">
        <v>22</v>
      </c>
      <c r="F257" s="15">
        <v>40000</v>
      </c>
    </row>
    <row r="258" spans="1:6">
      <c r="A258" s="19">
        <v>46300</v>
      </c>
      <c r="B258" t="s">
        <v>100</v>
      </c>
      <c r="C258">
        <v>100005017</v>
      </c>
      <c r="D258" t="s">
        <v>70</v>
      </c>
      <c r="E258" t="s">
        <v>22</v>
      </c>
      <c r="F258" s="15">
        <v>40000</v>
      </c>
    </row>
    <row r="259" spans="1:6">
      <c r="A259" s="19">
        <v>46300</v>
      </c>
      <c r="B259" t="s">
        <v>100</v>
      </c>
      <c r="C259">
        <v>100005007</v>
      </c>
      <c r="D259" t="s">
        <v>67</v>
      </c>
      <c r="E259" t="s">
        <v>22</v>
      </c>
      <c r="F259" s="15">
        <v>28000</v>
      </c>
    </row>
    <row r="260" spans="1:6">
      <c r="A260" s="19">
        <v>46300</v>
      </c>
      <c r="B260" t="s">
        <v>100</v>
      </c>
      <c r="C260">
        <v>100005008</v>
      </c>
      <c r="D260" t="s">
        <v>69</v>
      </c>
      <c r="E260" t="s">
        <v>22</v>
      </c>
      <c r="F260" s="15">
        <v>32000</v>
      </c>
    </row>
    <row r="261" spans="1:6">
      <c r="A261" s="19">
        <v>46300</v>
      </c>
      <c r="B261" t="s">
        <v>100</v>
      </c>
      <c r="C261">
        <v>100005000</v>
      </c>
      <c r="D261" t="s">
        <v>71</v>
      </c>
      <c r="E261" t="s">
        <v>83</v>
      </c>
      <c r="F261" s="15">
        <v>16000</v>
      </c>
    </row>
    <row r="262" spans="1:6">
      <c r="A262" s="19">
        <v>46315</v>
      </c>
      <c r="B262" t="s">
        <v>101</v>
      </c>
      <c r="C262">
        <v>100005001</v>
      </c>
      <c r="D262" t="s">
        <v>65</v>
      </c>
      <c r="E262" t="s">
        <v>21</v>
      </c>
      <c r="F262" s="15">
        <v>60000</v>
      </c>
    </row>
    <row r="263" spans="1:6">
      <c r="A263" s="19">
        <v>46315</v>
      </c>
      <c r="B263" t="s">
        <v>101</v>
      </c>
      <c r="C263">
        <v>100005002</v>
      </c>
      <c r="D263" t="s">
        <v>66</v>
      </c>
      <c r="E263" t="s">
        <v>21</v>
      </c>
      <c r="F263" s="15">
        <v>36000</v>
      </c>
    </row>
    <row r="264" spans="1:6">
      <c r="A264" s="19">
        <v>46315</v>
      </c>
      <c r="B264" t="s">
        <v>101</v>
      </c>
      <c r="C264">
        <v>100005003</v>
      </c>
      <c r="D264" t="s">
        <v>67</v>
      </c>
      <c r="E264" t="s">
        <v>21</v>
      </c>
      <c r="F264" s="15">
        <v>36000</v>
      </c>
    </row>
    <row r="265" spans="1:6">
      <c r="A265" s="19">
        <v>46315</v>
      </c>
      <c r="B265" t="s">
        <v>101</v>
      </c>
      <c r="C265">
        <v>100005004</v>
      </c>
      <c r="D265" t="s">
        <v>68</v>
      </c>
      <c r="E265" t="s">
        <v>21</v>
      </c>
      <c r="F265" s="15">
        <v>48000</v>
      </c>
    </row>
    <row r="266" spans="1:6">
      <c r="A266" s="19">
        <v>46315</v>
      </c>
      <c r="B266" t="s">
        <v>101</v>
      </c>
      <c r="C266">
        <v>100005005</v>
      </c>
      <c r="D266" t="s">
        <v>69</v>
      </c>
      <c r="E266" t="s">
        <v>21</v>
      </c>
      <c r="F266" s="15">
        <v>48000</v>
      </c>
    </row>
    <row r="267" spans="1:6">
      <c r="A267" s="19">
        <v>46315</v>
      </c>
      <c r="B267" t="s">
        <v>101</v>
      </c>
      <c r="C267">
        <v>100005006</v>
      </c>
      <c r="D267" t="s">
        <v>65</v>
      </c>
      <c r="E267" t="s">
        <v>22</v>
      </c>
      <c r="F267" s="15">
        <v>32903.225806451614</v>
      </c>
    </row>
    <row r="268" spans="1:6">
      <c r="A268" s="19">
        <v>46315</v>
      </c>
      <c r="B268" t="s">
        <v>101</v>
      </c>
      <c r="C268">
        <v>100005009</v>
      </c>
      <c r="D268" t="s">
        <v>70</v>
      </c>
      <c r="E268" t="s">
        <v>22</v>
      </c>
      <c r="F268" s="15">
        <v>60000</v>
      </c>
    </row>
    <row r="269" spans="1:6">
      <c r="A269" s="19">
        <v>46315</v>
      </c>
      <c r="B269" t="s">
        <v>101</v>
      </c>
      <c r="C269">
        <v>100005010</v>
      </c>
      <c r="D269" t="s">
        <v>70</v>
      </c>
      <c r="E269" t="s">
        <v>22</v>
      </c>
      <c r="F269" s="15">
        <v>32903.225806451614</v>
      </c>
    </row>
    <row r="270" spans="1:6">
      <c r="A270" s="19">
        <v>46315</v>
      </c>
      <c r="B270" t="s">
        <v>101</v>
      </c>
      <c r="C270">
        <v>100005011</v>
      </c>
      <c r="D270" t="s">
        <v>70</v>
      </c>
      <c r="E270" t="s">
        <v>22</v>
      </c>
      <c r="F270" s="15">
        <v>60000</v>
      </c>
    </row>
    <row r="271" spans="1:6">
      <c r="A271" s="19">
        <v>46315</v>
      </c>
      <c r="B271" t="s">
        <v>101</v>
      </c>
      <c r="C271">
        <v>100005012</v>
      </c>
      <c r="D271" t="s">
        <v>70</v>
      </c>
      <c r="E271" t="s">
        <v>22</v>
      </c>
      <c r="F271" s="15">
        <v>60000</v>
      </c>
    </row>
    <row r="272" spans="1:6">
      <c r="A272" s="19">
        <v>46315</v>
      </c>
      <c r="B272" t="s">
        <v>101</v>
      </c>
      <c r="C272">
        <v>100005013</v>
      </c>
      <c r="D272" t="s">
        <v>70</v>
      </c>
      <c r="E272" t="s">
        <v>22</v>
      </c>
      <c r="F272" s="15">
        <v>32903.225806451614</v>
      </c>
    </row>
    <row r="273" spans="1:6">
      <c r="A273" s="19">
        <v>46315</v>
      </c>
      <c r="B273" t="s">
        <v>101</v>
      </c>
      <c r="C273">
        <v>100005014</v>
      </c>
      <c r="D273" t="s">
        <v>70</v>
      </c>
      <c r="E273" t="s">
        <v>22</v>
      </c>
      <c r="F273" s="15">
        <v>32903.225806451614</v>
      </c>
    </row>
    <row r="274" spans="1:6">
      <c r="A274" s="19">
        <v>46315</v>
      </c>
      <c r="B274" t="s">
        <v>101</v>
      </c>
      <c r="C274">
        <v>100005015</v>
      </c>
      <c r="D274" t="s">
        <v>70</v>
      </c>
      <c r="E274" t="s">
        <v>22</v>
      </c>
      <c r="F274" s="15">
        <v>60000</v>
      </c>
    </row>
    <row r="275" spans="1:6">
      <c r="A275" s="19">
        <v>46315</v>
      </c>
      <c r="B275" t="s">
        <v>101</v>
      </c>
      <c r="C275">
        <v>100005016</v>
      </c>
      <c r="D275" t="s">
        <v>70</v>
      </c>
      <c r="E275" t="s">
        <v>22</v>
      </c>
      <c r="F275" s="15">
        <v>60000</v>
      </c>
    </row>
    <row r="276" spans="1:6">
      <c r="A276" s="19">
        <v>46315</v>
      </c>
      <c r="B276" t="s">
        <v>101</v>
      </c>
      <c r="C276">
        <v>100005017</v>
      </c>
      <c r="D276" t="s">
        <v>70</v>
      </c>
      <c r="E276" t="s">
        <v>22</v>
      </c>
      <c r="F276" s="15">
        <v>60000</v>
      </c>
    </row>
    <row r="277" spans="1:6">
      <c r="A277" s="19">
        <v>46315</v>
      </c>
      <c r="B277" t="s">
        <v>101</v>
      </c>
      <c r="C277">
        <v>100005007</v>
      </c>
      <c r="D277" t="s">
        <v>67</v>
      </c>
      <c r="E277" t="s">
        <v>22</v>
      </c>
      <c r="F277" s="15">
        <v>42000</v>
      </c>
    </row>
    <row r="278" spans="1:6">
      <c r="A278" s="19">
        <v>46315</v>
      </c>
      <c r="B278" t="s">
        <v>101</v>
      </c>
      <c r="C278">
        <v>100005008</v>
      </c>
      <c r="D278" t="s">
        <v>69</v>
      </c>
      <c r="E278" t="s">
        <v>22</v>
      </c>
      <c r="F278" s="15">
        <v>48000</v>
      </c>
    </row>
    <row r="279" spans="1:6">
      <c r="A279" s="19">
        <v>46315</v>
      </c>
      <c r="B279" t="s">
        <v>101</v>
      </c>
      <c r="C279">
        <v>100005000</v>
      </c>
      <c r="D279" t="s">
        <v>71</v>
      </c>
      <c r="E279" t="s">
        <v>83</v>
      </c>
      <c r="F279" s="15">
        <v>24000</v>
      </c>
    </row>
    <row r="280" spans="1:6">
      <c r="A280" s="19">
        <v>46331</v>
      </c>
      <c r="B280" t="s">
        <v>100</v>
      </c>
      <c r="C280">
        <v>100005001</v>
      </c>
      <c r="D280" t="s">
        <v>65</v>
      </c>
      <c r="E280" t="s">
        <v>21</v>
      </c>
      <c r="F280" s="15">
        <v>40000</v>
      </c>
    </row>
    <row r="281" spans="1:6">
      <c r="A281" s="19">
        <v>46331</v>
      </c>
      <c r="B281" t="s">
        <v>100</v>
      </c>
      <c r="C281">
        <v>100005002</v>
      </c>
      <c r="D281" t="s">
        <v>66</v>
      </c>
      <c r="E281" t="s">
        <v>21</v>
      </c>
      <c r="F281" s="15">
        <v>24000</v>
      </c>
    </row>
    <row r="282" spans="1:6">
      <c r="A282" s="19">
        <v>46331</v>
      </c>
      <c r="B282" t="s">
        <v>100</v>
      </c>
      <c r="C282">
        <v>100005003</v>
      </c>
      <c r="D282" t="s">
        <v>67</v>
      </c>
      <c r="E282" t="s">
        <v>21</v>
      </c>
      <c r="F282" s="15">
        <v>24000</v>
      </c>
    </row>
    <row r="283" spans="1:6">
      <c r="A283" s="19">
        <v>46331</v>
      </c>
      <c r="B283" t="s">
        <v>100</v>
      </c>
      <c r="C283">
        <v>100005004</v>
      </c>
      <c r="D283" t="s">
        <v>68</v>
      </c>
      <c r="E283" t="s">
        <v>21</v>
      </c>
      <c r="F283" s="15">
        <v>32000</v>
      </c>
    </row>
    <row r="284" spans="1:6">
      <c r="A284" s="19">
        <v>46331</v>
      </c>
      <c r="B284" t="s">
        <v>100</v>
      </c>
      <c r="C284">
        <v>100005005</v>
      </c>
      <c r="D284" t="s">
        <v>69</v>
      </c>
      <c r="E284" t="s">
        <v>21</v>
      </c>
      <c r="F284" s="15">
        <v>32000</v>
      </c>
    </row>
    <row r="285" spans="1:6">
      <c r="A285" s="19">
        <v>46331</v>
      </c>
      <c r="B285" t="s">
        <v>100</v>
      </c>
      <c r="C285">
        <v>100005006</v>
      </c>
      <c r="D285" t="s">
        <v>65</v>
      </c>
      <c r="E285" t="s">
        <v>22</v>
      </c>
      <c r="F285" s="15">
        <v>40000</v>
      </c>
    </row>
    <row r="286" spans="1:6">
      <c r="A286" s="19">
        <v>46331</v>
      </c>
      <c r="B286" t="s">
        <v>100</v>
      </c>
      <c r="C286">
        <v>100005009</v>
      </c>
      <c r="D286" t="s">
        <v>70</v>
      </c>
      <c r="E286" t="s">
        <v>22</v>
      </c>
      <c r="F286" s="15">
        <v>40000</v>
      </c>
    </row>
    <row r="287" spans="1:6">
      <c r="A287" s="19">
        <v>46331</v>
      </c>
      <c r="B287" t="s">
        <v>100</v>
      </c>
      <c r="C287">
        <v>100005010</v>
      </c>
      <c r="D287" t="s">
        <v>70</v>
      </c>
      <c r="E287" t="s">
        <v>22</v>
      </c>
      <c r="F287" s="15">
        <v>40000</v>
      </c>
    </row>
    <row r="288" spans="1:6">
      <c r="A288" s="19">
        <v>46331</v>
      </c>
      <c r="B288" t="s">
        <v>100</v>
      </c>
      <c r="C288">
        <v>100005011</v>
      </c>
      <c r="D288" t="s">
        <v>70</v>
      </c>
      <c r="E288" t="s">
        <v>22</v>
      </c>
      <c r="F288" s="15">
        <v>40000</v>
      </c>
    </row>
    <row r="289" spans="1:6">
      <c r="A289" s="19">
        <v>46331</v>
      </c>
      <c r="B289" t="s">
        <v>100</v>
      </c>
      <c r="C289">
        <v>100005012</v>
      </c>
      <c r="D289" t="s">
        <v>70</v>
      </c>
      <c r="E289" t="s">
        <v>22</v>
      </c>
      <c r="F289" s="15">
        <v>68000</v>
      </c>
    </row>
    <row r="290" spans="1:6">
      <c r="A290" s="19">
        <v>46331</v>
      </c>
      <c r="B290" t="s">
        <v>100</v>
      </c>
      <c r="C290">
        <v>100005013</v>
      </c>
      <c r="D290" t="s">
        <v>70</v>
      </c>
      <c r="E290" t="s">
        <v>22</v>
      </c>
      <c r="F290" s="15">
        <v>40000</v>
      </c>
    </row>
    <row r="291" spans="1:6">
      <c r="A291" s="19">
        <v>46331</v>
      </c>
      <c r="B291" t="s">
        <v>100</v>
      </c>
      <c r="C291">
        <v>100005014</v>
      </c>
      <c r="D291" t="s">
        <v>70</v>
      </c>
      <c r="E291" t="s">
        <v>22</v>
      </c>
      <c r="F291" s="15">
        <v>40000</v>
      </c>
    </row>
    <row r="292" spans="1:6">
      <c r="A292" s="19">
        <v>46331</v>
      </c>
      <c r="B292" t="s">
        <v>100</v>
      </c>
      <c r="C292">
        <v>100005015</v>
      </c>
      <c r="D292" t="s">
        <v>70</v>
      </c>
      <c r="E292" t="s">
        <v>22</v>
      </c>
      <c r="F292" s="15">
        <v>68000</v>
      </c>
    </row>
    <row r="293" spans="1:6">
      <c r="A293" s="19">
        <v>46331</v>
      </c>
      <c r="B293" t="s">
        <v>100</v>
      </c>
      <c r="C293">
        <v>100005016</v>
      </c>
      <c r="D293" t="s">
        <v>70</v>
      </c>
      <c r="E293" t="s">
        <v>22</v>
      </c>
      <c r="F293" s="15">
        <v>68000</v>
      </c>
    </row>
    <row r="294" spans="1:6">
      <c r="A294" s="19">
        <v>46331</v>
      </c>
      <c r="B294" t="s">
        <v>100</v>
      </c>
      <c r="C294">
        <v>100005017</v>
      </c>
      <c r="D294" t="s">
        <v>70</v>
      </c>
      <c r="E294" t="s">
        <v>22</v>
      </c>
      <c r="F294" s="15">
        <v>40000</v>
      </c>
    </row>
    <row r="295" spans="1:6">
      <c r="A295" s="19">
        <v>46331</v>
      </c>
      <c r="B295" t="s">
        <v>100</v>
      </c>
      <c r="C295">
        <v>100005007</v>
      </c>
      <c r="D295" t="s">
        <v>67</v>
      </c>
      <c r="E295" t="s">
        <v>22</v>
      </c>
      <c r="F295" s="15">
        <v>28000</v>
      </c>
    </row>
    <row r="296" spans="1:6">
      <c r="A296" s="19">
        <v>46331</v>
      </c>
      <c r="B296" t="s">
        <v>100</v>
      </c>
      <c r="C296">
        <v>100005008</v>
      </c>
      <c r="D296" t="s">
        <v>69</v>
      </c>
      <c r="E296" t="s">
        <v>22</v>
      </c>
      <c r="F296" s="15">
        <v>32000</v>
      </c>
    </row>
    <row r="297" spans="1:6">
      <c r="A297" s="19">
        <v>46331</v>
      </c>
      <c r="B297" t="s">
        <v>100</v>
      </c>
      <c r="C297">
        <v>100005000</v>
      </c>
      <c r="D297" t="s">
        <v>71</v>
      </c>
      <c r="E297" t="s">
        <v>83</v>
      </c>
      <c r="F297" s="15">
        <v>16000</v>
      </c>
    </row>
    <row r="298" spans="1:6">
      <c r="A298" s="19">
        <v>46346</v>
      </c>
      <c r="B298" t="s">
        <v>101</v>
      </c>
      <c r="C298">
        <v>100005001</v>
      </c>
      <c r="D298" t="s">
        <v>65</v>
      </c>
      <c r="E298" t="s">
        <v>21</v>
      </c>
      <c r="F298" s="15">
        <v>60000</v>
      </c>
    </row>
    <row r="299" spans="1:6">
      <c r="A299" s="19">
        <v>46346</v>
      </c>
      <c r="B299" t="s">
        <v>101</v>
      </c>
      <c r="C299">
        <v>100005002</v>
      </c>
      <c r="D299" t="s">
        <v>66</v>
      </c>
      <c r="E299" t="s">
        <v>21</v>
      </c>
      <c r="F299" s="15">
        <v>36000</v>
      </c>
    </row>
    <row r="300" spans="1:6">
      <c r="A300" s="19">
        <v>46346</v>
      </c>
      <c r="B300" t="s">
        <v>101</v>
      </c>
      <c r="C300">
        <v>100005003</v>
      </c>
      <c r="D300" t="s">
        <v>67</v>
      </c>
      <c r="E300" t="s">
        <v>21</v>
      </c>
      <c r="F300" s="15">
        <v>36000</v>
      </c>
    </row>
    <row r="301" spans="1:6">
      <c r="A301" s="19">
        <v>46346</v>
      </c>
      <c r="B301" t="s">
        <v>101</v>
      </c>
      <c r="C301">
        <v>100005004</v>
      </c>
      <c r="D301" t="s">
        <v>68</v>
      </c>
      <c r="E301" t="s">
        <v>21</v>
      </c>
      <c r="F301" s="15">
        <v>48000</v>
      </c>
    </row>
    <row r="302" spans="1:6">
      <c r="A302" s="19">
        <v>46346</v>
      </c>
      <c r="B302" t="s">
        <v>101</v>
      </c>
      <c r="C302">
        <v>100005005</v>
      </c>
      <c r="D302" t="s">
        <v>69</v>
      </c>
      <c r="E302" t="s">
        <v>21</v>
      </c>
      <c r="F302" s="15">
        <v>48000</v>
      </c>
    </row>
    <row r="303" spans="1:6">
      <c r="A303" s="19">
        <v>46346</v>
      </c>
      <c r="B303" t="s">
        <v>101</v>
      </c>
      <c r="C303">
        <v>100005006</v>
      </c>
      <c r="D303" t="s">
        <v>65</v>
      </c>
      <c r="E303" t="s">
        <v>22</v>
      </c>
      <c r="F303" s="15">
        <v>60000</v>
      </c>
    </row>
    <row r="304" spans="1:6">
      <c r="A304" s="19">
        <v>46346</v>
      </c>
      <c r="B304" t="s">
        <v>101</v>
      </c>
      <c r="C304">
        <v>100005009</v>
      </c>
      <c r="D304" t="s">
        <v>70</v>
      </c>
      <c r="E304" t="s">
        <v>22</v>
      </c>
      <c r="F304" s="15">
        <v>60000</v>
      </c>
    </row>
    <row r="305" spans="1:6">
      <c r="A305" s="19">
        <v>46346</v>
      </c>
      <c r="B305" t="s">
        <v>101</v>
      </c>
      <c r="C305">
        <v>100005010</v>
      </c>
      <c r="D305" t="s">
        <v>70</v>
      </c>
      <c r="E305" t="s">
        <v>22</v>
      </c>
      <c r="F305" s="15">
        <v>60000</v>
      </c>
    </row>
    <row r="306" spans="1:6">
      <c r="A306" s="19">
        <v>46346</v>
      </c>
      <c r="B306" t="s">
        <v>101</v>
      </c>
      <c r="C306">
        <v>100005011</v>
      </c>
      <c r="D306" t="s">
        <v>70</v>
      </c>
      <c r="E306" t="s">
        <v>22</v>
      </c>
      <c r="F306" s="15">
        <v>60000</v>
      </c>
    </row>
    <row r="307" spans="1:6">
      <c r="A307" s="19">
        <v>46346</v>
      </c>
      <c r="B307" t="s">
        <v>101</v>
      </c>
      <c r="C307">
        <v>100005012</v>
      </c>
      <c r="D307" t="s">
        <v>70</v>
      </c>
      <c r="E307" t="s">
        <v>22</v>
      </c>
      <c r="F307" s="15">
        <v>32000</v>
      </c>
    </row>
    <row r="308" spans="1:6">
      <c r="A308" s="19">
        <v>46346</v>
      </c>
      <c r="B308" t="s">
        <v>101</v>
      </c>
      <c r="C308">
        <v>100005013</v>
      </c>
      <c r="D308" t="s">
        <v>70</v>
      </c>
      <c r="E308" t="s">
        <v>22</v>
      </c>
      <c r="F308" s="15">
        <v>60000</v>
      </c>
    </row>
    <row r="309" spans="1:6">
      <c r="A309" s="19">
        <v>46346</v>
      </c>
      <c r="B309" t="s">
        <v>101</v>
      </c>
      <c r="C309">
        <v>100005014</v>
      </c>
      <c r="D309" t="s">
        <v>70</v>
      </c>
      <c r="E309" t="s">
        <v>22</v>
      </c>
      <c r="F309" s="15">
        <v>60000</v>
      </c>
    </row>
    <row r="310" spans="1:6">
      <c r="A310" s="19">
        <v>46346</v>
      </c>
      <c r="B310" t="s">
        <v>101</v>
      </c>
      <c r="C310">
        <v>100005015</v>
      </c>
      <c r="D310" t="s">
        <v>70</v>
      </c>
      <c r="E310" t="s">
        <v>22</v>
      </c>
      <c r="F310" s="15">
        <v>32000</v>
      </c>
    </row>
    <row r="311" spans="1:6">
      <c r="A311" s="19">
        <v>46346</v>
      </c>
      <c r="B311" t="s">
        <v>101</v>
      </c>
      <c r="C311">
        <v>100005016</v>
      </c>
      <c r="D311" t="s">
        <v>70</v>
      </c>
      <c r="E311" t="s">
        <v>22</v>
      </c>
      <c r="F311" s="15">
        <v>32000</v>
      </c>
    </row>
    <row r="312" spans="1:6">
      <c r="A312" s="19">
        <v>46346</v>
      </c>
      <c r="B312" t="s">
        <v>101</v>
      </c>
      <c r="C312">
        <v>100005017</v>
      </c>
      <c r="D312" t="s">
        <v>70</v>
      </c>
      <c r="E312" t="s">
        <v>22</v>
      </c>
      <c r="F312" s="15">
        <v>60000</v>
      </c>
    </row>
    <row r="313" spans="1:6">
      <c r="A313" s="19">
        <v>46346</v>
      </c>
      <c r="B313" t="s">
        <v>101</v>
      </c>
      <c r="C313">
        <v>100005007</v>
      </c>
      <c r="D313" t="s">
        <v>67</v>
      </c>
      <c r="E313" t="s">
        <v>22</v>
      </c>
      <c r="F313" s="15">
        <v>42000</v>
      </c>
    </row>
    <row r="314" spans="1:6">
      <c r="A314" s="19">
        <v>46346</v>
      </c>
      <c r="B314" t="s">
        <v>101</v>
      </c>
      <c r="C314">
        <v>100005008</v>
      </c>
      <c r="D314" t="s">
        <v>69</v>
      </c>
      <c r="E314" t="s">
        <v>22</v>
      </c>
      <c r="F314" s="15">
        <v>48000</v>
      </c>
    </row>
    <row r="315" spans="1:6">
      <c r="A315" s="19">
        <v>46346</v>
      </c>
      <c r="B315" t="s">
        <v>101</v>
      </c>
      <c r="C315">
        <v>100005000</v>
      </c>
      <c r="D315" t="s">
        <v>71</v>
      </c>
      <c r="E315" t="s">
        <v>83</v>
      </c>
      <c r="F315" s="15">
        <v>24000</v>
      </c>
    </row>
    <row r="316" spans="1:6">
      <c r="A316" s="19">
        <v>46361</v>
      </c>
      <c r="B316" t="s">
        <v>100</v>
      </c>
      <c r="C316">
        <v>100005001</v>
      </c>
      <c r="D316" t="s">
        <v>65</v>
      </c>
      <c r="E316" t="s">
        <v>21</v>
      </c>
      <c r="F316" s="15">
        <v>40000</v>
      </c>
    </row>
    <row r="317" spans="1:6">
      <c r="A317" s="19">
        <v>46361</v>
      </c>
      <c r="B317" t="s">
        <v>100</v>
      </c>
      <c r="C317">
        <v>100005002</v>
      </c>
      <c r="D317" t="s">
        <v>66</v>
      </c>
      <c r="E317" t="s">
        <v>21</v>
      </c>
      <c r="F317" s="15">
        <v>40258.06451612903</v>
      </c>
    </row>
    <row r="318" spans="1:6">
      <c r="A318" s="19">
        <v>46361</v>
      </c>
      <c r="B318" t="s">
        <v>100</v>
      </c>
      <c r="C318">
        <v>100005003</v>
      </c>
      <c r="D318" t="s">
        <v>67</v>
      </c>
      <c r="E318" t="s">
        <v>21</v>
      </c>
      <c r="F318" s="15">
        <v>24000</v>
      </c>
    </row>
    <row r="319" spans="1:6">
      <c r="A319" s="19">
        <v>46361</v>
      </c>
      <c r="B319" t="s">
        <v>100</v>
      </c>
      <c r="C319">
        <v>100005004</v>
      </c>
      <c r="D319" t="s">
        <v>68</v>
      </c>
      <c r="E319" t="s">
        <v>21</v>
      </c>
      <c r="F319" s="15">
        <v>32000</v>
      </c>
    </row>
    <row r="320" spans="1:6">
      <c r="A320" s="19">
        <v>46361</v>
      </c>
      <c r="B320" t="s">
        <v>100</v>
      </c>
      <c r="C320">
        <v>100005005</v>
      </c>
      <c r="D320" t="s">
        <v>69</v>
      </c>
      <c r="E320" t="s">
        <v>21</v>
      </c>
      <c r="F320" s="15">
        <v>32000</v>
      </c>
    </row>
    <row r="321" spans="1:6">
      <c r="A321" s="19">
        <v>46361</v>
      </c>
      <c r="B321" t="s">
        <v>100</v>
      </c>
      <c r="C321">
        <v>100005006</v>
      </c>
      <c r="D321" t="s">
        <v>65</v>
      </c>
      <c r="E321" t="s">
        <v>22</v>
      </c>
      <c r="F321" s="15">
        <v>40000</v>
      </c>
    </row>
    <row r="322" spans="1:6">
      <c r="A322" s="19">
        <v>46361</v>
      </c>
      <c r="B322" t="s">
        <v>100</v>
      </c>
      <c r="C322">
        <v>100005009</v>
      </c>
      <c r="D322" t="s">
        <v>70</v>
      </c>
      <c r="E322" t="s">
        <v>22</v>
      </c>
      <c r="F322" s="15">
        <v>40000</v>
      </c>
    </row>
    <row r="323" spans="1:6">
      <c r="A323" s="19">
        <v>46361</v>
      </c>
      <c r="B323" t="s">
        <v>100</v>
      </c>
      <c r="C323">
        <v>100005010</v>
      </c>
      <c r="D323" t="s">
        <v>70</v>
      </c>
      <c r="E323" t="s">
        <v>22</v>
      </c>
      <c r="F323" s="15">
        <v>40000</v>
      </c>
    </row>
    <row r="324" spans="1:6">
      <c r="A324" s="19">
        <v>46361</v>
      </c>
      <c r="B324" t="s">
        <v>100</v>
      </c>
      <c r="C324">
        <v>100005011</v>
      </c>
      <c r="D324" t="s">
        <v>70</v>
      </c>
      <c r="E324" t="s">
        <v>22</v>
      </c>
      <c r="F324" s="15">
        <v>67096.774193548394</v>
      </c>
    </row>
    <row r="325" spans="1:6">
      <c r="A325" s="19">
        <v>46361</v>
      </c>
      <c r="B325" t="s">
        <v>100</v>
      </c>
      <c r="C325">
        <v>100005012</v>
      </c>
      <c r="D325" t="s">
        <v>70</v>
      </c>
      <c r="E325" t="s">
        <v>22</v>
      </c>
      <c r="F325" s="15">
        <v>40000</v>
      </c>
    </row>
    <row r="326" spans="1:6">
      <c r="A326" s="19">
        <v>46361</v>
      </c>
      <c r="B326" t="s">
        <v>100</v>
      </c>
      <c r="C326">
        <v>100005013</v>
      </c>
      <c r="D326" t="s">
        <v>70</v>
      </c>
      <c r="E326" t="s">
        <v>22</v>
      </c>
      <c r="F326" s="15">
        <v>40000</v>
      </c>
    </row>
    <row r="327" spans="1:6">
      <c r="A327" s="19">
        <v>46361</v>
      </c>
      <c r="B327" t="s">
        <v>100</v>
      </c>
      <c r="C327">
        <v>100005014</v>
      </c>
      <c r="D327" t="s">
        <v>70</v>
      </c>
      <c r="E327" t="s">
        <v>22</v>
      </c>
      <c r="F327" s="15">
        <v>67096.774193548394</v>
      </c>
    </row>
    <row r="328" spans="1:6">
      <c r="A328" s="19">
        <v>46361</v>
      </c>
      <c r="B328" t="s">
        <v>100</v>
      </c>
      <c r="C328">
        <v>100005015</v>
      </c>
      <c r="D328" t="s">
        <v>70</v>
      </c>
      <c r="E328" t="s">
        <v>22</v>
      </c>
      <c r="F328" s="15">
        <v>40000</v>
      </c>
    </row>
    <row r="329" spans="1:6">
      <c r="A329" s="19">
        <v>46361</v>
      </c>
      <c r="B329" t="s">
        <v>100</v>
      </c>
      <c r="C329">
        <v>100005016</v>
      </c>
      <c r="D329" t="s">
        <v>70</v>
      </c>
      <c r="E329" t="s">
        <v>22</v>
      </c>
      <c r="F329" s="15">
        <v>40000</v>
      </c>
    </row>
    <row r="330" spans="1:6">
      <c r="A330" s="19">
        <v>46361</v>
      </c>
      <c r="B330" t="s">
        <v>100</v>
      </c>
      <c r="C330">
        <v>100005017</v>
      </c>
      <c r="D330" t="s">
        <v>70</v>
      </c>
      <c r="E330" t="s">
        <v>22</v>
      </c>
      <c r="F330" s="15">
        <v>67096.774193548394</v>
      </c>
    </row>
    <row r="331" spans="1:6">
      <c r="A331" s="19">
        <v>46361</v>
      </c>
      <c r="B331" t="s">
        <v>100</v>
      </c>
      <c r="C331">
        <v>100005018</v>
      </c>
      <c r="D331" t="s">
        <v>70</v>
      </c>
      <c r="E331" t="s">
        <v>22</v>
      </c>
      <c r="F331" s="15">
        <v>40000</v>
      </c>
    </row>
    <row r="332" spans="1:6">
      <c r="A332" s="19">
        <v>46361</v>
      </c>
      <c r="B332" t="s">
        <v>100</v>
      </c>
      <c r="C332">
        <v>100005007</v>
      </c>
      <c r="D332" t="s">
        <v>67</v>
      </c>
      <c r="E332" t="s">
        <v>22</v>
      </c>
      <c r="F332" s="15">
        <v>28000</v>
      </c>
    </row>
    <row r="333" spans="1:6">
      <c r="A333" s="19">
        <v>46361</v>
      </c>
      <c r="B333" t="s">
        <v>100</v>
      </c>
      <c r="C333">
        <v>100005008</v>
      </c>
      <c r="D333" t="s">
        <v>69</v>
      </c>
      <c r="E333" t="s">
        <v>22</v>
      </c>
      <c r="F333" s="15">
        <v>32000</v>
      </c>
    </row>
    <row r="334" spans="1:6">
      <c r="A334" s="19">
        <v>46361</v>
      </c>
      <c r="B334" t="s">
        <v>100</v>
      </c>
      <c r="C334">
        <v>100005000</v>
      </c>
      <c r="D334" t="s">
        <v>71</v>
      </c>
      <c r="E334" t="s">
        <v>83</v>
      </c>
      <c r="F334" s="15">
        <v>16000</v>
      </c>
    </row>
    <row r="335" spans="1:6">
      <c r="A335" s="19">
        <v>46376</v>
      </c>
      <c r="B335" t="s">
        <v>101</v>
      </c>
      <c r="C335">
        <v>100005001</v>
      </c>
      <c r="D335" t="s">
        <v>65</v>
      </c>
      <c r="E335" t="s">
        <v>21</v>
      </c>
      <c r="F335" s="15">
        <v>60000</v>
      </c>
    </row>
    <row r="336" spans="1:6">
      <c r="A336" s="19">
        <v>46376</v>
      </c>
      <c r="B336" t="s">
        <v>101</v>
      </c>
      <c r="C336">
        <v>100005002</v>
      </c>
      <c r="D336" t="s">
        <v>66</v>
      </c>
      <c r="E336" t="s">
        <v>21</v>
      </c>
      <c r="F336" s="15">
        <v>19741.935483870966</v>
      </c>
    </row>
    <row r="337" spans="1:6">
      <c r="A337" s="19">
        <v>46376</v>
      </c>
      <c r="B337" t="s">
        <v>101</v>
      </c>
      <c r="C337">
        <v>100005003</v>
      </c>
      <c r="D337" t="s">
        <v>67</v>
      </c>
      <c r="E337" t="s">
        <v>21</v>
      </c>
      <c r="F337" s="15">
        <v>36000</v>
      </c>
    </row>
    <row r="338" spans="1:6">
      <c r="A338" s="19">
        <v>46376</v>
      </c>
      <c r="B338" t="s">
        <v>101</v>
      </c>
      <c r="C338">
        <v>100005004</v>
      </c>
      <c r="D338" t="s">
        <v>68</v>
      </c>
      <c r="E338" t="s">
        <v>21</v>
      </c>
      <c r="F338" s="15">
        <v>48000</v>
      </c>
    </row>
    <row r="339" spans="1:6">
      <c r="A339" s="19">
        <v>46376</v>
      </c>
      <c r="B339" t="s">
        <v>101</v>
      </c>
      <c r="C339">
        <v>100005005</v>
      </c>
      <c r="D339" t="s">
        <v>69</v>
      </c>
      <c r="E339" t="s">
        <v>21</v>
      </c>
      <c r="F339" s="15">
        <v>48000</v>
      </c>
    </row>
    <row r="340" spans="1:6">
      <c r="A340" s="19">
        <v>46376</v>
      </c>
      <c r="B340" t="s">
        <v>101</v>
      </c>
      <c r="C340">
        <v>100005006</v>
      </c>
      <c r="D340" t="s">
        <v>65</v>
      </c>
      <c r="E340" t="s">
        <v>22</v>
      </c>
      <c r="F340" s="15">
        <v>60000</v>
      </c>
    </row>
    <row r="341" spans="1:6">
      <c r="A341" s="19">
        <v>46376</v>
      </c>
      <c r="B341" t="s">
        <v>101</v>
      </c>
      <c r="C341">
        <v>100005009</v>
      </c>
      <c r="D341" t="s">
        <v>70</v>
      </c>
      <c r="E341" t="s">
        <v>22</v>
      </c>
      <c r="F341" s="15">
        <v>60000</v>
      </c>
    </row>
    <row r="342" spans="1:6">
      <c r="A342" s="19">
        <v>46376</v>
      </c>
      <c r="B342" t="s">
        <v>101</v>
      </c>
      <c r="C342">
        <v>100005010</v>
      </c>
      <c r="D342" t="s">
        <v>70</v>
      </c>
      <c r="E342" t="s">
        <v>22</v>
      </c>
      <c r="F342" s="15">
        <v>60000</v>
      </c>
    </row>
    <row r="343" spans="1:6">
      <c r="A343" s="19">
        <v>46376</v>
      </c>
      <c r="B343" t="s">
        <v>101</v>
      </c>
      <c r="C343">
        <v>100005011</v>
      </c>
      <c r="D343" t="s">
        <v>70</v>
      </c>
      <c r="E343" t="s">
        <v>22</v>
      </c>
      <c r="F343" s="15">
        <v>32903.225806451614</v>
      </c>
    </row>
    <row r="344" spans="1:6">
      <c r="A344" s="19">
        <v>46376</v>
      </c>
      <c r="B344" t="s">
        <v>101</v>
      </c>
      <c r="C344">
        <v>100005012</v>
      </c>
      <c r="D344" t="s">
        <v>70</v>
      </c>
      <c r="E344" t="s">
        <v>22</v>
      </c>
      <c r="F344" s="15">
        <v>60000</v>
      </c>
    </row>
    <row r="345" spans="1:6">
      <c r="A345" s="19">
        <v>46376</v>
      </c>
      <c r="B345" t="s">
        <v>101</v>
      </c>
      <c r="C345">
        <v>100005013</v>
      </c>
      <c r="D345" t="s">
        <v>70</v>
      </c>
      <c r="E345" t="s">
        <v>22</v>
      </c>
      <c r="F345" s="15">
        <v>60000</v>
      </c>
    </row>
    <row r="346" spans="1:6">
      <c r="A346" s="19">
        <v>46376</v>
      </c>
      <c r="B346" t="s">
        <v>101</v>
      </c>
      <c r="C346">
        <v>100005014</v>
      </c>
      <c r="D346" t="s">
        <v>70</v>
      </c>
      <c r="E346" t="s">
        <v>22</v>
      </c>
      <c r="F346" s="15">
        <v>32903.225806451614</v>
      </c>
    </row>
    <row r="347" spans="1:6">
      <c r="A347" s="19">
        <v>46376</v>
      </c>
      <c r="B347" t="s">
        <v>101</v>
      </c>
      <c r="C347">
        <v>100005015</v>
      </c>
      <c r="D347" t="s">
        <v>70</v>
      </c>
      <c r="E347" t="s">
        <v>22</v>
      </c>
      <c r="F347" s="15">
        <v>60000</v>
      </c>
    </row>
    <row r="348" spans="1:6">
      <c r="A348" s="19">
        <v>46376</v>
      </c>
      <c r="B348" t="s">
        <v>101</v>
      </c>
      <c r="C348">
        <v>100005016</v>
      </c>
      <c r="D348" t="s">
        <v>70</v>
      </c>
      <c r="E348" t="s">
        <v>22</v>
      </c>
      <c r="F348" s="15">
        <v>60000</v>
      </c>
    </row>
    <row r="349" spans="1:6">
      <c r="A349" s="19">
        <v>46376</v>
      </c>
      <c r="B349" t="s">
        <v>101</v>
      </c>
      <c r="C349">
        <v>100005017</v>
      </c>
      <c r="D349" t="s">
        <v>70</v>
      </c>
      <c r="E349" t="s">
        <v>22</v>
      </c>
      <c r="F349" s="15">
        <v>32903.225806451614</v>
      </c>
    </row>
    <row r="350" spans="1:6">
      <c r="A350" s="19">
        <v>46376</v>
      </c>
      <c r="B350" t="s">
        <v>101</v>
      </c>
      <c r="C350">
        <v>100005018</v>
      </c>
      <c r="D350" t="s">
        <v>70</v>
      </c>
      <c r="E350" t="s">
        <v>22</v>
      </c>
      <c r="F350" s="15">
        <v>60000</v>
      </c>
    </row>
    <row r="351" spans="1:6">
      <c r="A351" s="19">
        <v>46376</v>
      </c>
      <c r="B351" t="s">
        <v>101</v>
      </c>
      <c r="C351">
        <v>100005007</v>
      </c>
      <c r="D351" t="s">
        <v>67</v>
      </c>
      <c r="E351" t="s">
        <v>22</v>
      </c>
      <c r="F351" s="15">
        <v>42000</v>
      </c>
    </row>
    <row r="352" spans="1:6">
      <c r="A352" s="19">
        <v>46376</v>
      </c>
      <c r="B352" t="s">
        <v>101</v>
      </c>
      <c r="C352">
        <v>100005008</v>
      </c>
      <c r="D352" t="s">
        <v>69</v>
      </c>
      <c r="E352" t="s">
        <v>22</v>
      </c>
      <c r="F352" s="15">
        <v>48000</v>
      </c>
    </row>
    <row r="353" spans="1:6">
      <c r="A353" s="19">
        <v>46376</v>
      </c>
      <c r="B353" t="s">
        <v>101</v>
      </c>
      <c r="C353">
        <v>100005000</v>
      </c>
      <c r="D353" t="s">
        <v>71</v>
      </c>
      <c r="E353" t="s">
        <v>83</v>
      </c>
      <c r="F353" s="15">
        <v>24000</v>
      </c>
    </row>
    <row r="354" spans="1:6">
      <c r="A354" s="19">
        <v>46023</v>
      </c>
      <c r="B354" t="s">
        <v>102</v>
      </c>
      <c r="C354">
        <v>100005000</v>
      </c>
      <c r="D354" t="s">
        <v>71</v>
      </c>
      <c r="E354" t="s">
        <v>83</v>
      </c>
      <c r="F354" s="15">
        <v>24000</v>
      </c>
    </row>
    <row r="355" spans="1:6">
      <c r="A355" s="19">
        <v>46023</v>
      </c>
      <c r="B355" t="s">
        <v>102</v>
      </c>
      <c r="C355">
        <v>100005001</v>
      </c>
      <c r="D355" t="s">
        <v>65</v>
      </c>
      <c r="E355" t="s">
        <v>21</v>
      </c>
      <c r="F355" s="15">
        <v>24000</v>
      </c>
    </row>
    <row r="356" spans="1:6">
      <c r="A356" s="19">
        <v>46023</v>
      </c>
      <c r="B356" t="s">
        <v>102</v>
      </c>
      <c r="C356">
        <v>100005002</v>
      </c>
      <c r="D356" t="s">
        <v>66</v>
      </c>
      <c r="E356" t="s">
        <v>21</v>
      </c>
      <c r="F356" s="15">
        <v>24000</v>
      </c>
    </row>
    <row r="357" spans="1:6">
      <c r="A357" s="19">
        <v>46023</v>
      </c>
      <c r="B357" t="s">
        <v>102</v>
      </c>
      <c r="C357">
        <v>100005003</v>
      </c>
      <c r="D357" t="s">
        <v>67</v>
      </c>
      <c r="E357" t="s">
        <v>21</v>
      </c>
      <c r="F357" s="15">
        <v>24000</v>
      </c>
    </row>
    <row r="358" spans="1:6">
      <c r="A358" s="19">
        <v>46023</v>
      </c>
      <c r="B358" t="s">
        <v>102</v>
      </c>
      <c r="C358">
        <v>100005004</v>
      </c>
      <c r="D358" t="s">
        <v>68</v>
      </c>
      <c r="E358" t="s">
        <v>21</v>
      </c>
      <c r="F358" s="15">
        <v>24000</v>
      </c>
    </row>
    <row r="359" spans="1:6">
      <c r="A359" s="19">
        <v>46023</v>
      </c>
      <c r="B359" t="s">
        <v>102</v>
      </c>
      <c r="C359">
        <v>100005005</v>
      </c>
      <c r="D359" t="s">
        <v>69</v>
      </c>
      <c r="E359" t="s">
        <v>21</v>
      </c>
      <c r="F359" s="15">
        <v>24000</v>
      </c>
    </row>
    <row r="360" spans="1:6">
      <c r="A360" s="19">
        <v>46023</v>
      </c>
      <c r="B360" t="s">
        <v>102</v>
      </c>
      <c r="C360">
        <v>100005006</v>
      </c>
      <c r="D360" t="s">
        <v>65</v>
      </c>
      <c r="E360" t="s">
        <v>22</v>
      </c>
      <c r="F360" s="15">
        <v>24000</v>
      </c>
    </row>
    <row r="361" spans="1:6">
      <c r="A361" s="19">
        <v>46023</v>
      </c>
      <c r="B361" t="s">
        <v>102</v>
      </c>
      <c r="C361">
        <v>100005007</v>
      </c>
      <c r="D361" t="s">
        <v>67</v>
      </c>
      <c r="E361" t="s">
        <v>22</v>
      </c>
      <c r="F361" s="15">
        <v>24000</v>
      </c>
    </row>
    <row r="362" spans="1:6">
      <c r="A362" s="19">
        <v>46023</v>
      </c>
      <c r="B362" t="s">
        <v>102</v>
      </c>
      <c r="C362">
        <v>100005008</v>
      </c>
      <c r="D362" t="s">
        <v>69</v>
      </c>
      <c r="E362" t="s">
        <v>22</v>
      </c>
      <c r="F362" s="15">
        <v>24000</v>
      </c>
    </row>
    <row r="363" spans="1:6">
      <c r="A363" s="19">
        <v>46023</v>
      </c>
      <c r="B363" t="s">
        <v>102</v>
      </c>
      <c r="C363">
        <v>100005009</v>
      </c>
      <c r="D363" t="s">
        <v>70</v>
      </c>
      <c r="E363" t="s">
        <v>22</v>
      </c>
      <c r="F363" s="15">
        <v>24000</v>
      </c>
    </row>
    <row r="364" spans="1:6">
      <c r="A364" s="19">
        <v>46054</v>
      </c>
      <c r="B364" t="s">
        <v>102</v>
      </c>
      <c r="C364">
        <v>100005010</v>
      </c>
      <c r="D364" t="s">
        <v>70</v>
      </c>
      <c r="E364" t="s">
        <v>22</v>
      </c>
      <c r="F364" s="15">
        <v>24000</v>
      </c>
    </row>
    <row r="365" spans="1:6">
      <c r="A365" s="19">
        <v>46082</v>
      </c>
      <c r="B365" t="s">
        <v>102</v>
      </c>
      <c r="C365">
        <v>100005011</v>
      </c>
      <c r="D365" t="s">
        <v>70</v>
      </c>
      <c r="E365" t="s">
        <v>22</v>
      </c>
      <c r="F365" s="15">
        <v>24000</v>
      </c>
    </row>
    <row r="366" spans="1:6">
      <c r="A366" s="19">
        <v>46113</v>
      </c>
      <c r="B366" t="s">
        <v>102</v>
      </c>
      <c r="C366">
        <v>100005012</v>
      </c>
      <c r="D366" t="s">
        <v>70</v>
      </c>
      <c r="E366" t="s">
        <v>22</v>
      </c>
      <c r="F366" s="15">
        <v>24000</v>
      </c>
    </row>
    <row r="367" spans="1:6">
      <c r="A367" s="19">
        <v>46174</v>
      </c>
      <c r="B367" t="s">
        <v>102</v>
      </c>
      <c r="C367">
        <v>100005013</v>
      </c>
      <c r="D367" t="s">
        <v>70</v>
      </c>
      <c r="E367" t="s">
        <v>22</v>
      </c>
      <c r="F367" s="15">
        <v>24000</v>
      </c>
    </row>
    <row r="368" spans="1:6">
      <c r="A368" s="19">
        <v>46204</v>
      </c>
      <c r="B368" t="s">
        <v>102</v>
      </c>
      <c r="C368">
        <v>100005014</v>
      </c>
      <c r="D368" t="s">
        <v>70</v>
      </c>
      <c r="E368" t="s">
        <v>22</v>
      </c>
      <c r="F368" s="15">
        <v>24000</v>
      </c>
    </row>
    <row r="369" spans="1:6">
      <c r="A369" s="19">
        <v>46235</v>
      </c>
      <c r="B369" t="s">
        <v>102</v>
      </c>
      <c r="C369">
        <v>100005015</v>
      </c>
      <c r="D369" t="s">
        <v>70</v>
      </c>
      <c r="E369" t="s">
        <v>22</v>
      </c>
      <c r="F369" s="15">
        <v>24000</v>
      </c>
    </row>
    <row r="370" spans="1:6">
      <c r="A370" s="19">
        <v>46266</v>
      </c>
      <c r="B370" t="s">
        <v>102</v>
      </c>
      <c r="C370">
        <v>100005016</v>
      </c>
      <c r="D370" t="s">
        <v>70</v>
      </c>
      <c r="E370" t="s">
        <v>22</v>
      </c>
      <c r="F370" s="15">
        <v>24000</v>
      </c>
    </row>
    <row r="371" spans="1:6">
      <c r="A371" s="19">
        <v>46296</v>
      </c>
      <c r="B371" t="s">
        <v>102</v>
      </c>
      <c r="C371">
        <v>100005017</v>
      </c>
      <c r="D371" t="s">
        <v>70</v>
      </c>
      <c r="E371" t="s">
        <v>22</v>
      </c>
      <c r="F371" s="15">
        <v>24000</v>
      </c>
    </row>
    <row r="372" spans="1:6">
      <c r="A372" s="19">
        <v>46357</v>
      </c>
      <c r="B372" t="s">
        <v>102</v>
      </c>
      <c r="C372">
        <v>100005018</v>
      </c>
      <c r="D372" t="s">
        <v>70</v>
      </c>
      <c r="E372" t="s">
        <v>22</v>
      </c>
      <c r="F372" s="15">
        <v>24000</v>
      </c>
    </row>
    <row r="373" spans="1:6">
      <c r="A373" s="19">
        <v>46027</v>
      </c>
      <c r="B373" t="s">
        <v>103</v>
      </c>
      <c r="C373">
        <v>100005001</v>
      </c>
      <c r="D373" t="s">
        <v>65</v>
      </c>
      <c r="E373" t="s">
        <v>21</v>
      </c>
      <c r="F373" s="15">
        <v>12000</v>
      </c>
    </row>
    <row r="374" spans="1:6">
      <c r="A374" s="19">
        <v>46027</v>
      </c>
      <c r="B374" t="s">
        <v>103</v>
      </c>
      <c r="C374">
        <v>100005002</v>
      </c>
      <c r="D374" t="s">
        <v>66</v>
      </c>
      <c r="E374" t="s">
        <v>21</v>
      </c>
      <c r="F374" s="15">
        <v>7200</v>
      </c>
    </row>
    <row r="375" spans="1:6">
      <c r="A375" s="19">
        <v>46027</v>
      </c>
      <c r="B375" t="s">
        <v>103</v>
      </c>
      <c r="C375">
        <v>100005003</v>
      </c>
      <c r="D375" t="s">
        <v>67</v>
      </c>
      <c r="E375" t="s">
        <v>21</v>
      </c>
      <c r="F375" s="15">
        <v>7200</v>
      </c>
    </row>
    <row r="376" spans="1:6">
      <c r="A376" s="19">
        <v>46027</v>
      </c>
      <c r="B376" t="s">
        <v>103</v>
      </c>
      <c r="C376">
        <v>100005004</v>
      </c>
      <c r="D376" t="s">
        <v>68</v>
      </c>
      <c r="E376" t="s">
        <v>21</v>
      </c>
      <c r="F376" s="15">
        <v>9600</v>
      </c>
    </row>
    <row r="377" spans="1:6">
      <c r="A377" s="19">
        <v>46027</v>
      </c>
      <c r="B377" t="s">
        <v>103</v>
      </c>
      <c r="C377">
        <v>100005005</v>
      </c>
      <c r="D377" t="s">
        <v>69</v>
      </c>
      <c r="E377" t="s">
        <v>21</v>
      </c>
      <c r="F377" s="15">
        <v>9600</v>
      </c>
    </row>
    <row r="378" spans="1:6">
      <c r="A378" s="19">
        <v>46027</v>
      </c>
      <c r="B378" t="s">
        <v>103</v>
      </c>
      <c r="C378">
        <v>100005006</v>
      </c>
      <c r="D378" t="s">
        <v>65</v>
      </c>
      <c r="E378" t="s">
        <v>22</v>
      </c>
      <c r="F378" s="15">
        <v>12000</v>
      </c>
    </row>
    <row r="379" spans="1:6">
      <c r="A379" s="19">
        <v>46027</v>
      </c>
      <c r="B379" t="s">
        <v>103</v>
      </c>
      <c r="C379">
        <v>100005009</v>
      </c>
      <c r="D379" t="s">
        <v>70</v>
      </c>
      <c r="E379" t="s">
        <v>22</v>
      </c>
      <c r="F379" s="15">
        <v>12000</v>
      </c>
    </row>
    <row r="380" spans="1:6">
      <c r="A380" s="19">
        <v>46027</v>
      </c>
      <c r="B380" t="s">
        <v>103</v>
      </c>
      <c r="C380">
        <v>100005007</v>
      </c>
      <c r="D380" t="s">
        <v>67</v>
      </c>
      <c r="E380" t="s">
        <v>22</v>
      </c>
      <c r="F380" s="15">
        <v>8400</v>
      </c>
    </row>
    <row r="381" spans="1:6">
      <c r="A381" s="19">
        <v>46027</v>
      </c>
      <c r="B381" t="s">
        <v>103</v>
      </c>
      <c r="C381">
        <v>100005008</v>
      </c>
      <c r="D381" t="s">
        <v>69</v>
      </c>
      <c r="E381" t="s">
        <v>22</v>
      </c>
      <c r="F381" s="15">
        <v>9600</v>
      </c>
    </row>
    <row r="382" spans="1:6">
      <c r="A382" s="19">
        <v>46027</v>
      </c>
      <c r="B382" t="s">
        <v>103</v>
      </c>
      <c r="C382">
        <v>100005000</v>
      </c>
      <c r="D382" t="s">
        <v>71</v>
      </c>
      <c r="E382" t="s">
        <v>83</v>
      </c>
      <c r="F382" s="15">
        <v>4800</v>
      </c>
    </row>
    <row r="383" spans="1:6">
      <c r="A383" s="19">
        <v>46042</v>
      </c>
      <c r="B383" t="s">
        <v>103</v>
      </c>
      <c r="C383">
        <v>100005001</v>
      </c>
      <c r="D383" t="s">
        <v>65</v>
      </c>
      <c r="E383" t="s">
        <v>21</v>
      </c>
      <c r="F383" s="15">
        <v>18000</v>
      </c>
    </row>
    <row r="384" spans="1:6">
      <c r="A384" s="19">
        <v>46042</v>
      </c>
      <c r="B384" t="s">
        <v>103</v>
      </c>
      <c r="C384">
        <v>100005002</v>
      </c>
      <c r="D384" t="s">
        <v>66</v>
      </c>
      <c r="E384" t="s">
        <v>21</v>
      </c>
      <c r="F384" s="15">
        <v>10800</v>
      </c>
    </row>
    <row r="385" spans="1:6">
      <c r="A385" s="19">
        <v>46042</v>
      </c>
      <c r="B385" t="s">
        <v>103</v>
      </c>
      <c r="C385">
        <v>100005003</v>
      </c>
      <c r="D385" t="s">
        <v>67</v>
      </c>
      <c r="E385" t="s">
        <v>21</v>
      </c>
      <c r="F385" s="15">
        <v>10800</v>
      </c>
    </row>
    <row r="386" spans="1:6">
      <c r="A386" s="19">
        <v>46042</v>
      </c>
      <c r="B386" t="s">
        <v>103</v>
      </c>
      <c r="C386">
        <v>100005004</v>
      </c>
      <c r="D386" t="s">
        <v>68</v>
      </c>
      <c r="E386" t="s">
        <v>21</v>
      </c>
      <c r="F386" s="15">
        <v>14400</v>
      </c>
    </row>
    <row r="387" spans="1:6">
      <c r="A387" s="19">
        <v>46042</v>
      </c>
      <c r="B387" t="s">
        <v>103</v>
      </c>
      <c r="C387">
        <v>100005005</v>
      </c>
      <c r="D387" t="s">
        <v>69</v>
      </c>
      <c r="E387" t="s">
        <v>21</v>
      </c>
      <c r="F387" s="15">
        <v>14400</v>
      </c>
    </row>
    <row r="388" spans="1:6">
      <c r="A388" s="19">
        <v>46042</v>
      </c>
      <c r="B388" t="s">
        <v>103</v>
      </c>
      <c r="C388">
        <v>100005006</v>
      </c>
      <c r="D388" t="s">
        <v>65</v>
      </c>
      <c r="E388" t="s">
        <v>22</v>
      </c>
      <c r="F388" s="15">
        <v>18000</v>
      </c>
    </row>
    <row r="389" spans="1:6">
      <c r="A389" s="19">
        <v>46042</v>
      </c>
      <c r="B389" t="s">
        <v>103</v>
      </c>
      <c r="C389">
        <v>100005009</v>
      </c>
      <c r="D389" t="s">
        <v>70</v>
      </c>
      <c r="E389" t="s">
        <v>22</v>
      </c>
      <c r="F389" s="15">
        <v>18000</v>
      </c>
    </row>
    <row r="390" spans="1:6">
      <c r="A390" s="19">
        <v>46042</v>
      </c>
      <c r="B390" t="s">
        <v>103</v>
      </c>
      <c r="C390">
        <v>100005007</v>
      </c>
      <c r="D390" t="s">
        <v>67</v>
      </c>
      <c r="E390" t="s">
        <v>22</v>
      </c>
      <c r="F390" s="15">
        <v>12600</v>
      </c>
    </row>
    <row r="391" spans="1:6">
      <c r="A391" s="19">
        <v>46042</v>
      </c>
      <c r="B391" t="s">
        <v>103</v>
      </c>
      <c r="C391">
        <v>100005008</v>
      </c>
      <c r="D391" t="s">
        <v>69</v>
      </c>
      <c r="E391" t="s">
        <v>22</v>
      </c>
      <c r="F391" s="15">
        <v>14400</v>
      </c>
    </row>
    <row r="392" spans="1:6">
      <c r="A392" s="19">
        <v>46042</v>
      </c>
      <c r="B392" t="s">
        <v>103</v>
      </c>
      <c r="C392">
        <v>100005000</v>
      </c>
      <c r="D392" t="s">
        <v>71</v>
      </c>
      <c r="E392" t="s">
        <v>83</v>
      </c>
      <c r="F392" s="15">
        <v>7200</v>
      </c>
    </row>
    <row r="393" spans="1:6">
      <c r="A393" s="19">
        <v>46058</v>
      </c>
      <c r="B393" t="s">
        <v>103</v>
      </c>
      <c r="C393">
        <v>100005001</v>
      </c>
      <c r="D393" t="s">
        <v>65</v>
      </c>
      <c r="E393" t="s">
        <v>21</v>
      </c>
      <c r="F393" s="15">
        <v>12000</v>
      </c>
    </row>
    <row r="394" spans="1:6">
      <c r="A394" s="19">
        <v>46058</v>
      </c>
      <c r="B394" t="s">
        <v>103</v>
      </c>
      <c r="C394">
        <v>100005002</v>
      </c>
      <c r="D394" t="s">
        <v>66</v>
      </c>
      <c r="E394" t="s">
        <v>21</v>
      </c>
      <c r="F394" s="15">
        <v>7200</v>
      </c>
    </row>
    <row r="395" spans="1:6">
      <c r="A395" s="19">
        <v>46058</v>
      </c>
      <c r="B395" t="s">
        <v>103</v>
      </c>
      <c r="C395">
        <v>100005003</v>
      </c>
      <c r="D395" t="s">
        <v>67</v>
      </c>
      <c r="E395" t="s">
        <v>21</v>
      </c>
      <c r="F395" s="15">
        <v>7200</v>
      </c>
    </row>
    <row r="396" spans="1:6">
      <c r="A396" s="19">
        <v>46058</v>
      </c>
      <c r="B396" t="s">
        <v>103</v>
      </c>
      <c r="C396">
        <v>100005004</v>
      </c>
      <c r="D396" t="s">
        <v>68</v>
      </c>
      <c r="E396" t="s">
        <v>21</v>
      </c>
      <c r="F396" s="15">
        <v>9600</v>
      </c>
    </row>
    <row r="397" spans="1:6">
      <c r="A397" s="19">
        <v>46058</v>
      </c>
      <c r="B397" t="s">
        <v>103</v>
      </c>
      <c r="C397">
        <v>100005005</v>
      </c>
      <c r="D397" t="s">
        <v>69</v>
      </c>
      <c r="E397" t="s">
        <v>21</v>
      </c>
      <c r="F397" s="15">
        <v>9600</v>
      </c>
    </row>
    <row r="398" spans="1:6">
      <c r="A398" s="19">
        <v>46058</v>
      </c>
      <c r="B398" t="s">
        <v>103</v>
      </c>
      <c r="C398">
        <v>100005006</v>
      </c>
      <c r="D398" t="s">
        <v>65</v>
      </c>
      <c r="E398" t="s">
        <v>22</v>
      </c>
      <c r="F398" s="15">
        <v>12000</v>
      </c>
    </row>
    <row r="399" spans="1:6">
      <c r="A399" s="19">
        <v>46058</v>
      </c>
      <c r="B399" t="s">
        <v>103</v>
      </c>
      <c r="C399">
        <v>100005009</v>
      </c>
      <c r="D399" t="s">
        <v>70</v>
      </c>
      <c r="E399" t="s">
        <v>22</v>
      </c>
      <c r="F399" s="15">
        <v>12000</v>
      </c>
    </row>
    <row r="400" spans="1:6">
      <c r="A400" s="19">
        <v>46058</v>
      </c>
      <c r="B400" t="s">
        <v>103</v>
      </c>
      <c r="C400">
        <v>100005010</v>
      </c>
      <c r="D400" t="s">
        <v>70</v>
      </c>
      <c r="E400" t="s">
        <v>22</v>
      </c>
      <c r="F400" s="15">
        <v>12000</v>
      </c>
    </row>
    <row r="401" spans="1:6">
      <c r="A401" s="19">
        <v>46058</v>
      </c>
      <c r="B401" t="s">
        <v>103</v>
      </c>
      <c r="C401">
        <v>100005007</v>
      </c>
      <c r="D401" t="s">
        <v>67</v>
      </c>
      <c r="E401" t="s">
        <v>22</v>
      </c>
      <c r="F401" s="15">
        <v>8400</v>
      </c>
    </row>
    <row r="402" spans="1:6">
      <c r="A402" s="19">
        <v>46058</v>
      </c>
      <c r="B402" t="s">
        <v>103</v>
      </c>
      <c r="C402">
        <v>100005008</v>
      </c>
      <c r="D402" t="s">
        <v>69</v>
      </c>
      <c r="E402" t="s">
        <v>22</v>
      </c>
      <c r="F402" s="15">
        <v>9600</v>
      </c>
    </row>
    <row r="403" spans="1:6">
      <c r="A403" s="19">
        <v>46058</v>
      </c>
      <c r="B403" t="s">
        <v>103</v>
      </c>
      <c r="C403">
        <v>100005000</v>
      </c>
      <c r="D403" t="s">
        <v>71</v>
      </c>
      <c r="E403" t="s">
        <v>83</v>
      </c>
      <c r="F403" s="15">
        <v>4800</v>
      </c>
    </row>
    <row r="404" spans="1:6">
      <c r="A404" s="19">
        <v>46073</v>
      </c>
      <c r="B404" t="s">
        <v>103</v>
      </c>
      <c r="C404">
        <v>100005001</v>
      </c>
      <c r="D404" t="s">
        <v>65</v>
      </c>
      <c r="E404" t="s">
        <v>21</v>
      </c>
      <c r="F404" s="15">
        <v>18000</v>
      </c>
    </row>
    <row r="405" spans="1:6">
      <c r="A405" s="19">
        <v>46073</v>
      </c>
      <c r="B405" t="s">
        <v>103</v>
      </c>
      <c r="C405">
        <v>100005002</v>
      </c>
      <c r="D405" t="s">
        <v>66</v>
      </c>
      <c r="E405" t="s">
        <v>21</v>
      </c>
      <c r="F405" s="15">
        <v>10800</v>
      </c>
    </row>
    <row r="406" spans="1:6">
      <c r="A406" s="19">
        <v>46073</v>
      </c>
      <c r="B406" t="s">
        <v>103</v>
      </c>
      <c r="C406">
        <v>100005003</v>
      </c>
      <c r="D406" t="s">
        <v>67</v>
      </c>
      <c r="E406" t="s">
        <v>21</v>
      </c>
      <c r="F406" s="15">
        <v>10800</v>
      </c>
    </row>
    <row r="407" spans="1:6">
      <c r="A407" s="19">
        <v>46073</v>
      </c>
      <c r="B407" t="s">
        <v>103</v>
      </c>
      <c r="C407">
        <v>100005004</v>
      </c>
      <c r="D407" t="s">
        <v>68</v>
      </c>
      <c r="E407" t="s">
        <v>21</v>
      </c>
      <c r="F407" s="15">
        <v>14400</v>
      </c>
    </row>
    <row r="408" spans="1:6">
      <c r="A408" s="19">
        <v>46073</v>
      </c>
      <c r="B408" t="s">
        <v>103</v>
      </c>
      <c r="C408">
        <v>100005005</v>
      </c>
      <c r="D408" t="s">
        <v>69</v>
      </c>
      <c r="E408" t="s">
        <v>21</v>
      </c>
      <c r="F408" s="15">
        <v>14400</v>
      </c>
    </row>
    <row r="409" spans="1:6">
      <c r="A409" s="19">
        <v>46073</v>
      </c>
      <c r="B409" t="s">
        <v>103</v>
      </c>
      <c r="C409">
        <v>100005006</v>
      </c>
      <c r="D409" t="s">
        <v>65</v>
      </c>
      <c r="E409" t="s">
        <v>22</v>
      </c>
      <c r="F409" s="15">
        <v>18000</v>
      </c>
    </row>
    <row r="410" spans="1:6">
      <c r="A410" s="19">
        <v>46073</v>
      </c>
      <c r="B410" t="s">
        <v>103</v>
      </c>
      <c r="C410">
        <v>100005009</v>
      </c>
      <c r="D410" t="s">
        <v>70</v>
      </c>
      <c r="E410" t="s">
        <v>22</v>
      </c>
      <c r="F410" s="15">
        <v>18000</v>
      </c>
    </row>
    <row r="411" spans="1:6">
      <c r="A411" s="19">
        <v>46073</v>
      </c>
      <c r="B411" t="s">
        <v>103</v>
      </c>
      <c r="C411">
        <v>100005010</v>
      </c>
      <c r="D411" t="s">
        <v>70</v>
      </c>
      <c r="E411" t="s">
        <v>22</v>
      </c>
      <c r="F411" s="15">
        <v>18000</v>
      </c>
    </row>
    <row r="412" spans="1:6">
      <c r="A412" s="19">
        <v>46073</v>
      </c>
      <c r="B412" t="s">
        <v>103</v>
      </c>
      <c r="C412">
        <v>100005007</v>
      </c>
      <c r="D412" t="s">
        <v>67</v>
      </c>
      <c r="E412" t="s">
        <v>22</v>
      </c>
      <c r="F412" s="15">
        <v>12600</v>
      </c>
    </row>
    <row r="413" spans="1:6">
      <c r="A413" s="19">
        <v>46073</v>
      </c>
      <c r="B413" t="s">
        <v>103</v>
      </c>
      <c r="C413">
        <v>100005008</v>
      </c>
      <c r="D413" t="s">
        <v>69</v>
      </c>
      <c r="E413" t="s">
        <v>22</v>
      </c>
      <c r="F413" s="15">
        <v>14400</v>
      </c>
    </row>
    <row r="414" spans="1:6">
      <c r="A414" s="19">
        <v>46073</v>
      </c>
      <c r="B414" t="s">
        <v>103</v>
      </c>
      <c r="C414">
        <v>100005000</v>
      </c>
      <c r="D414" t="s">
        <v>71</v>
      </c>
      <c r="E414" t="s">
        <v>83</v>
      </c>
      <c r="F414" s="15">
        <v>7200</v>
      </c>
    </row>
    <row r="415" spans="1:6">
      <c r="A415" s="19">
        <v>46086</v>
      </c>
      <c r="B415" t="s">
        <v>103</v>
      </c>
      <c r="C415">
        <v>100005001</v>
      </c>
      <c r="D415" t="s">
        <v>65</v>
      </c>
      <c r="E415" t="s">
        <v>21</v>
      </c>
      <c r="F415" s="15">
        <v>12000</v>
      </c>
    </row>
    <row r="416" spans="1:6">
      <c r="A416" s="19">
        <v>46086</v>
      </c>
      <c r="B416" t="s">
        <v>103</v>
      </c>
      <c r="C416">
        <v>100005002</v>
      </c>
      <c r="D416" t="s">
        <v>66</v>
      </c>
      <c r="E416" t="s">
        <v>21</v>
      </c>
      <c r="F416" s="15">
        <v>7200</v>
      </c>
    </row>
    <row r="417" spans="1:6">
      <c r="A417" s="19">
        <v>46086</v>
      </c>
      <c r="B417" t="s">
        <v>103</v>
      </c>
      <c r="C417">
        <v>100005003</v>
      </c>
      <c r="D417" t="s">
        <v>67</v>
      </c>
      <c r="E417" t="s">
        <v>21</v>
      </c>
      <c r="F417" s="15">
        <v>7200</v>
      </c>
    </row>
    <row r="418" spans="1:6">
      <c r="A418" s="19">
        <v>46086</v>
      </c>
      <c r="B418" t="s">
        <v>103</v>
      </c>
      <c r="C418">
        <v>100005004</v>
      </c>
      <c r="D418" t="s">
        <v>68</v>
      </c>
      <c r="E418" t="s">
        <v>21</v>
      </c>
      <c r="F418" s="15">
        <v>16103.225806451614</v>
      </c>
    </row>
    <row r="419" spans="1:6">
      <c r="A419" s="19">
        <v>46086</v>
      </c>
      <c r="B419" t="s">
        <v>103</v>
      </c>
      <c r="C419">
        <v>100005005</v>
      </c>
      <c r="D419" t="s">
        <v>69</v>
      </c>
      <c r="E419" t="s">
        <v>21</v>
      </c>
      <c r="F419" s="15">
        <v>9600</v>
      </c>
    </row>
    <row r="420" spans="1:6">
      <c r="A420" s="19">
        <v>46086</v>
      </c>
      <c r="B420" t="s">
        <v>103</v>
      </c>
      <c r="C420">
        <v>100005006</v>
      </c>
      <c r="D420" t="s">
        <v>65</v>
      </c>
      <c r="E420" t="s">
        <v>22</v>
      </c>
      <c r="F420" s="15">
        <v>12000</v>
      </c>
    </row>
    <row r="421" spans="1:6">
      <c r="A421" s="19">
        <v>46086</v>
      </c>
      <c r="B421" t="s">
        <v>103</v>
      </c>
      <c r="C421">
        <v>100005009</v>
      </c>
      <c r="D421" t="s">
        <v>70</v>
      </c>
      <c r="E421" t="s">
        <v>22</v>
      </c>
      <c r="F421" s="15">
        <v>12000</v>
      </c>
    </row>
    <row r="422" spans="1:6">
      <c r="A422" s="19">
        <v>46086</v>
      </c>
      <c r="B422" t="s">
        <v>103</v>
      </c>
      <c r="C422">
        <v>100005010</v>
      </c>
      <c r="D422" t="s">
        <v>70</v>
      </c>
      <c r="E422" t="s">
        <v>22</v>
      </c>
      <c r="F422" s="15">
        <v>12000</v>
      </c>
    </row>
    <row r="423" spans="1:6">
      <c r="A423" s="19">
        <v>46086</v>
      </c>
      <c r="B423" t="s">
        <v>103</v>
      </c>
      <c r="C423">
        <v>100005011</v>
      </c>
      <c r="D423" t="s">
        <v>70</v>
      </c>
      <c r="E423" t="s">
        <v>22</v>
      </c>
      <c r="F423" s="15">
        <v>12000</v>
      </c>
    </row>
    <row r="424" spans="1:6">
      <c r="A424" s="19">
        <v>46086</v>
      </c>
      <c r="B424" t="s">
        <v>103</v>
      </c>
      <c r="C424">
        <v>100005007</v>
      </c>
      <c r="D424" t="s">
        <v>67</v>
      </c>
      <c r="E424" t="s">
        <v>22</v>
      </c>
      <c r="F424" s="15">
        <v>8400</v>
      </c>
    </row>
    <row r="425" spans="1:6">
      <c r="A425" s="19">
        <v>46086</v>
      </c>
      <c r="B425" t="s">
        <v>103</v>
      </c>
      <c r="C425">
        <v>100005008</v>
      </c>
      <c r="D425" t="s">
        <v>69</v>
      </c>
      <c r="E425" t="s">
        <v>22</v>
      </c>
      <c r="F425" s="15">
        <v>16103.225806451614</v>
      </c>
    </row>
    <row r="426" spans="1:6">
      <c r="A426" s="19">
        <v>46086</v>
      </c>
      <c r="B426" t="s">
        <v>103</v>
      </c>
      <c r="C426">
        <v>100005000</v>
      </c>
      <c r="D426" t="s">
        <v>71</v>
      </c>
      <c r="E426" t="s">
        <v>83</v>
      </c>
      <c r="F426" s="15">
        <v>8051.6129032258068</v>
      </c>
    </row>
    <row r="427" spans="1:6">
      <c r="A427" s="19">
        <v>46101</v>
      </c>
      <c r="B427" t="s">
        <v>103</v>
      </c>
      <c r="C427">
        <v>100005001</v>
      </c>
      <c r="D427" t="s">
        <v>65</v>
      </c>
      <c r="E427" t="s">
        <v>21</v>
      </c>
      <c r="F427" s="15">
        <v>18000</v>
      </c>
    </row>
    <row r="428" spans="1:6">
      <c r="A428" s="19">
        <v>46101</v>
      </c>
      <c r="B428" t="s">
        <v>103</v>
      </c>
      <c r="C428">
        <v>100005002</v>
      </c>
      <c r="D428" t="s">
        <v>66</v>
      </c>
      <c r="E428" t="s">
        <v>21</v>
      </c>
      <c r="F428" s="15">
        <v>10800</v>
      </c>
    </row>
    <row r="429" spans="1:6">
      <c r="A429" s="19">
        <v>46101</v>
      </c>
      <c r="B429" t="s">
        <v>103</v>
      </c>
      <c r="C429">
        <v>100005003</v>
      </c>
      <c r="D429" t="s">
        <v>67</v>
      </c>
      <c r="E429" t="s">
        <v>21</v>
      </c>
      <c r="F429" s="15">
        <v>10800</v>
      </c>
    </row>
    <row r="430" spans="1:6">
      <c r="A430" s="19">
        <v>46101</v>
      </c>
      <c r="B430" t="s">
        <v>103</v>
      </c>
      <c r="C430">
        <v>100005004</v>
      </c>
      <c r="D430" t="s">
        <v>68</v>
      </c>
      <c r="E430" t="s">
        <v>21</v>
      </c>
      <c r="F430" s="15">
        <v>7896.7741935483873</v>
      </c>
    </row>
    <row r="431" spans="1:6">
      <c r="A431" s="19">
        <v>46101</v>
      </c>
      <c r="B431" t="s">
        <v>103</v>
      </c>
      <c r="C431">
        <v>100005005</v>
      </c>
      <c r="D431" t="s">
        <v>69</v>
      </c>
      <c r="E431" t="s">
        <v>21</v>
      </c>
      <c r="F431" s="15">
        <v>14400</v>
      </c>
    </row>
    <row r="432" spans="1:6">
      <c r="A432" s="19">
        <v>46101</v>
      </c>
      <c r="B432" t="s">
        <v>103</v>
      </c>
      <c r="C432">
        <v>100005006</v>
      </c>
      <c r="D432" t="s">
        <v>65</v>
      </c>
      <c r="E432" t="s">
        <v>22</v>
      </c>
      <c r="F432" s="15">
        <v>18000</v>
      </c>
    </row>
    <row r="433" spans="1:6">
      <c r="A433" s="19">
        <v>46101</v>
      </c>
      <c r="B433" t="s">
        <v>103</v>
      </c>
      <c r="C433">
        <v>100005009</v>
      </c>
      <c r="D433" t="s">
        <v>70</v>
      </c>
      <c r="E433" t="s">
        <v>22</v>
      </c>
      <c r="F433" s="15">
        <v>18000</v>
      </c>
    </row>
    <row r="434" spans="1:6">
      <c r="A434" s="19">
        <v>46101</v>
      </c>
      <c r="B434" t="s">
        <v>103</v>
      </c>
      <c r="C434">
        <v>100005010</v>
      </c>
      <c r="D434" t="s">
        <v>70</v>
      </c>
      <c r="E434" t="s">
        <v>22</v>
      </c>
      <c r="F434" s="15">
        <v>18000</v>
      </c>
    </row>
    <row r="435" spans="1:6">
      <c r="A435" s="19">
        <v>46101</v>
      </c>
      <c r="B435" t="s">
        <v>103</v>
      </c>
      <c r="C435">
        <v>100005011</v>
      </c>
      <c r="D435" t="s">
        <v>70</v>
      </c>
      <c r="E435" t="s">
        <v>22</v>
      </c>
      <c r="F435" s="15">
        <v>18000</v>
      </c>
    </row>
    <row r="436" spans="1:6">
      <c r="A436" s="19">
        <v>46101</v>
      </c>
      <c r="B436" t="s">
        <v>103</v>
      </c>
      <c r="C436">
        <v>100005007</v>
      </c>
      <c r="D436" t="s">
        <v>67</v>
      </c>
      <c r="E436" t="s">
        <v>22</v>
      </c>
      <c r="F436" s="15">
        <v>12600</v>
      </c>
    </row>
    <row r="437" spans="1:6">
      <c r="A437" s="19">
        <v>46101</v>
      </c>
      <c r="B437" t="s">
        <v>103</v>
      </c>
      <c r="C437">
        <v>100005008</v>
      </c>
      <c r="D437" t="s">
        <v>69</v>
      </c>
      <c r="E437" t="s">
        <v>22</v>
      </c>
      <c r="F437" s="15">
        <v>7896.7741935483873</v>
      </c>
    </row>
    <row r="438" spans="1:6">
      <c r="A438" s="19">
        <v>46101</v>
      </c>
      <c r="B438" t="s">
        <v>103</v>
      </c>
      <c r="C438">
        <v>100005000</v>
      </c>
      <c r="D438" t="s">
        <v>71</v>
      </c>
      <c r="E438" t="s">
        <v>83</v>
      </c>
      <c r="F438" s="15">
        <v>3948.3870967741937</v>
      </c>
    </row>
    <row r="439" spans="1:6">
      <c r="A439" s="19">
        <v>46117</v>
      </c>
      <c r="B439" t="s">
        <v>103</v>
      </c>
      <c r="C439">
        <v>100005001</v>
      </c>
      <c r="D439" t="s">
        <v>65</v>
      </c>
      <c r="E439" t="s">
        <v>21</v>
      </c>
      <c r="F439" s="15">
        <v>12000</v>
      </c>
    </row>
    <row r="440" spans="1:6">
      <c r="A440" s="19">
        <v>46117</v>
      </c>
      <c r="B440" t="s">
        <v>103</v>
      </c>
      <c r="C440">
        <v>100005002</v>
      </c>
      <c r="D440" t="s">
        <v>66</v>
      </c>
      <c r="E440" t="s">
        <v>21</v>
      </c>
      <c r="F440" s="15">
        <v>7200</v>
      </c>
    </row>
    <row r="441" spans="1:6">
      <c r="A441" s="19">
        <v>46117</v>
      </c>
      <c r="B441" t="s">
        <v>103</v>
      </c>
      <c r="C441">
        <v>100005003</v>
      </c>
      <c r="D441" t="s">
        <v>67</v>
      </c>
      <c r="E441" t="s">
        <v>21</v>
      </c>
      <c r="F441" s="15">
        <v>7200</v>
      </c>
    </row>
    <row r="442" spans="1:6">
      <c r="A442" s="19">
        <v>46117</v>
      </c>
      <c r="B442" t="s">
        <v>103</v>
      </c>
      <c r="C442">
        <v>100005004</v>
      </c>
      <c r="D442" t="s">
        <v>68</v>
      </c>
      <c r="E442" t="s">
        <v>21</v>
      </c>
      <c r="F442" s="15">
        <v>9600</v>
      </c>
    </row>
    <row r="443" spans="1:6">
      <c r="A443" s="19">
        <v>46117</v>
      </c>
      <c r="B443" t="s">
        <v>103</v>
      </c>
      <c r="C443">
        <v>100005005</v>
      </c>
      <c r="D443" t="s">
        <v>69</v>
      </c>
      <c r="E443" t="s">
        <v>21</v>
      </c>
      <c r="F443" s="15">
        <v>9600</v>
      </c>
    </row>
    <row r="444" spans="1:6">
      <c r="A444" s="19">
        <v>46117</v>
      </c>
      <c r="B444" t="s">
        <v>103</v>
      </c>
      <c r="C444">
        <v>100005006</v>
      </c>
      <c r="D444" t="s">
        <v>65</v>
      </c>
      <c r="E444" t="s">
        <v>22</v>
      </c>
      <c r="F444" s="15">
        <v>12000</v>
      </c>
    </row>
    <row r="445" spans="1:6">
      <c r="A445" s="19">
        <v>46117</v>
      </c>
      <c r="B445" t="s">
        <v>103</v>
      </c>
      <c r="C445">
        <v>100005009</v>
      </c>
      <c r="D445" t="s">
        <v>70</v>
      </c>
      <c r="E445" t="s">
        <v>22</v>
      </c>
      <c r="F445" s="15">
        <v>20400</v>
      </c>
    </row>
    <row r="446" spans="1:6">
      <c r="A446" s="19">
        <v>46117</v>
      </c>
      <c r="B446" t="s">
        <v>103</v>
      </c>
      <c r="C446">
        <v>100005010</v>
      </c>
      <c r="D446" t="s">
        <v>70</v>
      </c>
      <c r="E446" t="s">
        <v>22</v>
      </c>
      <c r="F446" s="15">
        <v>12000</v>
      </c>
    </row>
    <row r="447" spans="1:6">
      <c r="A447" s="19">
        <v>46117</v>
      </c>
      <c r="B447" t="s">
        <v>103</v>
      </c>
      <c r="C447">
        <v>100005011</v>
      </c>
      <c r="D447" t="s">
        <v>70</v>
      </c>
      <c r="E447" t="s">
        <v>22</v>
      </c>
      <c r="F447" s="15">
        <v>12000</v>
      </c>
    </row>
    <row r="448" spans="1:6">
      <c r="A448" s="19">
        <v>46117</v>
      </c>
      <c r="B448" t="s">
        <v>103</v>
      </c>
      <c r="C448">
        <v>100005012</v>
      </c>
      <c r="D448" t="s">
        <v>70</v>
      </c>
      <c r="E448" t="s">
        <v>22</v>
      </c>
      <c r="F448" s="15">
        <v>12000</v>
      </c>
    </row>
    <row r="449" spans="1:6">
      <c r="A449" s="19">
        <v>46117</v>
      </c>
      <c r="B449" t="s">
        <v>103</v>
      </c>
      <c r="C449">
        <v>100005007</v>
      </c>
      <c r="D449" t="s">
        <v>67</v>
      </c>
      <c r="E449" t="s">
        <v>22</v>
      </c>
      <c r="F449" s="15">
        <v>14280</v>
      </c>
    </row>
    <row r="450" spans="1:6">
      <c r="A450" s="19">
        <v>46117</v>
      </c>
      <c r="B450" t="s">
        <v>103</v>
      </c>
      <c r="C450">
        <v>100005008</v>
      </c>
      <c r="D450" t="s">
        <v>69</v>
      </c>
      <c r="E450" t="s">
        <v>22</v>
      </c>
      <c r="F450" s="15">
        <v>9600</v>
      </c>
    </row>
    <row r="451" spans="1:6">
      <c r="A451" s="19">
        <v>46117</v>
      </c>
      <c r="B451" t="s">
        <v>103</v>
      </c>
      <c r="C451">
        <v>100005000</v>
      </c>
      <c r="D451" t="s">
        <v>71</v>
      </c>
      <c r="E451" t="s">
        <v>83</v>
      </c>
      <c r="F451" s="15">
        <v>4800</v>
      </c>
    </row>
    <row r="452" spans="1:6">
      <c r="A452" s="19">
        <v>46132</v>
      </c>
      <c r="B452" t="s">
        <v>103</v>
      </c>
      <c r="C452">
        <v>100005001</v>
      </c>
      <c r="D452" t="s">
        <v>65</v>
      </c>
      <c r="E452" t="s">
        <v>21</v>
      </c>
      <c r="F452" s="15">
        <v>18000</v>
      </c>
    </row>
    <row r="453" spans="1:6">
      <c r="A453" s="19">
        <v>46132</v>
      </c>
      <c r="B453" t="s">
        <v>103</v>
      </c>
      <c r="C453">
        <v>100005002</v>
      </c>
      <c r="D453" t="s">
        <v>66</v>
      </c>
      <c r="E453" t="s">
        <v>21</v>
      </c>
      <c r="F453" s="15">
        <v>10800</v>
      </c>
    </row>
    <row r="454" spans="1:6">
      <c r="A454" s="19">
        <v>46132</v>
      </c>
      <c r="B454" t="s">
        <v>103</v>
      </c>
      <c r="C454">
        <v>100005003</v>
      </c>
      <c r="D454" t="s">
        <v>67</v>
      </c>
      <c r="E454" t="s">
        <v>21</v>
      </c>
      <c r="F454" s="15">
        <v>10800</v>
      </c>
    </row>
    <row r="455" spans="1:6">
      <c r="A455" s="19">
        <v>46132</v>
      </c>
      <c r="B455" t="s">
        <v>103</v>
      </c>
      <c r="C455">
        <v>100005004</v>
      </c>
      <c r="D455" t="s">
        <v>68</v>
      </c>
      <c r="E455" t="s">
        <v>21</v>
      </c>
      <c r="F455" s="15">
        <v>14400</v>
      </c>
    </row>
    <row r="456" spans="1:6">
      <c r="A456" s="19">
        <v>46132</v>
      </c>
      <c r="B456" t="s">
        <v>103</v>
      </c>
      <c r="C456">
        <v>100005005</v>
      </c>
      <c r="D456" t="s">
        <v>69</v>
      </c>
      <c r="E456" t="s">
        <v>21</v>
      </c>
      <c r="F456" s="15">
        <v>14400</v>
      </c>
    </row>
    <row r="457" spans="1:6">
      <c r="A457" s="19">
        <v>46132</v>
      </c>
      <c r="B457" t="s">
        <v>103</v>
      </c>
      <c r="C457">
        <v>100005006</v>
      </c>
      <c r="D457" t="s">
        <v>65</v>
      </c>
      <c r="E457" t="s">
        <v>22</v>
      </c>
      <c r="F457" s="15">
        <v>18000</v>
      </c>
    </row>
    <row r="458" spans="1:6">
      <c r="A458" s="19">
        <v>46132</v>
      </c>
      <c r="B458" t="s">
        <v>103</v>
      </c>
      <c r="C458">
        <v>100005009</v>
      </c>
      <c r="D458" t="s">
        <v>70</v>
      </c>
      <c r="E458" t="s">
        <v>22</v>
      </c>
      <c r="F458" s="15">
        <v>9600</v>
      </c>
    </row>
    <row r="459" spans="1:6">
      <c r="A459" s="19">
        <v>46132</v>
      </c>
      <c r="B459" t="s">
        <v>103</v>
      </c>
      <c r="C459">
        <v>100005010</v>
      </c>
      <c r="D459" t="s">
        <v>70</v>
      </c>
      <c r="E459" t="s">
        <v>22</v>
      </c>
      <c r="F459" s="15">
        <v>18000</v>
      </c>
    </row>
    <row r="460" spans="1:6">
      <c r="A460" s="19">
        <v>46132</v>
      </c>
      <c r="B460" t="s">
        <v>103</v>
      </c>
      <c r="C460">
        <v>100005011</v>
      </c>
      <c r="D460" t="s">
        <v>70</v>
      </c>
      <c r="E460" t="s">
        <v>22</v>
      </c>
      <c r="F460" s="15">
        <v>18000</v>
      </c>
    </row>
    <row r="461" spans="1:6">
      <c r="A461" s="19">
        <v>46132</v>
      </c>
      <c r="B461" t="s">
        <v>103</v>
      </c>
      <c r="C461">
        <v>100005012</v>
      </c>
      <c r="D461" t="s">
        <v>70</v>
      </c>
      <c r="E461" t="s">
        <v>22</v>
      </c>
      <c r="F461" s="15">
        <v>18000</v>
      </c>
    </row>
    <row r="462" spans="1:6">
      <c r="A462" s="19">
        <v>46132</v>
      </c>
      <c r="B462" t="s">
        <v>103</v>
      </c>
      <c r="C462">
        <v>100005007</v>
      </c>
      <c r="D462" t="s">
        <v>67</v>
      </c>
      <c r="E462" t="s">
        <v>22</v>
      </c>
      <c r="F462" s="15">
        <v>6719.9999999999991</v>
      </c>
    </row>
    <row r="463" spans="1:6">
      <c r="A463" s="19">
        <v>46132</v>
      </c>
      <c r="B463" t="s">
        <v>103</v>
      </c>
      <c r="C463">
        <v>100005008</v>
      </c>
      <c r="D463" t="s">
        <v>69</v>
      </c>
      <c r="E463" t="s">
        <v>22</v>
      </c>
      <c r="F463" s="15">
        <v>14400</v>
      </c>
    </row>
    <row r="464" spans="1:6">
      <c r="A464" s="19">
        <v>46132</v>
      </c>
      <c r="B464" t="s">
        <v>103</v>
      </c>
      <c r="C464">
        <v>100005000</v>
      </c>
      <c r="D464" t="s">
        <v>71</v>
      </c>
      <c r="E464" t="s">
        <v>83</v>
      </c>
      <c r="F464" s="15">
        <v>7200</v>
      </c>
    </row>
    <row r="465" spans="1:6">
      <c r="A465" s="19">
        <v>46147</v>
      </c>
      <c r="B465" t="s">
        <v>103</v>
      </c>
      <c r="C465">
        <v>100005001</v>
      </c>
      <c r="D465" t="s">
        <v>65</v>
      </c>
      <c r="E465" t="s">
        <v>21</v>
      </c>
      <c r="F465" s="15">
        <v>12000</v>
      </c>
    </row>
    <row r="466" spans="1:6">
      <c r="A466" s="19">
        <v>46147</v>
      </c>
      <c r="B466" t="s">
        <v>103</v>
      </c>
      <c r="C466">
        <v>100005002</v>
      </c>
      <c r="D466" t="s">
        <v>66</v>
      </c>
      <c r="E466" t="s">
        <v>21</v>
      </c>
      <c r="F466" s="15">
        <v>12077.419354838708</v>
      </c>
    </row>
    <row r="467" spans="1:6">
      <c r="A467" s="19">
        <v>46147</v>
      </c>
      <c r="B467" t="s">
        <v>103</v>
      </c>
      <c r="C467">
        <v>100005003</v>
      </c>
      <c r="D467" t="s">
        <v>67</v>
      </c>
      <c r="E467" t="s">
        <v>21</v>
      </c>
      <c r="F467" s="15">
        <v>12077.419354838708</v>
      </c>
    </row>
    <row r="468" spans="1:6">
      <c r="A468" s="19">
        <v>46147</v>
      </c>
      <c r="B468" t="s">
        <v>103</v>
      </c>
      <c r="C468">
        <v>100005004</v>
      </c>
      <c r="D468" t="s">
        <v>68</v>
      </c>
      <c r="E468" t="s">
        <v>21</v>
      </c>
      <c r="F468" s="15">
        <v>9600</v>
      </c>
    </row>
    <row r="469" spans="1:6">
      <c r="A469" s="19">
        <v>46147</v>
      </c>
      <c r="B469" t="s">
        <v>103</v>
      </c>
      <c r="C469">
        <v>100005005</v>
      </c>
      <c r="D469" t="s">
        <v>69</v>
      </c>
      <c r="E469" t="s">
        <v>21</v>
      </c>
      <c r="F469" s="15">
        <v>9600</v>
      </c>
    </row>
    <row r="470" spans="1:6">
      <c r="A470" s="19">
        <v>46147</v>
      </c>
      <c r="B470" t="s">
        <v>103</v>
      </c>
      <c r="C470">
        <v>100005006</v>
      </c>
      <c r="D470" t="s">
        <v>65</v>
      </c>
      <c r="E470" t="s">
        <v>22</v>
      </c>
      <c r="F470" s="15">
        <v>12000</v>
      </c>
    </row>
    <row r="471" spans="1:6">
      <c r="A471" s="19">
        <v>46147</v>
      </c>
      <c r="B471" t="s">
        <v>103</v>
      </c>
      <c r="C471">
        <v>100005009</v>
      </c>
      <c r="D471" t="s">
        <v>70</v>
      </c>
      <c r="E471" t="s">
        <v>22</v>
      </c>
      <c r="F471" s="15">
        <v>12000</v>
      </c>
    </row>
    <row r="472" spans="1:6">
      <c r="A472" s="19">
        <v>46147</v>
      </c>
      <c r="B472" t="s">
        <v>103</v>
      </c>
      <c r="C472">
        <v>100005010</v>
      </c>
      <c r="D472" t="s">
        <v>70</v>
      </c>
      <c r="E472" t="s">
        <v>22</v>
      </c>
      <c r="F472" s="15">
        <v>20129.032258064519</v>
      </c>
    </row>
    <row r="473" spans="1:6">
      <c r="A473" s="19">
        <v>46147</v>
      </c>
      <c r="B473" t="s">
        <v>103</v>
      </c>
      <c r="C473">
        <v>100005011</v>
      </c>
      <c r="D473" t="s">
        <v>70</v>
      </c>
      <c r="E473" t="s">
        <v>22</v>
      </c>
      <c r="F473" s="15">
        <v>12000</v>
      </c>
    </row>
    <row r="474" spans="1:6">
      <c r="A474" s="19">
        <v>46147</v>
      </c>
      <c r="B474" t="s">
        <v>103</v>
      </c>
      <c r="C474">
        <v>100005012</v>
      </c>
      <c r="D474" t="s">
        <v>70</v>
      </c>
      <c r="E474" t="s">
        <v>22</v>
      </c>
      <c r="F474" s="15">
        <v>12000</v>
      </c>
    </row>
    <row r="475" spans="1:6">
      <c r="A475" s="19">
        <v>46147</v>
      </c>
      <c r="B475" t="s">
        <v>103</v>
      </c>
      <c r="C475">
        <v>100005007</v>
      </c>
      <c r="D475" t="s">
        <v>67</v>
      </c>
      <c r="E475" t="s">
        <v>22</v>
      </c>
      <c r="F475" s="15">
        <v>8400</v>
      </c>
    </row>
    <row r="476" spans="1:6">
      <c r="A476" s="19">
        <v>46147</v>
      </c>
      <c r="B476" t="s">
        <v>103</v>
      </c>
      <c r="C476">
        <v>100005008</v>
      </c>
      <c r="D476" t="s">
        <v>69</v>
      </c>
      <c r="E476" t="s">
        <v>22</v>
      </c>
      <c r="F476" s="15">
        <v>9600</v>
      </c>
    </row>
    <row r="477" spans="1:6">
      <c r="A477" s="19">
        <v>46147</v>
      </c>
      <c r="B477" t="s">
        <v>103</v>
      </c>
      <c r="C477">
        <v>100005000</v>
      </c>
      <c r="D477" t="s">
        <v>71</v>
      </c>
      <c r="E477" t="s">
        <v>83</v>
      </c>
      <c r="F477" s="15">
        <v>4800</v>
      </c>
    </row>
    <row r="478" spans="1:6">
      <c r="A478" s="19">
        <v>46162</v>
      </c>
      <c r="B478" t="s">
        <v>103</v>
      </c>
      <c r="C478">
        <v>100005001</v>
      </c>
      <c r="D478" t="s">
        <v>65</v>
      </c>
      <c r="E478" t="s">
        <v>21</v>
      </c>
      <c r="F478" s="15">
        <v>18000</v>
      </c>
    </row>
    <row r="479" spans="1:6">
      <c r="A479" s="19">
        <v>46162</v>
      </c>
      <c r="B479" t="s">
        <v>103</v>
      </c>
      <c r="C479">
        <v>100005002</v>
      </c>
      <c r="D479" t="s">
        <v>66</v>
      </c>
      <c r="E479" t="s">
        <v>21</v>
      </c>
      <c r="F479" s="15">
        <v>5922.5806451612898</v>
      </c>
    </row>
    <row r="480" spans="1:6">
      <c r="A480" s="19">
        <v>46162</v>
      </c>
      <c r="B480" t="s">
        <v>103</v>
      </c>
      <c r="C480">
        <v>100005003</v>
      </c>
      <c r="D480" t="s">
        <v>67</v>
      </c>
      <c r="E480" t="s">
        <v>21</v>
      </c>
      <c r="F480" s="15">
        <v>5922.5806451612898</v>
      </c>
    </row>
    <row r="481" spans="1:6">
      <c r="A481" s="19">
        <v>46162</v>
      </c>
      <c r="B481" t="s">
        <v>103</v>
      </c>
      <c r="C481">
        <v>100005004</v>
      </c>
      <c r="D481" t="s">
        <v>68</v>
      </c>
      <c r="E481" t="s">
        <v>21</v>
      </c>
      <c r="F481" s="15">
        <v>14400</v>
      </c>
    </row>
    <row r="482" spans="1:6">
      <c r="A482" s="19">
        <v>46162</v>
      </c>
      <c r="B482" t="s">
        <v>103</v>
      </c>
      <c r="C482">
        <v>100005005</v>
      </c>
      <c r="D482" t="s">
        <v>69</v>
      </c>
      <c r="E482" t="s">
        <v>21</v>
      </c>
      <c r="F482" s="15">
        <v>14400</v>
      </c>
    </row>
    <row r="483" spans="1:6">
      <c r="A483" s="19">
        <v>46162</v>
      </c>
      <c r="B483" t="s">
        <v>103</v>
      </c>
      <c r="C483">
        <v>100005006</v>
      </c>
      <c r="D483" t="s">
        <v>65</v>
      </c>
      <c r="E483" t="s">
        <v>22</v>
      </c>
      <c r="F483" s="15">
        <v>18000</v>
      </c>
    </row>
    <row r="484" spans="1:6">
      <c r="A484" s="19">
        <v>46162</v>
      </c>
      <c r="B484" t="s">
        <v>103</v>
      </c>
      <c r="C484">
        <v>100005009</v>
      </c>
      <c r="D484" t="s">
        <v>70</v>
      </c>
      <c r="E484" t="s">
        <v>22</v>
      </c>
      <c r="F484" s="15">
        <v>18000</v>
      </c>
    </row>
    <row r="485" spans="1:6">
      <c r="A485" s="19">
        <v>46162</v>
      </c>
      <c r="B485" t="s">
        <v>103</v>
      </c>
      <c r="C485">
        <v>100005010</v>
      </c>
      <c r="D485" t="s">
        <v>70</v>
      </c>
      <c r="E485" t="s">
        <v>22</v>
      </c>
      <c r="F485" s="15">
        <v>9870.967741935483</v>
      </c>
    </row>
    <row r="486" spans="1:6">
      <c r="A486" s="19">
        <v>46162</v>
      </c>
      <c r="B486" t="s">
        <v>103</v>
      </c>
      <c r="C486">
        <v>100005011</v>
      </c>
      <c r="D486" t="s">
        <v>70</v>
      </c>
      <c r="E486" t="s">
        <v>22</v>
      </c>
      <c r="F486" s="15">
        <v>18000</v>
      </c>
    </row>
    <row r="487" spans="1:6">
      <c r="A487" s="19">
        <v>46162</v>
      </c>
      <c r="B487" t="s">
        <v>103</v>
      </c>
      <c r="C487">
        <v>100005012</v>
      </c>
      <c r="D487" t="s">
        <v>70</v>
      </c>
      <c r="E487" t="s">
        <v>22</v>
      </c>
      <c r="F487" s="15">
        <v>18000</v>
      </c>
    </row>
    <row r="488" spans="1:6">
      <c r="A488" s="19">
        <v>46162</v>
      </c>
      <c r="B488" t="s">
        <v>103</v>
      </c>
      <c r="C488">
        <v>100005007</v>
      </c>
      <c r="D488" t="s">
        <v>67</v>
      </c>
      <c r="E488" t="s">
        <v>22</v>
      </c>
      <c r="F488" s="15">
        <v>12600</v>
      </c>
    </row>
    <row r="489" spans="1:6">
      <c r="A489" s="19">
        <v>46162</v>
      </c>
      <c r="B489" t="s">
        <v>103</v>
      </c>
      <c r="C489">
        <v>100005008</v>
      </c>
      <c r="D489" t="s">
        <v>69</v>
      </c>
      <c r="E489" t="s">
        <v>22</v>
      </c>
      <c r="F489" s="15">
        <v>14400</v>
      </c>
    </row>
    <row r="490" spans="1:6">
      <c r="A490" s="19">
        <v>46162</v>
      </c>
      <c r="B490" t="s">
        <v>103</v>
      </c>
      <c r="C490">
        <v>100005000</v>
      </c>
      <c r="D490" t="s">
        <v>71</v>
      </c>
      <c r="E490" t="s">
        <v>83</v>
      </c>
      <c r="F490" s="15">
        <v>7200</v>
      </c>
    </row>
    <row r="491" spans="1:6">
      <c r="A491" s="19">
        <v>46178</v>
      </c>
      <c r="B491" t="s">
        <v>103</v>
      </c>
      <c r="C491">
        <v>100005001</v>
      </c>
      <c r="D491" t="s">
        <v>65</v>
      </c>
      <c r="E491" t="s">
        <v>21</v>
      </c>
      <c r="F491" s="15">
        <v>20400</v>
      </c>
    </row>
    <row r="492" spans="1:6">
      <c r="A492" s="19">
        <v>46178</v>
      </c>
      <c r="B492" t="s">
        <v>103</v>
      </c>
      <c r="C492">
        <v>100005002</v>
      </c>
      <c r="D492" t="s">
        <v>66</v>
      </c>
      <c r="E492" t="s">
        <v>21</v>
      </c>
      <c r="F492" s="15">
        <v>7200</v>
      </c>
    </row>
    <row r="493" spans="1:6">
      <c r="A493" s="19">
        <v>46178</v>
      </c>
      <c r="B493" t="s">
        <v>103</v>
      </c>
      <c r="C493">
        <v>100005003</v>
      </c>
      <c r="D493" t="s">
        <v>67</v>
      </c>
      <c r="E493" t="s">
        <v>21</v>
      </c>
      <c r="F493" s="15">
        <v>7200</v>
      </c>
    </row>
    <row r="494" spans="1:6">
      <c r="A494" s="19">
        <v>46178</v>
      </c>
      <c r="B494" t="s">
        <v>103</v>
      </c>
      <c r="C494">
        <v>100005004</v>
      </c>
      <c r="D494" t="s">
        <v>68</v>
      </c>
      <c r="E494" t="s">
        <v>21</v>
      </c>
      <c r="F494" s="15">
        <v>16320</v>
      </c>
    </row>
    <row r="495" spans="1:6">
      <c r="A495" s="19">
        <v>46178</v>
      </c>
      <c r="B495" t="s">
        <v>103</v>
      </c>
      <c r="C495">
        <v>100005005</v>
      </c>
      <c r="D495" t="s">
        <v>69</v>
      </c>
      <c r="E495" t="s">
        <v>21</v>
      </c>
      <c r="F495" s="15">
        <v>9600</v>
      </c>
    </row>
    <row r="496" spans="1:6">
      <c r="A496" s="19">
        <v>46178</v>
      </c>
      <c r="B496" t="s">
        <v>103</v>
      </c>
      <c r="C496">
        <v>100005006</v>
      </c>
      <c r="D496" t="s">
        <v>65</v>
      </c>
      <c r="E496" t="s">
        <v>22</v>
      </c>
      <c r="F496" s="15">
        <v>12000</v>
      </c>
    </row>
    <row r="497" spans="1:6">
      <c r="A497" s="19">
        <v>46178</v>
      </c>
      <c r="B497" t="s">
        <v>103</v>
      </c>
      <c r="C497">
        <v>100005009</v>
      </c>
      <c r="D497" t="s">
        <v>70</v>
      </c>
      <c r="E497" t="s">
        <v>22</v>
      </c>
      <c r="F497" s="15">
        <v>12000</v>
      </c>
    </row>
    <row r="498" spans="1:6">
      <c r="A498" s="19">
        <v>46178</v>
      </c>
      <c r="B498" t="s">
        <v>103</v>
      </c>
      <c r="C498">
        <v>100005010</v>
      </c>
      <c r="D498" t="s">
        <v>70</v>
      </c>
      <c r="E498" t="s">
        <v>22</v>
      </c>
      <c r="F498" s="15">
        <v>12000</v>
      </c>
    </row>
    <row r="499" spans="1:6">
      <c r="A499" s="19">
        <v>46178</v>
      </c>
      <c r="B499" t="s">
        <v>103</v>
      </c>
      <c r="C499">
        <v>100005011</v>
      </c>
      <c r="D499" t="s">
        <v>70</v>
      </c>
      <c r="E499" t="s">
        <v>22</v>
      </c>
      <c r="F499" s="15">
        <v>20400</v>
      </c>
    </row>
    <row r="500" spans="1:6">
      <c r="A500" s="19">
        <v>46178</v>
      </c>
      <c r="B500" t="s">
        <v>103</v>
      </c>
      <c r="C500">
        <v>100005012</v>
      </c>
      <c r="D500" t="s">
        <v>70</v>
      </c>
      <c r="E500" t="s">
        <v>22</v>
      </c>
      <c r="F500" s="15">
        <v>12000</v>
      </c>
    </row>
    <row r="501" spans="1:6">
      <c r="A501" s="19">
        <v>46178</v>
      </c>
      <c r="B501" t="s">
        <v>103</v>
      </c>
      <c r="C501">
        <v>100005013</v>
      </c>
      <c r="D501" t="s">
        <v>70</v>
      </c>
      <c r="E501" t="s">
        <v>22</v>
      </c>
      <c r="F501" s="15">
        <v>12000</v>
      </c>
    </row>
    <row r="502" spans="1:6">
      <c r="A502" s="19">
        <v>46178</v>
      </c>
      <c r="B502" t="s">
        <v>103</v>
      </c>
      <c r="C502">
        <v>100005007</v>
      </c>
      <c r="D502" t="s">
        <v>67</v>
      </c>
      <c r="E502" t="s">
        <v>22</v>
      </c>
      <c r="F502" s="15">
        <v>8400</v>
      </c>
    </row>
    <row r="503" spans="1:6">
      <c r="A503" s="19">
        <v>46178</v>
      </c>
      <c r="B503" t="s">
        <v>103</v>
      </c>
      <c r="C503">
        <v>100005008</v>
      </c>
      <c r="D503" t="s">
        <v>69</v>
      </c>
      <c r="E503" t="s">
        <v>22</v>
      </c>
      <c r="F503" s="15">
        <v>9600</v>
      </c>
    </row>
    <row r="504" spans="1:6">
      <c r="A504" s="19">
        <v>46178</v>
      </c>
      <c r="B504" t="s">
        <v>103</v>
      </c>
      <c r="C504">
        <v>100005000</v>
      </c>
      <c r="D504" t="s">
        <v>71</v>
      </c>
      <c r="E504" t="s">
        <v>83</v>
      </c>
      <c r="F504" s="15">
        <v>4800</v>
      </c>
    </row>
    <row r="505" spans="1:6">
      <c r="A505" s="19">
        <v>46193</v>
      </c>
      <c r="B505" t="s">
        <v>103</v>
      </c>
      <c r="C505">
        <v>100005001</v>
      </c>
      <c r="D505" t="s">
        <v>65</v>
      </c>
      <c r="E505" t="s">
        <v>21</v>
      </c>
      <c r="F505" s="15">
        <v>9600</v>
      </c>
    </row>
    <row r="506" spans="1:6">
      <c r="A506" s="19">
        <v>46193</v>
      </c>
      <c r="B506" t="s">
        <v>103</v>
      </c>
      <c r="C506">
        <v>100005002</v>
      </c>
      <c r="D506" t="s">
        <v>66</v>
      </c>
      <c r="E506" t="s">
        <v>21</v>
      </c>
      <c r="F506" s="15">
        <v>10800</v>
      </c>
    </row>
    <row r="507" spans="1:6">
      <c r="A507" s="19">
        <v>46193</v>
      </c>
      <c r="B507" t="s">
        <v>103</v>
      </c>
      <c r="C507">
        <v>100005003</v>
      </c>
      <c r="D507" t="s">
        <v>67</v>
      </c>
      <c r="E507" t="s">
        <v>21</v>
      </c>
      <c r="F507" s="15">
        <v>10800</v>
      </c>
    </row>
    <row r="508" spans="1:6">
      <c r="A508" s="19">
        <v>46193</v>
      </c>
      <c r="B508" t="s">
        <v>103</v>
      </c>
      <c r="C508">
        <v>100005004</v>
      </c>
      <c r="D508" t="s">
        <v>68</v>
      </c>
      <c r="E508" t="s">
        <v>21</v>
      </c>
      <c r="F508" s="15">
        <v>7679.9999999999982</v>
      </c>
    </row>
    <row r="509" spans="1:6">
      <c r="A509" s="19">
        <v>46193</v>
      </c>
      <c r="B509" t="s">
        <v>103</v>
      </c>
      <c r="C509">
        <v>100005005</v>
      </c>
      <c r="D509" t="s">
        <v>69</v>
      </c>
      <c r="E509" t="s">
        <v>21</v>
      </c>
      <c r="F509" s="15">
        <v>14400</v>
      </c>
    </row>
    <row r="510" spans="1:6">
      <c r="A510" s="19">
        <v>46193</v>
      </c>
      <c r="B510" t="s">
        <v>103</v>
      </c>
      <c r="C510">
        <v>100005006</v>
      </c>
      <c r="D510" t="s">
        <v>65</v>
      </c>
      <c r="E510" t="s">
        <v>22</v>
      </c>
      <c r="F510" s="15">
        <v>18000</v>
      </c>
    </row>
    <row r="511" spans="1:6">
      <c r="A511" s="19">
        <v>46193</v>
      </c>
      <c r="B511" t="s">
        <v>103</v>
      </c>
      <c r="C511">
        <v>100005009</v>
      </c>
      <c r="D511" t="s">
        <v>70</v>
      </c>
      <c r="E511" t="s">
        <v>22</v>
      </c>
      <c r="F511" s="15">
        <v>18000</v>
      </c>
    </row>
    <row r="512" spans="1:6">
      <c r="A512" s="19">
        <v>46193</v>
      </c>
      <c r="B512" t="s">
        <v>103</v>
      </c>
      <c r="C512">
        <v>100005010</v>
      </c>
      <c r="D512" t="s">
        <v>70</v>
      </c>
      <c r="E512" t="s">
        <v>22</v>
      </c>
      <c r="F512" s="15">
        <v>18000</v>
      </c>
    </row>
    <row r="513" spans="1:6">
      <c r="A513" s="19">
        <v>46193</v>
      </c>
      <c r="B513" t="s">
        <v>103</v>
      </c>
      <c r="C513">
        <v>100005011</v>
      </c>
      <c r="D513" t="s">
        <v>70</v>
      </c>
      <c r="E513" t="s">
        <v>22</v>
      </c>
      <c r="F513" s="15">
        <v>9600</v>
      </c>
    </row>
    <row r="514" spans="1:6">
      <c r="A514" s="19">
        <v>46193</v>
      </c>
      <c r="B514" t="s">
        <v>103</v>
      </c>
      <c r="C514">
        <v>100005012</v>
      </c>
      <c r="D514" t="s">
        <v>70</v>
      </c>
      <c r="E514" t="s">
        <v>22</v>
      </c>
      <c r="F514" s="15">
        <v>18000</v>
      </c>
    </row>
    <row r="515" spans="1:6">
      <c r="A515" s="19">
        <v>46193</v>
      </c>
      <c r="B515" t="s">
        <v>103</v>
      </c>
      <c r="C515">
        <v>100005013</v>
      </c>
      <c r="D515" t="s">
        <v>70</v>
      </c>
      <c r="E515" t="s">
        <v>22</v>
      </c>
      <c r="F515" s="15">
        <v>18000</v>
      </c>
    </row>
    <row r="516" spans="1:6">
      <c r="A516" s="19">
        <v>46193</v>
      </c>
      <c r="B516" t="s">
        <v>103</v>
      </c>
      <c r="C516">
        <v>100005007</v>
      </c>
      <c r="D516" t="s">
        <v>67</v>
      </c>
      <c r="E516" t="s">
        <v>22</v>
      </c>
      <c r="F516" s="15">
        <v>12600</v>
      </c>
    </row>
    <row r="517" spans="1:6">
      <c r="A517" s="19">
        <v>46193</v>
      </c>
      <c r="B517" t="s">
        <v>103</v>
      </c>
      <c r="C517">
        <v>100005008</v>
      </c>
      <c r="D517" t="s">
        <v>69</v>
      </c>
      <c r="E517" t="s">
        <v>22</v>
      </c>
      <c r="F517" s="15">
        <v>14400</v>
      </c>
    </row>
    <row r="518" spans="1:6">
      <c r="A518" s="19">
        <v>46193</v>
      </c>
      <c r="B518" t="s">
        <v>103</v>
      </c>
      <c r="C518">
        <v>100005000</v>
      </c>
      <c r="D518" t="s">
        <v>71</v>
      </c>
      <c r="E518" t="s">
        <v>83</v>
      </c>
      <c r="F518" s="15">
        <v>7200</v>
      </c>
    </row>
    <row r="519" spans="1:6">
      <c r="A519" s="19">
        <v>46208</v>
      </c>
      <c r="B519" t="s">
        <v>103</v>
      </c>
      <c r="C519">
        <v>100005001</v>
      </c>
      <c r="D519" t="s">
        <v>65</v>
      </c>
      <c r="E519" t="s">
        <v>21</v>
      </c>
      <c r="F519" s="15">
        <v>12000</v>
      </c>
    </row>
    <row r="520" spans="1:6">
      <c r="A520" s="19">
        <v>46208</v>
      </c>
      <c r="B520" t="s">
        <v>103</v>
      </c>
      <c r="C520">
        <v>100005002</v>
      </c>
      <c r="D520" t="s">
        <v>66</v>
      </c>
      <c r="E520" t="s">
        <v>21</v>
      </c>
      <c r="F520" s="15">
        <v>7200</v>
      </c>
    </row>
    <row r="521" spans="1:6">
      <c r="A521" s="19">
        <v>46208</v>
      </c>
      <c r="B521" t="s">
        <v>103</v>
      </c>
      <c r="C521">
        <v>100005003</v>
      </c>
      <c r="D521" t="s">
        <v>67</v>
      </c>
      <c r="E521" t="s">
        <v>21</v>
      </c>
      <c r="F521" s="15">
        <v>7200</v>
      </c>
    </row>
    <row r="522" spans="1:6">
      <c r="A522" s="19">
        <v>46208</v>
      </c>
      <c r="B522" t="s">
        <v>103</v>
      </c>
      <c r="C522">
        <v>100005004</v>
      </c>
      <c r="D522" t="s">
        <v>68</v>
      </c>
      <c r="E522" t="s">
        <v>21</v>
      </c>
      <c r="F522" s="15">
        <v>9600</v>
      </c>
    </row>
    <row r="523" spans="1:6">
      <c r="A523" s="19">
        <v>46208</v>
      </c>
      <c r="B523" t="s">
        <v>103</v>
      </c>
      <c r="C523">
        <v>100005005</v>
      </c>
      <c r="D523" t="s">
        <v>69</v>
      </c>
      <c r="E523" t="s">
        <v>21</v>
      </c>
      <c r="F523" s="15">
        <v>16103.225806451614</v>
      </c>
    </row>
    <row r="524" spans="1:6">
      <c r="A524" s="19">
        <v>46208</v>
      </c>
      <c r="B524" t="s">
        <v>103</v>
      </c>
      <c r="C524">
        <v>100005006</v>
      </c>
      <c r="D524" t="s">
        <v>65</v>
      </c>
      <c r="E524" t="s">
        <v>22</v>
      </c>
      <c r="F524" s="15">
        <v>12000</v>
      </c>
    </row>
    <row r="525" spans="1:6">
      <c r="A525" s="19">
        <v>46208</v>
      </c>
      <c r="B525" t="s">
        <v>103</v>
      </c>
      <c r="C525">
        <v>100005009</v>
      </c>
      <c r="D525" t="s">
        <v>70</v>
      </c>
      <c r="E525" t="s">
        <v>22</v>
      </c>
      <c r="F525" s="15">
        <v>12000</v>
      </c>
    </row>
    <row r="526" spans="1:6">
      <c r="A526" s="19">
        <v>46208</v>
      </c>
      <c r="B526" t="s">
        <v>103</v>
      </c>
      <c r="C526">
        <v>100005010</v>
      </c>
      <c r="D526" t="s">
        <v>70</v>
      </c>
      <c r="E526" t="s">
        <v>22</v>
      </c>
      <c r="F526" s="15">
        <v>12000</v>
      </c>
    </row>
    <row r="527" spans="1:6">
      <c r="A527" s="19">
        <v>46208</v>
      </c>
      <c r="B527" t="s">
        <v>103</v>
      </c>
      <c r="C527">
        <v>100005011</v>
      </c>
      <c r="D527" t="s">
        <v>70</v>
      </c>
      <c r="E527" t="s">
        <v>22</v>
      </c>
      <c r="F527" s="15">
        <v>12000</v>
      </c>
    </row>
    <row r="528" spans="1:6">
      <c r="A528" s="19">
        <v>46208</v>
      </c>
      <c r="B528" t="s">
        <v>103</v>
      </c>
      <c r="C528">
        <v>100005012</v>
      </c>
      <c r="D528" t="s">
        <v>70</v>
      </c>
      <c r="E528" t="s">
        <v>22</v>
      </c>
      <c r="F528" s="15">
        <v>12000</v>
      </c>
    </row>
    <row r="529" spans="1:6">
      <c r="A529" s="19">
        <v>46208</v>
      </c>
      <c r="B529" t="s">
        <v>103</v>
      </c>
      <c r="C529">
        <v>100005013</v>
      </c>
      <c r="D529" t="s">
        <v>70</v>
      </c>
      <c r="E529" t="s">
        <v>22</v>
      </c>
      <c r="F529" s="15">
        <v>20129.032258064519</v>
      </c>
    </row>
    <row r="530" spans="1:6">
      <c r="A530" s="19">
        <v>46208</v>
      </c>
      <c r="B530" t="s">
        <v>103</v>
      </c>
      <c r="C530">
        <v>100005014</v>
      </c>
      <c r="D530" t="s">
        <v>70</v>
      </c>
      <c r="E530" t="s">
        <v>22</v>
      </c>
      <c r="F530" s="15">
        <v>12000</v>
      </c>
    </row>
    <row r="531" spans="1:6">
      <c r="A531" s="19">
        <v>46208</v>
      </c>
      <c r="B531" t="s">
        <v>103</v>
      </c>
      <c r="C531">
        <v>100005007</v>
      </c>
      <c r="D531" t="s">
        <v>67</v>
      </c>
      <c r="E531" t="s">
        <v>22</v>
      </c>
      <c r="F531" s="15">
        <v>14090.322580645161</v>
      </c>
    </row>
    <row r="532" spans="1:6">
      <c r="A532" s="19">
        <v>46208</v>
      </c>
      <c r="B532" t="s">
        <v>103</v>
      </c>
      <c r="C532">
        <v>100005008</v>
      </c>
      <c r="D532" t="s">
        <v>69</v>
      </c>
      <c r="E532" t="s">
        <v>22</v>
      </c>
      <c r="F532" s="15">
        <v>9600</v>
      </c>
    </row>
    <row r="533" spans="1:6">
      <c r="A533" s="19">
        <v>46208</v>
      </c>
      <c r="B533" t="s">
        <v>103</v>
      </c>
      <c r="C533">
        <v>100005000</v>
      </c>
      <c r="D533" t="s">
        <v>71</v>
      </c>
      <c r="E533" t="s">
        <v>83</v>
      </c>
      <c r="F533" s="15">
        <v>4800</v>
      </c>
    </row>
    <row r="534" spans="1:6">
      <c r="A534" s="19">
        <v>46223</v>
      </c>
      <c r="B534" t="s">
        <v>103</v>
      </c>
      <c r="C534">
        <v>100005001</v>
      </c>
      <c r="D534" t="s">
        <v>65</v>
      </c>
      <c r="E534" t="s">
        <v>21</v>
      </c>
      <c r="F534" s="15">
        <v>18000</v>
      </c>
    </row>
    <row r="535" spans="1:6">
      <c r="A535" s="19">
        <v>46223</v>
      </c>
      <c r="B535" t="s">
        <v>103</v>
      </c>
      <c r="C535">
        <v>100005002</v>
      </c>
      <c r="D535" t="s">
        <v>66</v>
      </c>
      <c r="E535" t="s">
        <v>21</v>
      </c>
      <c r="F535" s="15">
        <v>10800</v>
      </c>
    </row>
    <row r="536" spans="1:6">
      <c r="A536" s="19">
        <v>46223</v>
      </c>
      <c r="B536" t="s">
        <v>103</v>
      </c>
      <c r="C536">
        <v>100005003</v>
      </c>
      <c r="D536" t="s">
        <v>67</v>
      </c>
      <c r="E536" t="s">
        <v>21</v>
      </c>
      <c r="F536" s="15">
        <v>10800</v>
      </c>
    </row>
    <row r="537" spans="1:6">
      <c r="A537" s="19">
        <v>46223</v>
      </c>
      <c r="B537" t="s">
        <v>103</v>
      </c>
      <c r="C537">
        <v>100005004</v>
      </c>
      <c r="D537" t="s">
        <v>68</v>
      </c>
      <c r="E537" t="s">
        <v>21</v>
      </c>
      <c r="F537" s="15">
        <v>14400</v>
      </c>
    </row>
    <row r="538" spans="1:6">
      <c r="A538" s="19">
        <v>46223</v>
      </c>
      <c r="B538" t="s">
        <v>103</v>
      </c>
      <c r="C538">
        <v>100005005</v>
      </c>
      <c r="D538" t="s">
        <v>69</v>
      </c>
      <c r="E538" t="s">
        <v>21</v>
      </c>
      <c r="F538" s="15">
        <v>7896.7741935483873</v>
      </c>
    </row>
    <row r="539" spans="1:6">
      <c r="A539" s="19">
        <v>46223</v>
      </c>
      <c r="B539" t="s">
        <v>103</v>
      </c>
      <c r="C539">
        <v>100005006</v>
      </c>
      <c r="D539" t="s">
        <v>65</v>
      </c>
      <c r="E539" t="s">
        <v>22</v>
      </c>
      <c r="F539" s="15">
        <v>18000</v>
      </c>
    </row>
    <row r="540" spans="1:6">
      <c r="A540" s="19">
        <v>46223</v>
      </c>
      <c r="B540" t="s">
        <v>103</v>
      </c>
      <c r="C540">
        <v>100005009</v>
      </c>
      <c r="D540" t="s">
        <v>70</v>
      </c>
      <c r="E540" t="s">
        <v>22</v>
      </c>
      <c r="F540" s="15">
        <v>18000</v>
      </c>
    </row>
    <row r="541" spans="1:6">
      <c r="A541" s="19">
        <v>46223</v>
      </c>
      <c r="B541" t="s">
        <v>103</v>
      </c>
      <c r="C541">
        <v>100005010</v>
      </c>
      <c r="D541" t="s">
        <v>70</v>
      </c>
      <c r="E541" t="s">
        <v>22</v>
      </c>
      <c r="F541" s="15">
        <v>18000</v>
      </c>
    </row>
    <row r="542" spans="1:6">
      <c r="A542" s="19">
        <v>46223</v>
      </c>
      <c r="B542" t="s">
        <v>103</v>
      </c>
      <c r="C542">
        <v>100005011</v>
      </c>
      <c r="D542" t="s">
        <v>70</v>
      </c>
      <c r="E542" t="s">
        <v>22</v>
      </c>
      <c r="F542" s="15">
        <v>18000</v>
      </c>
    </row>
    <row r="543" spans="1:6">
      <c r="A543" s="19">
        <v>46223</v>
      </c>
      <c r="B543" t="s">
        <v>103</v>
      </c>
      <c r="C543">
        <v>100005012</v>
      </c>
      <c r="D543" t="s">
        <v>70</v>
      </c>
      <c r="E543" t="s">
        <v>22</v>
      </c>
      <c r="F543" s="15">
        <v>18000</v>
      </c>
    </row>
    <row r="544" spans="1:6">
      <c r="A544" s="19">
        <v>46223</v>
      </c>
      <c r="B544" t="s">
        <v>103</v>
      </c>
      <c r="C544">
        <v>100005013</v>
      </c>
      <c r="D544" t="s">
        <v>70</v>
      </c>
      <c r="E544" t="s">
        <v>22</v>
      </c>
      <c r="F544" s="15">
        <v>9870.967741935483</v>
      </c>
    </row>
    <row r="545" spans="1:6">
      <c r="A545" s="19">
        <v>46223</v>
      </c>
      <c r="B545" t="s">
        <v>103</v>
      </c>
      <c r="C545">
        <v>100005014</v>
      </c>
      <c r="D545" t="s">
        <v>70</v>
      </c>
      <c r="E545" t="s">
        <v>22</v>
      </c>
      <c r="F545" s="15">
        <v>18000</v>
      </c>
    </row>
    <row r="546" spans="1:6">
      <c r="A546" s="19">
        <v>46223</v>
      </c>
      <c r="B546" t="s">
        <v>103</v>
      </c>
      <c r="C546">
        <v>100005007</v>
      </c>
      <c r="D546" t="s">
        <v>67</v>
      </c>
      <c r="E546" t="s">
        <v>22</v>
      </c>
      <c r="F546" s="15">
        <v>6909.6774193548372</v>
      </c>
    </row>
    <row r="547" spans="1:6">
      <c r="A547" s="19">
        <v>46223</v>
      </c>
      <c r="B547" t="s">
        <v>103</v>
      </c>
      <c r="C547">
        <v>100005008</v>
      </c>
      <c r="D547" t="s">
        <v>69</v>
      </c>
      <c r="E547" t="s">
        <v>22</v>
      </c>
      <c r="F547" s="15">
        <v>14400</v>
      </c>
    </row>
    <row r="548" spans="1:6">
      <c r="A548" s="19">
        <v>46223</v>
      </c>
      <c r="B548" t="s">
        <v>103</v>
      </c>
      <c r="C548">
        <v>100005000</v>
      </c>
      <c r="D548" t="s">
        <v>71</v>
      </c>
      <c r="E548" t="s">
        <v>83</v>
      </c>
      <c r="F548" s="15">
        <v>7200</v>
      </c>
    </row>
    <row r="549" spans="1:6">
      <c r="A549" s="19">
        <v>46239</v>
      </c>
      <c r="B549" t="s">
        <v>103</v>
      </c>
      <c r="C549">
        <v>100005001</v>
      </c>
      <c r="D549" t="s">
        <v>65</v>
      </c>
      <c r="E549" t="s">
        <v>21</v>
      </c>
      <c r="F549" s="15">
        <v>12000</v>
      </c>
    </row>
    <row r="550" spans="1:6">
      <c r="A550" s="19">
        <v>46239</v>
      </c>
      <c r="B550" t="s">
        <v>103</v>
      </c>
      <c r="C550">
        <v>100005002</v>
      </c>
      <c r="D550" t="s">
        <v>66</v>
      </c>
      <c r="E550" t="s">
        <v>21</v>
      </c>
      <c r="F550" s="15">
        <v>7200</v>
      </c>
    </row>
    <row r="551" spans="1:6">
      <c r="A551" s="19">
        <v>46239</v>
      </c>
      <c r="B551" t="s">
        <v>103</v>
      </c>
      <c r="C551">
        <v>100005003</v>
      </c>
      <c r="D551" t="s">
        <v>67</v>
      </c>
      <c r="E551" t="s">
        <v>21</v>
      </c>
      <c r="F551" s="15">
        <v>12077.419354838708</v>
      </c>
    </row>
    <row r="552" spans="1:6">
      <c r="A552" s="19">
        <v>46239</v>
      </c>
      <c r="B552" t="s">
        <v>103</v>
      </c>
      <c r="C552">
        <v>100005004</v>
      </c>
      <c r="D552" t="s">
        <v>68</v>
      </c>
      <c r="E552" t="s">
        <v>21</v>
      </c>
      <c r="F552" s="15">
        <v>9600</v>
      </c>
    </row>
    <row r="553" spans="1:6">
      <c r="A553" s="19">
        <v>46239</v>
      </c>
      <c r="B553" t="s">
        <v>103</v>
      </c>
      <c r="C553">
        <v>100005005</v>
      </c>
      <c r="D553" t="s">
        <v>69</v>
      </c>
      <c r="E553" t="s">
        <v>21</v>
      </c>
      <c r="F553" s="15">
        <v>9600</v>
      </c>
    </row>
    <row r="554" spans="1:6">
      <c r="A554" s="19">
        <v>46239</v>
      </c>
      <c r="B554" t="s">
        <v>103</v>
      </c>
      <c r="C554">
        <v>100005006</v>
      </c>
      <c r="D554" t="s">
        <v>65</v>
      </c>
      <c r="E554" t="s">
        <v>22</v>
      </c>
      <c r="F554" s="15">
        <v>20129.032258064519</v>
      </c>
    </row>
    <row r="555" spans="1:6">
      <c r="A555" s="19">
        <v>46239</v>
      </c>
      <c r="B555" t="s">
        <v>103</v>
      </c>
      <c r="C555">
        <v>100005009</v>
      </c>
      <c r="D555" t="s">
        <v>70</v>
      </c>
      <c r="E555" t="s">
        <v>22</v>
      </c>
      <c r="F555" s="15">
        <v>20129.032258064519</v>
      </c>
    </row>
    <row r="556" spans="1:6">
      <c r="A556" s="19">
        <v>46239</v>
      </c>
      <c r="B556" t="s">
        <v>103</v>
      </c>
      <c r="C556">
        <v>100005010</v>
      </c>
      <c r="D556" t="s">
        <v>70</v>
      </c>
      <c r="E556" t="s">
        <v>22</v>
      </c>
      <c r="F556" s="15">
        <v>12000</v>
      </c>
    </row>
    <row r="557" spans="1:6">
      <c r="A557" s="19">
        <v>46239</v>
      </c>
      <c r="B557" t="s">
        <v>103</v>
      </c>
      <c r="C557">
        <v>100005011</v>
      </c>
      <c r="D557" t="s">
        <v>70</v>
      </c>
      <c r="E557" t="s">
        <v>22</v>
      </c>
      <c r="F557" s="15">
        <v>12000</v>
      </c>
    </row>
    <row r="558" spans="1:6">
      <c r="A558" s="19">
        <v>46239</v>
      </c>
      <c r="B558" t="s">
        <v>103</v>
      </c>
      <c r="C558">
        <v>100005012</v>
      </c>
      <c r="D558" t="s">
        <v>70</v>
      </c>
      <c r="E558" t="s">
        <v>22</v>
      </c>
      <c r="F558" s="15">
        <v>20129.032258064519</v>
      </c>
    </row>
    <row r="559" spans="1:6">
      <c r="A559" s="19">
        <v>46239</v>
      </c>
      <c r="B559" t="s">
        <v>103</v>
      </c>
      <c r="C559">
        <v>100005013</v>
      </c>
      <c r="D559" t="s">
        <v>70</v>
      </c>
      <c r="E559" t="s">
        <v>22</v>
      </c>
      <c r="F559" s="15">
        <v>12000</v>
      </c>
    </row>
    <row r="560" spans="1:6">
      <c r="A560" s="19">
        <v>46239</v>
      </c>
      <c r="B560" t="s">
        <v>103</v>
      </c>
      <c r="C560">
        <v>100005014</v>
      </c>
      <c r="D560" t="s">
        <v>70</v>
      </c>
      <c r="E560" t="s">
        <v>22</v>
      </c>
      <c r="F560" s="15">
        <v>12000</v>
      </c>
    </row>
    <row r="561" spans="1:6">
      <c r="A561" s="19">
        <v>46239</v>
      </c>
      <c r="B561" t="s">
        <v>103</v>
      </c>
      <c r="C561">
        <v>100005015</v>
      </c>
      <c r="D561" t="s">
        <v>70</v>
      </c>
      <c r="E561" t="s">
        <v>22</v>
      </c>
      <c r="F561" s="15">
        <v>12000</v>
      </c>
    </row>
    <row r="562" spans="1:6">
      <c r="A562" s="19">
        <v>46239</v>
      </c>
      <c r="B562" t="s">
        <v>103</v>
      </c>
      <c r="C562">
        <v>100005007</v>
      </c>
      <c r="D562" t="s">
        <v>67</v>
      </c>
      <c r="E562" t="s">
        <v>22</v>
      </c>
      <c r="F562" s="15">
        <v>8400</v>
      </c>
    </row>
    <row r="563" spans="1:6">
      <c r="A563" s="19">
        <v>46239</v>
      </c>
      <c r="B563" t="s">
        <v>103</v>
      </c>
      <c r="C563">
        <v>100005008</v>
      </c>
      <c r="D563" t="s">
        <v>69</v>
      </c>
      <c r="E563" t="s">
        <v>22</v>
      </c>
      <c r="F563" s="15">
        <v>16103.225806451614</v>
      </c>
    </row>
    <row r="564" spans="1:6">
      <c r="A564" s="19">
        <v>46239</v>
      </c>
      <c r="B564" t="s">
        <v>103</v>
      </c>
      <c r="C564">
        <v>100005000</v>
      </c>
      <c r="D564" t="s">
        <v>71</v>
      </c>
      <c r="E564" t="s">
        <v>83</v>
      </c>
      <c r="F564" s="15">
        <v>8051.6129032258068</v>
      </c>
    </row>
    <row r="565" spans="1:6">
      <c r="A565" s="19">
        <v>46254</v>
      </c>
      <c r="B565" t="s">
        <v>103</v>
      </c>
      <c r="C565">
        <v>100005001</v>
      </c>
      <c r="D565" t="s">
        <v>65</v>
      </c>
      <c r="E565" t="s">
        <v>21</v>
      </c>
      <c r="F565" s="15">
        <v>18000</v>
      </c>
    </row>
    <row r="566" spans="1:6">
      <c r="A566" s="19">
        <v>46254</v>
      </c>
      <c r="B566" t="s">
        <v>103</v>
      </c>
      <c r="C566">
        <v>100005002</v>
      </c>
      <c r="D566" t="s">
        <v>66</v>
      </c>
      <c r="E566" t="s">
        <v>21</v>
      </c>
      <c r="F566" s="15">
        <v>10800</v>
      </c>
    </row>
    <row r="567" spans="1:6">
      <c r="A567" s="19">
        <v>46254</v>
      </c>
      <c r="B567" t="s">
        <v>103</v>
      </c>
      <c r="C567">
        <v>100005003</v>
      </c>
      <c r="D567" t="s">
        <v>67</v>
      </c>
      <c r="E567" t="s">
        <v>21</v>
      </c>
      <c r="F567" s="15">
        <v>5922.5806451612898</v>
      </c>
    </row>
    <row r="568" spans="1:6">
      <c r="A568" s="19">
        <v>46254</v>
      </c>
      <c r="B568" t="s">
        <v>103</v>
      </c>
      <c r="C568">
        <v>100005004</v>
      </c>
      <c r="D568" t="s">
        <v>68</v>
      </c>
      <c r="E568" t="s">
        <v>21</v>
      </c>
      <c r="F568" s="15">
        <v>14400</v>
      </c>
    </row>
    <row r="569" spans="1:6">
      <c r="A569" s="19">
        <v>46254</v>
      </c>
      <c r="B569" t="s">
        <v>103</v>
      </c>
      <c r="C569">
        <v>100005005</v>
      </c>
      <c r="D569" t="s">
        <v>69</v>
      </c>
      <c r="E569" t="s">
        <v>21</v>
      </c>
      <c r="F569" s="15">
        <v>14400</v>
      </c>
    </row>
    <row r="570" spans="1:6">
      <c r="A570" s="19">
        <v>46254</v>
      </c>
      <c r="B570" t="s">
        <v>103</v>
      </c>
      <c r="C570">
        <v>100005006</v>
      </c>
      <c r="D570" t="s">
        <v>65</v>
      </c>
      <c r="E570" t="s">
        <v>22</v>
      </c>
      <c r="F570" s="15">
        <v>9870.967741935483</v>
      </c>
    </row>
    <row r="571" spans="1:6">
      <c r="A571" s="19">
        <v>46254</v>
      </c>
      <c r="B571" t="s">
        <v>103</v>
      </c>
      <c r="C571">
        <v>100005009</v>
      </c>
      <c r="D571" t="s">
        <v>70</v>
      </c>
      <c r="E571" t="s">
        <v>22</v>
      </c>
      <c r="F571" s="15">
        <v>9870.967741935483</v>
      </c>
    </row>
    <row r="572" spans="1:6">
      <c r="A572" s="19">
        <v>46254</v>
      </c>
      <c r="B572" t="s">
        <v>103</v>
      </c>
      <c r="C572">
        <v>100005010</v>
      </c>
      <c r="D572" t="s">
        <v>70</v>
      </c>
      <c r="E572" t="s">
        <v>22</v>
      </c>
      <c r="F572" s="15">
        <v>18000</v>
      </c>
    </row>
    <row r="573" spans="1:6">
      <c r="A573" s="19">
        <v>46254</v>
      </c>
      <c r="B573" t="s">
        <v>103</v>
      </c>
      <c r="C573">
        <v>100005011</v>
      </c>
      <c r="D573" t="s">
        <v>70</v>
      </c>
      <c r="E573" t="s">
        <v>22</v>
      </c>
      <c r="F573" s="15">
        <v>18000</v>
      </c>
    </row>
    <row r="574" spans="1:6">
      <c r="A574" s="19">
        <v>46254</v>
      </c>
      <c r="B574" t="s">
        <v>103</v>
      </c>
      <c r="C574">
        <v>100005012</v>
      </c>
      <c r="D574" t="s">
        <v>70</v>
      </c>
      <c r="E574" t="s">
        <v>22</v>
      </c>
      <c r="F574" s="15">
        <v>9870.967741935483</v>
      </c>
    </row>
    <row r="575" spans="1:6">
      <c r="A575" s="19">
        <v>46254</v>
      </c>
      <c r="B575" t="s">
        <v>103</v>
      </c>
      <c r="C575">
        <v>100005013</v>
      </c>
      <c r="D575" t="s">
        <v>70</v>
      </c>
      <c r="E575" t="s">
        <v>22</v>
      </c>
      <c r="F575" s="15">
        <v>18000</v>
      </c>
    </row>
    <row r="576" spans="1:6">
      <c r="A576" s="19">
        <v>46254</v>
      </c>
      <c r="B576" t="s">
        <v>103</v>
      </c>
      <c r="C576">
        <v>100005014</v>
      </c>
      <c r="D576" t="s">
        <v>70</v>
      </c>
      <c r="E576" t="s">
        <v>22</v>
      </c>
      <c r="F576" s="15">
        <v>18000</v>
      </c>
    </row>
    <row r="577" spans="1:6">
      <c r="A577" s="19">
        <v>46254</v>
      </c>
      <c r="B577" t="s">
        <v>103</v>
      </c>
      <c r="C577">
        <v>100005015</v>
      </c>
      <c r="D577" t="s">
        <v>70</v>
      </c>
      <c r="E577" t="s">
        <v>22</v>
      </c>
      <c r="F577" s="15">
        <v>18000</v>
      </c>
    </row>
    <row r="578" spans="1:6">
      <c r="A578" s="19">
        <v>46254</v>
      </c>
      <c r="B578" t="s">
        <v>103</v>
      </c>
      <c r="C578">
        <v>100005007</v>
      </c>
      <c r="D578" t="s">
        <v>67</v>
      </c>
      <c r="E578" t="s">
        <v>22</v>
      </c>
      <c r="F578" s="15">
        <v>12600</v>
      </c>
    </row>
    <row r="579" spans="1:6">
      <c r="A579" s="19">
        <v>46254</v>
      </c>
      <c r="B579" t="s">
        <v>103</v>
      </c>
      <c r="C579">
        <v>100005008</v>
      </c>
      <c r="D579" t="s">
        <v>69</v>
      </c>
      <c r="E579" t="s">
        <v>22</v>
      </c>
      <c r="F579" s="15">
        <v>7896.7741935483873</v>
      </c>
    </row>
    <row r="580" spans="1:6">
      <c r="A580" s="19">
        <v>46254</v>
      </c>
      <c r="B580" t="s">
        <v>103</v>
      </c>
      <c r="C580">
        <v>100005000</v>
      </c>
      <c r="D580" t="s">
        <v>71</v>
      </c>
      <c r="E580" t="s">
        <v>83</v>
      </c>
      <c r="F580" s="15">
        <v>3948.3870967741937</v>
      </c>
    </row>
    <row r="581" spans="1:6">
      <c r="A581" s="19">
        <v>46270</v>
      </c>
      <c r="B581" t="s">
        <v>103</v>
      </c>
      <c r="C581">
        <v>100005001</v>
      </c>
      <c r="D581" t="s">
        <v>65</v>
      </c>
      <c r="E581" t="s">
        <v>21</v>
      </c>
      <c r="F581" s="15">
        <v>20400</v>
      </c>
    </row>
    <row r="582" spans="1:6">
      <c r="A582" s="19">
        <v>46270</v>
      </c>
      <c r="B582" t="s">
        <v>103</v>
      </c>
      <c r="C582">
        <v>100005002</v>
      </c>
      <c r="D582" t="s">
        <v>66</v>
      </c>
      <c r="E582" t="s">
        <v>21</v>
      </c>
      <c r="F582" s="15">
        <v>7200</v>
      </c>
    </row>
    <row r="583" spans="1:6">
      <c r="A583" s="19">
        <v>46270</v>
      </c>
      <c r="B583" t="s">
        <v>103</v>
      </c>
      <c r="C583">
        <v>100005003</v>
      </c>
      <c r="D583" t="s">
        <v>67</v>
      </c>
      <c r="E583" t="s">
        <v>21</v>
      </c>
      <c r="F583" s="15">
        <v>7200</v>
      </c>
    </row>
    <row r="584" spans="1:6">
      <c r="A584" s="19">
        <v>46270</v>
      </c>
      <c r="B584" t="s">
        <v>103</v>
      </c>
      <c r="C584">
        <v>100005004</v>
      </c>
      <c r="D584" t="s">
        <v>68</v>
      </c>
      <c r="E584" t="s">
        <v>21</v>
      </c>
      <c r="F584" s="15">
        <v>9600</v>
      </c>
    </row>
    <row r="585" spans="1:6">
      <c r="A585" s="19">
        <v>46270</v>
      </c>
      <c r="B585" t="s">
        <v>103</v>
      </c>
      <c r="C585">
        <v>100005005</v>
      </c>
      <c r="D585" t="s">
        <v>69</v>
      </c>
      <c r="E585" t="s">
        <v>21</v>
      </c>
      <c r="F585" s="15">
        <v>16320</v>
      </c>
    </row>
    <row r="586" spans="1:6">
      <c r="A586" s="19">
        <v>46270</v>
      </c>
      <c r="B586" t="s">
        <v>103</v>
      </c>
      <c r="C586">
        <v>100005006</v>
      </c>
      <c r="D586" t="s">
        <v>65</v>
      </c>
      <c r="E586" t="s">
        <v>22</v>
      </c>
      <c r="F586" s="15">
        <v>12000</v>
      </c>
    </row>
    <row r="587" spans="1:6">
      <c r="A587" s="19">
        <v>46270</v>
      </c>
      <c r="B587" t="s">
        <v>103</v>
      </c>
      <c r="C587">
        <v>100005009</v>
      </c>
      <c r="D587" t="s">
        <v>70</v>
      </c>
      <c r="E587" t="s">
        <v>22</v>
      </c>
      <c r="F587" s="15">
        <v>12000</v>
      </c>
    </row>
    <row r="588" spans="1:6">
      <c r="A588" s="19">
        <v>46270</v>
      </c>
      <c r="B588" t="s">
        <v>103</v>
      </c>
      <c r="C588">
        <v>100005010</v>
      </c>
      <c r="D588" t="s">
        <v>70</v>
      </c>
      <c r="E588" t="s">
        <v>22</v>
      </c>
      <c r="F588" s="15">
        <v>12000</v>
      </c>
    </row>
    <row r="589" spans="1:6">
      <c r="A589" s="19">
        <v>46270</v>
      </c>
      <c r="B589" t="s">
        <v>103</v>
      </c>
      <c r="C589">
        <v>100005011</v>
      </c>
      <c r="D589" t="s">
        <v>70</v>
      </c>
      <c r="E589" t="s">
        <v>22</v>
      </c>
      <c r="F589" s="15">
        <v>12000</v>
      </c>
    </row>
    <row r="590" spans="1:6">
      <c r="A590" s="19">
        <v>46270</v>
      </c>
      <c r="B590" t="s">
        <v>103</v>
      </c>
      <c r="C590">
        <v>100005012</v>
      </c>
      <c r="D590" t="s">
        <v>70</v>
      </c>
      <c r="E590" t="s">
        <v>22</v>
      </c>
      <c r="F590" s="15">
        <v>12000</v>
      </c>
    </row>
    <row r="591" spans="1:6">
      <c r="A591" s="19">
        <v>46270</v>
      </c>
      <c r="B591" t="s">
        <v>103</v>
      </c>
      <c r="C591">
        <v>100005013</v>
      </c>
      <c r="D591" t="s">
        <v>70</v>
      </c>
      <c r="E591" t="s">
        <v>22</v>
      </c>
      <c r="F591" s="15">
        <v>12000</v>
      </c>
    </row>
    <row r="592" spans="1:6">
      <c r="A592" s="19">
        <v>46270</v>
      </c>
      <c r="B592" t="s">
        <v>103</v>
      </c>
      <c r="C592">
        <v>100005014</v>
      </c>
      <c r="D592" t="s">
        <v>70</v>
      </c>
      <c r="E592" t="s">
        <v>22</v>
      </c>
      <c r="F592" s="15">
        <v>12000</v>
      </c>
    </row>
    <row r="593" spans="1:6">
      <c r="A593" s="19">
        <v>46270</v>
      </c>
      <c r="B593" t="s">
        <v>103</v>
      </c>
      <c r="C593">
        <v>100005015</v>
      </c>
      <c r="D593" t="s">
        <v>70</v>
      </c>
      <c r="E593" t="s">
        <v>22</v>
      </c>
      <c r="F593" s="15">
        <v>20400</v>
      </c>
    </row>
    <row r="594" spans="1:6">
      <c r="A594" s="19">
        <v>46270</v>
      </c>
      <c r="B594" t="s">
        <v>103</v>
      </c>
      <c r="C594">
        <v>100005016</v>
      </c>
      <c r="D594" t="s">
        <v>70</v>
      </c>
      <c r="E594" t="s">
        <v>22</v>
      </c>
      <c r="F594" s="15">
        <v>12000</v>
      </c>
    </row>
    <row r="595" spans="1:6">
      <c r="A595" s="19">
        <v>46270</v>
      </c>
      <c r="B595" t="s">
        <v>103</v>
      </c>
      <c r="C595">
        <v>100005007</v>
      </c>
      <c r="D595" t="s">
        <v>67</v>
      </c>
      <c r="E595" t="s">
        <v>22</v>
      </c>
      <c r="F595" s="15">
        <v>8400</v>
      </c>
    </row>
    <row r="596" spans="1:6">
      <c r="A596" s="19">
        <v>46270</v>
      </c>
      <c r="B596" t="s">
        <v>103</v>
      </c>
      <c r="C596">
        <v>100005008</v>
      </c>
      <c r="D596" t="s">
        <v>69</v>
      </c>
      <c r="E596" t="s">
        <v>22</v>
      </c>
      <c r="F596" s="15">
        <v>9600</v>
      </c>
    </row>
    <row r="597" spans="1:6">
      <c r="A597" s="19">
        <v>46270</v>
      </c>
      <c r="B597" t="s">
        <v>103</v>
      </c>
      <c r="C597">
        <v>100005000</v>
      </c>
      <c r="D597" t="s">
        <v>71</v>
      </c>
      <c r="E597" t="s">
        <v>83</v>
      </c>
      <c r="F597" s="15">
        <v>4800</v>
      </c>
    </row>
    <row r="598" spans="1:6">
      <c r="A598" s="19">
        <v>46285</v>
      </c>
      <c r="B598" t="s">
        <v>103</v>
      </c>
      <c r="C598">
        <v>100005001</v>
      </c>
      <c r="D598" t="s">
        <v>65</v>
      </c>
      <c r="E598" t="s">
        <v>21</v>
      </c>
      <c r="F598" s="15">
        <v>9600</v>
      </c>
    </row>
    <row r="599" spans="1:6">
      <c r="A599" s="19">
        <v>46285</v>
      </c>
      <c r="B599" t="s">
        <v>103</v>
      </c>
      <c r="C599">
        <v>100005002</v>
      </c>
      <c r="D599" t="s">
        <v>66</v>
      </c>
      <c r="E599" t="s">
        <v>21</v>
      </c>
      <c r="F599" s="15">
        <v>10800</v>
      </c>
    </row>
    <row r="600" spans="1:6">
      <c r="A600" s="19">
        <v>46285</v>
      </c>
      <c r="B600" t="s">
        <v>103</v>
      </c>
      <c r="C600">
        <v>100005003</v>
      </c>
      <c r="D600" t="s">
        <v>67</v>
      </c>
      <c r="E600" t="s">
        <v>21</v>
      </c>
      <c r="F600" s="15">
        <v>10800</v>
      </c>
    </row>
    <row r="601" spans="1:6">
      <c r="A601" s="19">
        <v>46285</v>
      </c>
      <c r="B601" t="s">
        <v>103</v>
      </c>
      <c r="C601">
        <v>100005004</v>
      </c>
      <c r="D601" t="s">
        <v>68</v>
      </c>
      <c r="E601" t="s">
        <v>21</v>
      </c>
      <c r="F601" s="15">
        <v>14400</v>
      </c>
    </row>
    <row r="602" spans="1:6">
      <c r="A602" s="19">
        <v>46285</v>
      </c>
      <c r="B602" t="s">
        <v>103</v>
      </c>
      <c r="C602">
        <v>100005005</v>
      </c>
      <c r="D602" t="s">
        <v>69</v>
      </c>
      <c r="E602" t="s">
        <v>21</v>
      </c>
      <c r="F602" s="15">
        <v>7679.9999999999982</v>
      </c>
    </row>
    <row r="603" spans="1:6">
      <c r="A603" s="19">
        <v>46285</v>
      </c>
      <c r="B603" t="s">
        <v>103</v>
      </c>
      <c r="C603">
        <v>100005006</v>
      </c>
      <c r="D603" t="s">
        <v>65</v>
      </c>
      <c r="E603" t="s">
        <v>22</v>
      </c>
      <c r="F603" s="15">
        <v>18000</v>
      </c>
    </row>
    <row r="604" spans="1:6">
      <c r="A604" s="19">
        <v>46285</v>
      </c>
      <c r="B604" t="s">
        <v>103</v>
      </c>
      <c r="C604">
        <v>100005009</v>
      </c>
      <c r="D604" t="s">
        <v>70</v>
      </c>
      <c r="E604" t="s">
        <v>22</v>
      </c>
      <c r="F604" s="15">
        <v>18000</v>
      </c>
    </row>
    <row r="605" spans="1:6">
      <c r="A605" s="19">
        <v>46285</v>
      </c>
      <c r="B605" t="s">
        <v>103</v>
      </c>
      <c r="C605">
        <v>100005010</v>
      </c>
      <c r="D605" t="s">
        <v>70</v>
      </c>
      <c r="E605" t="s">
        <v>22</v>
      </c>
      <c r="F605" s="15">
        <v>18000</v>
      </c>
    </row>
    <row r="606" spans="1:6">
      <c r="A606" s="19">
        <v>46285</v>
      </c>
      <c r="B606" t="s">
        <v>103</v>
      </c>
      <c r="C606">
        <v>100005011</v>
      </c>
      <c r="D606" t="s">
        <v>70</v>
      </c>
      <c r="E606" t="s">
        <v>22</v>
      </c>
      <c r="F606" s="15">
        <v>18000</v>
      </c>
    </row>
    <row r="607" spans="1:6">
      <c r="A607" s="19">
        <v>46285</v>
      </c>
      <c r="B607" t="s">
        <v>103</v>
      </c>
      <c r="C607">
        <v>100005012</v>
      </c>
      <c r="D607" t="s">
        <v>70</v>
      </c>
      <c r="E607" t="s">
        <v>22</v>
      </c>
      <c r="F607" s="15">
        <v>18000</v>
      </c>
    </row>
    <row r="608" spans="1:6">
      <c r="A608" s="19">
        <v>46285</v>
      </c>
      <c r="B608" t="s">
        <v>103</v>
      </c>
      <c r="C608">
        <v>100005013</v>
      </c>
      <c r="D608" t="s">
        <v>70</v>
      </c>
      <c r="E608" t="s">
        <v>22</v>
      </c>
      <c r="F608" s="15">
        <v>18000</v>
      </c>
    </row>
    <row r="609" spans="1:6">
      <c r="A609" s="19">
        <v>46285</v>
      </c>
      <c r="B609" t="s">
        <v>103</v>
      </c>
      <c r="C609">
        <v>100005014</v>
      </c>
      <c r="D609" t="s">
        <v>70</v>
      </c>
      <c r="E609" t="s">
        <v>22</v>
      </c>
      <c r="F609" s="15">
        <v>18000</v>
      </c>
    </row>
    <row r="610" spans="1:6">
      <c r="A610" s="19">
        <v>46285</v>
      </c>
      <c r="B610" t="s">
        <v>103</v>
      </c>
      <c r="C610">
        <v>100005015</v>
      </c>
      <c r="D610" t="s">
        <v>70</v>
      </c>
      <c r="E610" t="s">
        <v>22</v>
      </c>
      <c r="F610" s="15">
        <v>9600</v>
      </c>
    </row>
    <row r="611" spans="1:6">
      <c r="A611" s="19">
        <v>46285</v>
      </c>
      <c r="B611" t="s">
        <v>103</v>
      </c>
      <c r="C611">
        <v>100005016</v>
      </c>
      <c r="D611" t="s">
        <v>70</v>
      </c>
      <c r="E611" t="s">
        <v>22</v>
      </c>
      <c r="F611" s="15">
        <v>18000</v>
      </c>
    </row>
    <row r="612" spans="1:6">
      <c r="A612" s="19">
        <v>46285</v>
      </c>
      <c r="B612" t="s">
        <v>103</v>
      </c>
      <c r="C612">
        <v>100005007</v>
      </c>
      <c r="D612" t="s">
        <v>67</v>
      </c>
      <c r="E612" t="s">
        <v>22</v>
      </c>
      <c r="F612" s="15">
        <v>12600</v>
      </c>
    </row>
    <row r="613" spans="1:6">
      <c r="A613" s="19">
        <v>46285</v>
      </c>
      <c r="B613" t="s">
        <v>103</v>
      </c>
      <c r="C613">
        <v>100005008</v>
      </c>
      <c r="D613" t="s">
        <v>69</v>
      </c>
      <c r="E613" t="s">
        <v>22</v>
      </c>
      <c r="F613" s="15">
        <v>14400</v>
      </c>
    </row>
    <row r="614" spans="1:6">
      <c r="A614" s="19">
        <v>46285</v>
      </c>
      <c r="B614" t="s">
        <v>103</v>
      </c>
      <c r="C614">
        <v>100005000</v>
      </c>
      <c r="D614" t="s">
        <v>71</v>
      </c>
      <c r="E614" t="s">
        <v>83</v>
      </c>
      <c r="F614" s="15">
        <v>7200</v>
      </c>
    </row>
    <row r="615" spans="1:6">
      <c r="A615" s="19">
        <v>46300</v>
      </c>
      <c r="B615" t="s">
        <v>103</v>
      </c>
      <c r="C615">
        <v>100005001</v>
      </c>
      <c r="D615" t="s">
        <v>65</v>
      </c>
      <c r="E615" t="s">
        <v>21</v>
      </c>
      <c r="F615" s="15">
        <v>12000</v>
      </c>
    </row>
    <row r="616" spans="1:6">
      <c r="A616" s="19">
        <v>46300</v>
      </c>
      <c r="B616" t="s">
        <v>103</v>
      </c>
      <c r="C616">
        <v>100005002</v>
      </c>
      <c r="D616" t="s">
        <v>66</v>
      </c>
      <c r="E616" t="s">
        <v>21</v>
      </c>
      <c r="F616" s="15">
        <v>7200</v>
      </c>
    </row>
    <row r="617" spans="1:6">
      <c r="A617" s="19">
        <v>46300</v>
      </c>
      <c r="B617" t="s">
        <v>103</v>
      </c>
      <c r="C617">
        <v>100005003</v>
      </c>
      <c r="D617" t="s">
        <v>67</v>
      </c>
      <c r="E617" t="s">
        <v>21</v>
      </c>
      <c r="F617" s="15">
        <v>7200</v>
      </c>
    </row>
    <row r="618" spans="1:6">
      <c r="A618" s="19">
        <v>46300</v>
      </c>
      <c r="B618" t="s">
        <v>103</v>
      </c>
      <c r="C618">
        <v>100005004</v>
      </c>
      <c r="D618" t="s">
        <v>68</v>
      </c>
      <c r="E618" t="s">
        <v>21</v>
      </c>
      <c r="F618" s="15">
        <v>9600</v>
      </c>
    </row>
    <row r="619" spans="1:6">
      <c r="A619" s="19">
        <v>46300</v>
      </c>
      <c r="B619" t="s">
        <v>103</v>
      </c>
      <c r="C619">
        <v>100005005</v>
      </c>
      <c r="D619" t="s">
        <v>69</v>
      </c>
      <c r="E619" t="s">
        <v>21</v>
      </c>
      <c r="F619" s="15">
        <v>9600</v>
      </c>
    </row>
    <row r="620" spans="1:6">
      <c r="A620" s="19">
        <v>46300</v>
      </c>
      <c r="B620" t="s">
        <v>103</v>
      </c>
      <c r="C620">
        <v>100005006</v>
      </c>
      <c r="D620" t="s">
        <v>65</v>
      </c>
      <c r="E620" t="s">
        <v>22</v>
      </c>
      <c r="F620" s="15">
        <v>20129.032258064519</v>
      </c>
    </row>
    <row r="621" spans="1:6">
      <c r="A621" s="19">
        <v>46300</v>
      </c>
      <c r="B621" t="s">
        <v>103</v>
      </c>
      <c r="C621">
        <v>100005009</v>
      </c>
      <c r="D621" t="s">
        <v>70</v>
      </c>
      <c r="E621" t="s">
        <v>22</v>
      </c>
      <c r="F621" s="15">
        <v>12000</v>
      </c>
    </row>
    <row r="622" spans="1:6">
      <c r="A622" s="19">
        <v>46300</v>
      </c>
      <c r="B622" t="s">
        <v>103</v>
      </c>
      <c r="C622">
        <v>100005010</v>
      </c>
      <c r="D622" t="s">
        <v>70</v>
      </c>
      <c r="E622" t="s">
        <v>22</v>
      </c>
      <c r="F622" s="15">
        <v>20129.032258064519</v>
      </c>
    </row>
    <row r="623" spans="1:6">
      <c r="A623" s="19">
        <v>46300</v>
      </c>
      <c r="B623" t="s">
        <v>103</v>
      </c>
      <c r="C623">
        <v>100005011</v>
      </c>
      <c r="D623" t="s">
        <v>70</v>
      </c>
      <c r="E623" t="s">
        <v>22</v>
      </c>
      <c r="F623" s="15">
        <v>12000</v>
      </c>
    </row>
    <row r="624" spans="1:6">
      <c r="A624" s="19">
        <v>46300</v>
      </c>
      <c r="B624" t="s">
        <v>103</v>
      </c>
      <c r="C624">
        <v>100005012</v>
      </c>
      <c r="D624" t="s">
        <v>70</v>
      </c>
      <c r="E624" t="s">
        <v>22</v>
      </c>
      <c r="F624" s="15">
        <v>12000</v>
      </c>
    </row>
    <row r="625" spans="1:6">
      <c r="A625" s="19">
        <v>46300</v>
      </c>
      <c r="B625" t="s">
        <v>103</v>
      </c>
      <c r="C625">
        <v>100005013</v>
      </c>
      <c r="D625" t="s">
        <v>70</v>
      </c>
      <c r="E625" t="s">
        <v>22</v>
      </c>
      <c r="F625" s="15">
        <v>20129.032258064519</v>
      </c>
    </row>
    <row r="626" spans="1:6">
      <c r="A626" s="19">
        <v>46300</v>
      </c>
      <c r="B626" t="s">
        <v>103</v>
      </c>
      <c r="C626">
        <v>100005014</v>
      </c>
      <c r="D626" t="s">
        <v>70</v>
      </c>
      <c r="E626" t="s">
        <v>22</v>
      </c>
      <c r="F626" s="15">
        <v>20129.032258064519</v>
      </c>
    </row>
    <row r="627" spans="1:6">
      <c r="A627" s="19">
        <v>46300</v>
      </c>
      <c r="B627" t="s">
        <v>103</v>
      </c>
      <c r="C627">
        <v>100005015</v>
      </c>
      <c r="D627" t="s">
        <v>70</v>
      </c>
      <c r="E627" t="s">
        <v>22</v>
      </c>
      <c r="F627" s="15">
        <v>12000</v>
      </c>
    </row>
    <row r="628" spans="1:6">
      <c r="A628" s="19">
        <v>46300</v>
      </c>
      <c r="B628" t="s">
        <v>103</v>
      </c>
      <c r="C628">
        <v>100005016</v>
      </c>
      <c r="D628" t="s">
        <v>70</v>
      </c>
      <c r="E628" t="s">
        <v>22</v>
      </c>
      <c r="F628" s="15">
        <v>12000</v>
      </c>
    </row>
    <row r="629" spans="1:6">
      <c r="A629" s="19">
        <v>46300</v>
      </c>
      <c r="B629" t="s">
        <v>103</v>
      </c>
      <c r="C629">
        <v>100005017</v>
      </c>
      <c r="D629" t="s">
        <v>70</v>
      </c>
      <c r="E629" t="s">
        <v>22</v>
      </c>
      <c r="F629" s="15">
        <v>12000</v>
      </c>
    </row>
    <row r="630" spans="1:6">
      <c r="A630" s="19">
        <v>46300</v>
      </c>
      <c r="B630" t="s">
        <v>103</v>
      </c>
      <c r="C630">
        <v>100005007</v>
      </c>
      <c r="D630" t="s">
        <v>67</v>
      </c>
      <c r="E630" t="s">
        <v>22</v>
      </c>
      <c r="F630" s="15">
        <v>8400</v>
      </c>
    </row>
    <row r="631" spans="1:6">
      <c r="A631" s="19">
        <v>46300</v>
      </c>
      <c r="B631" t="s">
        <v>103</v>
      </c>
      <c r="C631">
        <v>100005008</v>
      </c>
      <c r="D631" t="s">
        <v>69</v>
      </c>
      <c r="E631" t="s">
        <v>22</v>
      </c>
      <c r="F631" s="15">
        <v>9600</v>
      </c>
    </row>
    <row r="632" spans="1:6">
      <c r="A632" s="19">
        <v>46300</v>
      </c>
      <c r="B632" t="s">
        <v>103</v>
      </c>
      <c r="C632">
        <v>100005000</v>
      </c>
      <c r="D632" t="s">
        <v>71</v>
      </c>
      <c r="E632" t="s">
        <v>83</v>
      </c>
      <c r="F632" s="15">
        <v>4800</v>
      </c>
    </row>
    <row r="633" spans="1:6">
      <c r="A633" s="19">
        <v>46315</v>
      </c>
      <c r="B633" t="s">
        <v>103</v>
      </c>
      <c r="C633">
        <v>100005001</v>
      </c>
      <c r="D633" t="s">
        <v>65</v>
      </c>
      <c r="E633" t="s">
        <v>21</v>
      </c>
      <c r="F633" s="15">
        <v>18000</v>
      </c>
    </row>
    <row r="634" spans="1:6">
      <c r="A634" s="19">
        <v>46315</v>
      </c>
      <c r="B634" t="s">
        <v>103</v>
      </c>
      <c r="C634">
        <v>100005002</v>
      </c>
      <c r="D634" t="s">
        <v>66</v>
      </c>
      <c r="E634" t="s">
        <v>21</v>
      </c>
      <c r="F634" s="15">
        <v>10800</v>
      </c>
    </row>
    <row r="635" spans="1:6">
      <c r="A635" s="19">
        <v>46315</v>
      </c>
      <c r="B635" t="s">
        <v>103</v>
      </c>
      <c r="C635">
        <v>100005003</v>
      </c>
      <c r="D635" t="s">
        <v>67</v>
      </c>
      <c r="E635" t="s">
        <v>21</v>
      </c>
      <c r="F635" s="15">
        <v>10800</v>
      </c>
    </row>
    <row r="636" spans="1:6">
      <c r="A636" s="19">
        <v>46315</v>
      </c>
      <c r="B636" t="s">
        <v>103</v>
      </c>
      <c r="C636">
        <v>100005004</v>
      </c>
      <c r="D636" t="s">
        <v>68</v>
      </c>
      <c r="E636" t="s">
        <v>21</v>
      </c>
      <c r="F636" s="15">
        <v>14400</v>
      </c>
    </row>
    <row r="637" spans="1:6">
      <c r="A637" s="19">
        <v>46315</v>
      </c>
      <c r="B637" t="s">
        <v>103</v>
      </c>
      <c r="C637">
        <v>100005005</v>
      </c>
      <c r="D637" t="s">
        <v>69</v>
      </c>
      <c r="E637" t="s">
        <v>21</v>
      </c>
      <c r="F637" s="15">
        <v>14400</v>
      </c>
    </row>
    <row r="638" spans="1:6">
      <c r="A638" s="19">
        <v>46315</v>
      </c>
      <c r="B638" t="s">
        <v>103</v>
      </c>
      <c r="C638">
        <v>100005006</v>
      </c>
      <c r="D638" t="s">
        <v>65</v>
      </c>
      <c r="E638" t="s">
        <v>22</v>
      </c>
      <c r="F638" s="15">
        <v>9870.967741935483</v>
      </c>
    </row>
    <row r="639" spans="1:6">
      <c r="A639" s="19">
        <v>46315</v>
      </c>
      <c r="B639" t="s">
        <v>103</v>
      </c>
      <c r="C639">
        <v>100005009</v>
      </c>
      <c r="D639" t="s">
        <v>70</v>
      </c>
      <c r="E639" t="s">
        <v>22</v>
      </c>
      <c r="F639" s="15">
        <v>18000</v>
      </c>
    </row>
    <row r="640" spans="1:6">
      <c r="A640" s="19">
        <v>46315</v>
      </c>
      <c r="B640" t="s">
        <v>103</v>
      </c>
      <c r="C640">
        <v>100005010</v>
      </c>
      <c r="D640" t="s">
        <v>70</v>
      </c>
      <c r="E640" t="s">
        <v>22</v>
      </c>
      <c r="F640" s="15">
        <v>9870.967741935483</v>
      </c>
    </row>
    <row r="641" spans="1:6">
      <c r="A641" s="19">
        <v>46315</v>
      </c>
      <c r="B641" t="s">
        <v>103</v>
      </c>
      <c r="C641">
        <v>100005011</v>
      </c>
      <c r="D641" t="s">
        <v>70</v>
      </c>
      <c r="E641" t="s">
        <v>22</v>
      </c>
      <c r="F641" s="15">
        <v>18000</v>
      </c>
    </row>
    <row r="642" spans="1:6">
      <c r="A642" s="19">
        <v>46315</v>
      </c>
      <c r="B642" t="s">
        <v>103</v>
      </c>
      <c r="C642">
        <v>100005012</v>
      </c>
      <c r="D642" t="s">
        <v>70</v>
      </c>
      <c r="E642" t="s">
        <v>22</v>
      </c>
      <c r="F642" s="15">
        <v>18000</v>
      </c>
    </row>
    <row r="643" spans="1:6">
      <c r="A643" s="19">
        <v>46315</v>
      </c>
      <c r="B643" t="s">
        <v>103</v>
      </c>
      <c r="C643">
        <v>100005013</v>
      </c>
      <c r="D643" t="s">
        <v>70</v>
      </c>
      <c r="E643" t="s">
        <v>22</v>
      </c>
      <c r="F643" s="15">
        <v>9870.967741935483</v>
      </c>
    </row>
    <row r="644" spans="1:6">
      <c r="A644" s="19">
        <v>46315</v>
      </c>
      <c r="B644" t="s">
        <v>103</v>
      </c>
      <c r="C644">
        <v>100005014</v>
      </c>
      <c r="D644" t="s">
        <v>70</v>
      </c>
      <c r="E644" t="s">
        <v>22</v>
      </c>
      <c r="F644" s="15">
        <v>9870.967741935483</v>
      </c>
    </row>
    <row r="645" spans="1:6">
      <c r="A645" s="19">
        <v>46315</v>
      </c>
      <c r="B645" t="s">
        <v>103</v>
      </c>
      <c r="C645">
        <v>100005015</v>
      </c>
      <c r="D645" t="s">
        <v>70</v>
      </c>
      <c r="E645" t="s">
        <v>22</v>
      </c>
      <c r="F645" s="15">
        <v>18000</v>
      </c>
    </row>
    <row r="646" spans="1:6">
      <c r="A646" s="19">
        <v>46315</v>
      </c>
      <c r="B646" t="s">
        <v>103</v>
      </c>
      <c r="C646">
        <v>100005016</v>
      </c>
      <c r="D646" t="s">
        <v>70</v>
      </c>
      <c r="E646" t="s">
        <v>22</v>
      </c>
      <c r="F646" s="15">
        <v>18000</v>
      </c>
    </row>
    <row r="647" spans="1:6">
      <c r="A647" s="19">
        <v>46315</v>
      </c>
      <c r="B647" t="s">
        <v>103</v>
      </c>
      <c r="C647">
        <v>100005017</v>
      </c>
      <c r="D647" t="s">
        <v>70</v>
      </c>
      <c r="E647" t="s">
        <v>22</v>
      </c>
      <c r="F647" s="15">
        <v>18000</v>
      </c>
    </row>
    <row r="648" spans="1:6">
      <c r="A648" s="19">
        <v>46315</v>
      </c>
      <c r="B648" t="s">
        <v>103</v>
      </c>
      <c r="C648">
        <v>100005007</v>
      </c>
      <c r="D648" t="s">
        <v>67</v>
      </c>
      <c r="E648" t="s">
        <v>22</v>
      </c>
      <c r="F648" s="15">
        <v>12600</v>
      </c>
    </row>
    <row r="649" spans="1:6">
      <c r="A649" s="19">
        <v>46315</v>
      </c>
      <c r="B649" t="s">
        <v>103</v>
      </c>
      <c r="C649">
        <v>100005008</v>
      </c>
      <c r="D649" t="s">
        <v>69</v>
      </c>
      <c r="E649" t="s">
        <v>22</v>
      </c>
      <c r="F649" s="15">
        <v>14400</v>
      </c>
    </row>
    <row r="650" spans="1:6">
      <c r="A650" s="19">
        <v>46315</v>
      </c>
      <c r="B650" t="s">
        <v>103</v>
      </c>
      <c r="C650">
        <v>100005000</v>
      </c>
      <c r="D650" t="s">
        <v>71</v>
      </c>
      <c r="E650" t="s">
        <v>83</v>
      </c>
      <c r="F650" s="15">
        <v>7200</v>
      </c>
    </row>
    <row r="651" spans="1:6">
      <c r="A651" s="19">
        <v>46331</v>
      </c>
      <c r="B651" t="s">
        <v>103</v>
      </c>
      <c r="C651">
        <v>100005001</v>
      </c>
      <c r="D651" t="s">
        <v>65</v>
      </c>
      <c r="E651" t="s">
        <v>21</v>
      </c>
      <c r="F651" s="15">
        <v>12000</v>
      </c>
    </row>
    <row r="652" spans="1:6">
      <c r="A652" s="19">
        <v>46331</v>
      </c>
      <c r="B652" t="s">
        <v>103</v>
      </c>
      <c r="C652">
        <v>100005002</v>
      </c>
      <c r="D652" t="s">
        <v>66</v>
      </c>
      <c r="E652" t="s">
        <v>21</v>
      </c>
      <c r="F652" s="15">
        <v>7200</v>
      </c>
    </row>
    <row r="653" spans="1:6">
      <c r="A653" s="19">
        <v>46331</v>
      </c>
      <c r="B653" t="s">
        <v>103</v>
      </c>
      <c r="C653">
        <v>100005003</v>
      </c>
      <c r="D653" t="s">
        <v>67</v>
      </c>
      <c r="E653" t="s">
        <v>21</v>
      </c>
      <c r="F653" s="15">
        <v>7200</v>
      </c>
    </row>
    <row r="654" spans="1:6">
      <c r="A654" s="19">
        <v>46331</v>
      </c>
      <c r="B654" t="s">
        <v>103</v>
      </c>
      <c r="C654">
        <v>100005004</v>
      </c>
      <c r="D654" t="s">
        <v>68</v>
      </c>
      <c r="E654" t="s">
        <v>21</v>
      </c>
      <c r="F654" s="15">
        <v>9600</v>
      </c>
    </row>
    <row r="655" spans="1:6">
      <c r="A655" s="19">
        <v>46331</v>
      </c>
      <c r="B655" t="s">
        <v>103</v>
      </c>
      <c r="C655">
        <v>100005005</v>
      </c>
      <c r="D655" t="s">
        <v>69</v>
      </c>
      <c r="E655" t="s">
        <v>21</v>
      </c>
      <c r="F655" s="15">
        <v>9600</v>
      </c>
    </row>
    <row r="656" spans="1:6">
      <c r="A656" s="19">
        <v>46331</v>
      </c>
      <c r="B656" t="s">
        <v>103</v>
      </c>
      <c r="C656">
        <v>100005006</v>
      </c>
      <c r="D656" t="s">
        <v>65</v>
      </c>
      <c r="E656" t="s">
        <v>22</v>
      </c>
      <c r="F656" s="15">
        <v>12000</v>
      </c>
    </row>
    <row r="657" spans="1:6">
      <c r="A657" s="19">
        <v>46331</v>
      </c>
      <c r="B657" t="s">
        <v>103</v>
      </c>
      <c r="C657">
        <v>100005009</v>
      </c>
      <c r="D657" t="s">
        <v>70</v>
      </c>
      <c r="E657" t="s">
        <v>22</v>
      </c>
      <c r="F657" s="15">
        <v>12000</v>
      </c>
    </row>
    <row r="658" spans="1:6">
      <c r="A658" s="19">
        <v>46331</v>
      </c>
      <c r="B658" t="s">
        <v>103</v>
      </c>
      <c r="C658">
        <v>100005010</v>
      </c>
      <c r="D658" t="s">
        <v>70</v>
      </c>
      <c r="E658" t="s">
        <v>22</v>
      </c>
      <c r="F658" s="15">
        <v>12000</v>
      </c>
    </row>
    <row r="659" spans="1:6">
      <c r="A659" s="19">
        <v>46331</v>
      </c>
      <c r="B659" t="s">
        <v>103</v>
      </c>
      <c r="C659">
        <v>100005011</v>
      </c>
      <c r="D659" t="s">
        <v>70</v>
      </c>
      <c r="E659" t="s">
        <v>22</v>
      </c>
      <c r="F659" s="15">
        <v>12000</v>
      </c>
    </row>
    <row r="660" spans="1:6">
      <c r="A660" s="19">
        <v>46331</v>
      </c>
      <c r="B660" t="s">
        <v>103</v>
      </c>
      <c r="C660">
        <v>100005012</v>
      </c>
      <c r="D660" t="s">
        <v>70</v>
      </c>
      <c r="E660" t="s">
        <v>22</v>
      </c>
      <c r="F660" s="15">
        <v>20400</v>
      </c>
    </row>
    <row r="661" spans="1:6">
      <c r="A661" s="19">
        <v>46331</v>
      </c>
      <c r="B661" t="s">
        <v>103</v>
      </c>
      <c r="C661">
        <v>100005013</v>
      </c>
      <c r="D661" t="s">
        <v>70</v>
      </c>
      <c r="E661" t="s">
        <v>22</v>
      </c>
      <c r="F661" s="15">
        <v>12000</v>
      </c>
    </row>
    <row r="662" spans="1:6">
      <c r="A662" s="19">
        <v>46331</v>
      </c>
      <c r="B662" t="s">
        <v>103</v>
      </c>
      <c r="C662">
        <v>100005014</v>
      </c>
      <c r="D662" t="s">
        <v>70</v>
      </c>
      <c r="E662" t="s">
        <v>22</v>
      </c>
      <c r="F662" s="15">
        <v>12000</v>
      </c>
    </row>
    <row r="663" spans="1:6">
      <c r="A663" s="19">
        <v>46331</v>
      </c>
      <c r="B663" t="s">
        <v>103</v>
      </c>
      <c r="C663">
        <v>100005015</v>
      </c>
      <c r="D663" t="s">
        <v>70</v>
      </c>
      <c r="E663" t="s">
        <v>22</v>
      </c>
      <c r="F663" s="15">
        <v>20400</v>
      </c>
    </row>
    <row r="664" spans="1:6">
      <c r="A664" s="19">
        <v>46331</v>
      </c>
      <c r="B664" t="s">
        <v>103</v>
      </c>
      <c r="C664">
        <v>100005016</v>
      </c>
      <c r="D664" t="s">
        <v>70</v>
      </c>
      <c r="E664" t="s">
        <v>22</v>
      </c>
      <c r="F664" s="15">
        <v>20400</v>
      </c>
    </row>
    <row r="665" spans="1:6">
      <c r="A665" s="19">
        <v>46331</v>
      </c>
      <c r="B665" t="s">
        <v>103</v>
      </c>
      <c r="C665">
        <v>100005017</v>
      </c>
      <c r="D665" t="s">
        <v>70</v>
      </c>
      <c r="E665" t="s">
        <v>22</v>
      </c>
      <c r="F665" s="15">
        <v>12000</v>
      </c>
    </row>
    <row r="666" spans="1:6">
      <c r="A666" s="19">
        <v>46331</v>
      </c>
      <c r="B666" t="s">
        <v>103</v>
      </c>
      <c r="C666">
        <v>100005007</v>
      </c>
      <c r="D666" t="s">
        <v>67</v>
      </c>
      <c r="E666" t="s">
        <v>22</v>
      </c>
      <c r="F666" s="15">
        <v>8400</v>
      </c>
    </row>
    <row r="667" spans="1:6">
      <c r="A667" s="19">
        <v>46331</v>
      </c>
      <c r="B667" t="s">
        <v>103</v>
      </c>
      <c r="C667">
        <v>100005008</v>
      </c>
      <c r="D667" t="s">
        <v>69</v>
      </c>
      <c r="E667" t="s">
        <v>22</v>
      </c>
      <c r="F667" s="15">
        <v>9600</v>
      </c>
    </row>
    <row r="668" spans="1:6">
      <c r="A668" s="19">
        <v>46331</v>
      </c>
      <c r="B668" t="s">
        <v>103</v>
      </c>
      <c r="C668">
        <v>100005000</v>
      </c>
      <c r="D668" t="s">
        <v>71</v>
      </c>
      <c r="E668" t="s">
        <v>83</v>
      </c>
      <c r="F668" s="15">
        <v>4800</v>
      </c>
    </row>
    <row r="669" spans="1:6">
      <c r="A669" s="19">
        <v>46346</v>
      </c>
      <c r="B669" t="s">
        <v>103</v>
      </c>
      <c r="C669">
        <v>100005001</v>
      </c>
      <c r="D669" t="s">
        <v>65</v>
      </c>
      <c r="E669" t="s">
        <v>21</v>
      </c>
      <c r="F669" s="15">
        <v>18000</v>
      </c>
    </row>
    <row r="670" spans="1:6">
      <c r="A670" s="19">
        <v>46346</v>
      </c>
      <c r="B670" t="s">
        <v>103</v>
      </c>
      <c r="C670">
        <v>100005002</v>
      </c>
      <c r="D670" t="s">
        <v>66</v>
      </c>
      <c r="E670" t="s">
        <v>21</v>
      </c>
      <c r="F670" s="15">
        <v>10800</v>
      </c>
    </row>
    <row r="671" spans="1:6">
      <c r="A671" s="19">
        <v>46346</v>
      </c>
      <c r="B671" t="s">
        <v>103</v>
      </c>
      <c r="C671">
        <v>100005003</v>
      </c>
      <c r="D671" t="s">
        <v>67</v>
      </c>
      <c r="E671" t="s">
        <v>21</v>
      </c>
      <c r="F671" s="15">
        <v>10800</v>
      </c>
    </row>
    <row r="672" spans="1:6">
      <c r="A672" s="19">
        <v>46346</v>
      </c>
      <c r="B672" t="s">
        <v>103</v>
      </c>
      <c r="C672">
        <v>100005004</v>
      </c>
      <c r="D672" t="s">
        <v>68</v>
      </c>
      <c r="E672" t="s">
        <v>21</v>
      </c>
      <c r="F672" s="15">
        <v>14400</v>
      </c>
    </row>
    <row r="673" spans="1:6">
      <c r="A673" s="19">
        <v>46346</v>
      </c>
      <c r="B673" t="s">
        <v>103</v>
      </c>
      <c r="C673">
        <v>100005005</v>
      </c>
      <c r="D673" t="s">
        <v>69</v>
      </c>
      <c r="E673" t="s">
        <v>21</v>
      </c>
      <c r="F673" s="15">
        <v>14400</v>
      </c>
    </row>
    <row r="674" spans="1:6">
      <c r="A674" s="19">
        <v>46346</v>
      </c>
      <c r="B674" t="s">
        <v>103</v>
      </c>
      <c r="C674">
        <v>100005006</v>
      </c>
      <c r="D674" t="s">
        <v>65</v>
      </c>
      <c r="E674" t="s">
        <v>22</v>
      </c>
      <c r="F674" s="15">
        <v>18000</v>
      </c>
    </row>
    <row r="675" spans="1:6">
      <c r="A675" s="19">
        <v>46346</v>
      </c>
      <c r="B675" t="s">
        <v>103</v>
      </c>
      <c r="C675">
        <v>100005009</v>
      </c>
      <c r="D675" t="s">
        <v>70</v>
      </c>
      <c r="E675" t="s">
        <v>22</v>
      </c>
      <c r="F675" s="15">
        <v>18000</v>
      </c>
    </row>
    <row r="676" spans="1:6">
      <c r="A676" s="19">
        <v>46346</v>
      </c>
      <c r="B676" t="s">
        <v>103</v>
      </c>
      <c r="C676">
        <v>100005010</v>
      </c>
      <c r="D676" t="s">
        <v>70</v>
      </c>
      <c r="E676" t="s">
        <v>22</v>
      </c>
      <c r="F676" s="15">
        <v>18000</v>
      </c>
    </row>
    <row r="677" spans="1:6">
      <c r="A677" s="19">
        <v>46346</v>
      </c>
      <c r="B677" t="s">
        <v>103</v>
      </c>
      <c r="C677">
        <v>100005011</v>
      </c>
      <c r="D677" t="s">
        <v>70</v>
      </c>
      <c r="E677" t="s">
        <v>22</v>
      </c>
      <c r="F677" s="15">
        <v>18000</v>
      </c>
    </row>
    <row r="678" spans="1:6">
      <c r="A678" s="19">
        <v>46346</v>
      </c>
      <c r="B678" t="s">
        <v>103</v>
      </c>
      <c r="C678">
        <v>100005012</v>
      </c>
      <c r="D678" t="s">
        <v>70</v>
      </c>
      <c r="E678" t="s">
        <v>22</v>
      </c>
      <c r="F678" s="15">
        <v>9600</v>
      </c>
    </row>
    <row r="679" spans="1:6">
      <c r="A679" s="19">
        <v>46346</v>
      </c>
      <c r="B679" t="s">
        <v>103</v>
      </c>
      <c r="C679">
        <v>100005013</v>
      </c>
      <c r="D679" t="s">
        <v>70</v>
      </c>
      <c r="E679" t="s">
        <v>22</v>
      </c>
      <c r="F679" s="15">
        <v>18000</v>
      </c>
    </row>
    <row r="680" spans="1:6">
      <c r="A680" s="19">
        <v>46346</v>
      </c>
      <c r="B680" t="s">
        <v>103</v>
      </c>
      <c r="C680">
        <v>100005014</v>
      </c>
      <c r="D680" t="s">
        <v>70</v>
      </c>
      <c r="E680" t="s">
        <v>22</v>
      </c>
      <c r="F680" s="15">
        <v>18000</v>
      </c>
    </row>
    <row r="681" spans="1:6">
      <c r="A681" s="19">
        <v>46346</v>
      </c>
      <c r="B681" t="s">
        <v>103</v>
      </c>
      <c r="C681">
        <v>100005015</v>
      </c>
      <c r="D681" t="s">
        <v>70</v>
      </c>
      <c r="E681" t="s">
        <v>22</v>
      </c>
      <c r="F681" s="15">
        <v>9600</v>
      </c>
    </row>
    <row r="682" spans="1:6">
      <c r="A682" s="19">
        <v>46346</v>
      </c>
      <c r="B682" t="s">
        <v>103</v>
      </c>
      <c r="C682">
        <v>100005016</v>
      </c>
      <c r="D682" t="s">
        <v>70</v>
      </c>
      <c r="E682" t="s">
        <v>22</v>
      </c>
      <c r="F682" s="15">
        <v>9600</v>
      </c>
    </row>
    <row r="683" spans="1:6">
      <c r="A683" s="19">
        <v>46346</v>
      </c>
      <c r="B683" t="s">
        <v>103</v>
      </c>
      <c r="C683">
        <v>100005017</v>
      </c>
      <c r="D683" t="s">
        <v>70</v>
      </c>
      <c r="E683" t="s">
        <v>22</v>
      </c>
      <c r="F683" s="15">
        <v>18000</v>
      </c>
    </row>
    <row r="684" spans="1:6">
      <c r="A684" s="19">
        <v>46346</v>
      </c>
      <c r="B684" t="s">
        <v>103</v>
      </c>
      <c r="C684">
        <v>100005007</v>
      </c>
      <c r="D684" t="s">
        <v>67</v>
      </c>
      <c r="E684" t="s">
        <v>22</v>
      </c>
      <c r="F684" s="15">
        <v>12600</v>
      </c>
    </row>
    <row r="685" spans="1:6">
      <c r="A685" s="19">
        <v>46346</v>
      </c>
      <c r="B685" t="s">
        <v>103</v>
      </c>
      <c r="C685">
        <v>100005008</v>
      </c>
      <c r="D685" t="s">
        <v>69</v>
      </c>
      <c r="E685" t="s">
        <v>22</v>
      </c>
      <c r="F685" s="15">
        <v>14400</v>
      </c>
    </row>
    <row r="686" spans="1:6">
      <c r="A686" s="19">
        <v>46346</v>
      </c>
      <c r="B686" t="s">
        <v>103</v>
      </c>
      <c r="C686">
        <v>100005000</v>
      </c>
      <c r="D686" t="s">
        <v>71</v>
      </c>
      <c r="E686" t="s">
        <v>83</v>
      </c>
      <c r="F686" s="15">
        <v>7200</v>
      </c>
    </row>
    <row r="687" spans="1:6">
      <c r="A687" s="19">
        <v>46361</v>
      </c>
      <c r="B687" t="s">
        <v>103</v>
      </c>
      <c r="C687">
        <v>100005001</v>
      </c>
      <c r="D687" t="s">
        <v>65</v>
      </c>
      <c r="E687" t="s">
        <v>21</v>
      </c>
      <c r="F687" s="15">
        <v>12000</v>
      </c>
    </row>
    <row r="688" spans="1:6">
      <c r="A688" s="19">
        <v>46361</v>
      </c>
      <c r="B688" t="s">
        <v>103</v>
      </c>
      <c r="C688">
        <v>100005002</v>
      </c>
      <c r="D688" t="s">
        <v>66</v>
      </c>
      <c r="E688" t="s">
        <v>21</v>
      </c>
      <c r="F688" s="15">
        <v>12077.419354838708</v>
      </c>
    </row>
    <row r="689" spans="1:6">
      <c r="A689" s="19">
        <v>46361</v>
      </c>
      <c r="B689" t="s">
        <v>103</v>
      </c>
      <c r="C689">
        <v>100005003</v>
      </c>
      <c r="D689" t="s">
        <v>67</v>
      </c>
      <c r="E689" t="s">
        <v>21</v>
      </c>
      <c r="F689" s="15">
        <v>7200</v>
      </c>
    </row>
    <row r="690" spans="1:6">
      <c r="A690" s="19">
        <v>46361</v>
      </c>
      <c r="B690" t="s">
        <v>103</v>
      </c>
      <c r="C690">
        <v>100005004</v>
      </c>
      <c r="D690" t="s">
        <v>68</v>
      </c>
      <c r="E690" t="s">
        <v>21</v>
      </c>
      <c r="F690" s="15">
        <v>9600</v>
      </c>
    </row>
    <row r="691" spans="1:6">
      <c r="A691" s="19">
        <v>46361</v>
      </c>
      <c r="B691" t="s">
        <v>103</v>
      </c>
      <c r="C691">
        <v>100005005</v>
      </c>
      <c r="D691" t="s">
        <v>69</v>
      </c>
      <c r="E691" t="s">
        <v>21</v>
      </c>
      <c r="F691" s="15">
        <v>9600</v>
      </c>
    </row>
    <row r="692" spans="1:6">
      <c r="A692" s="19">
        <v>46361</v>
      </c>
      <c r="B692" t="s">
        <v>103</v>
      </c>
      <c r="C692">
        <v>100005006</v>
      </c>
      <c r="D692" t="s">
        <v>65</v>
      </c>
      <c r="E692" t="s">
        <v>22</v>
      </c>
      <c r="F692" s="15">
        <v>12000</v>
      </c>
    </row>
    <row r="693" spans="1:6">
      <c r="A693" s="19">
        <v>46361</v>
      </c>
      <c r="B693" t="s">
        <v>103</v>
      </c>
      <c r="C693">
        <v>100005009</v>
      </c>
      <c r="D693" t="s">
        <v>70</v>
      </c>
      <c r="E693" t="s">
        <v>22</v>
      </c>
      <c r="F693" s="15">
        <v>12000</v>
      </c>
    </row>
    <row r="694" spans="1:6">
      <c r="A694" s="19">
        <v>46361</v>
      </c>
      <c r="B694" t="s">
        <v>103</v>
      </c>
      <c r="C694">
        <v>100005010</v>
      </c>
      <c r="D694" t="s">
        <v>70</v>
      </c>
      <c r="E694" t="s">
        <v>22</v>
      </c>
      <c r="F694" s="15">
        <v>12000</v>
      </c>
    </row>
    <row r="695" spans="1:6">
      <c r="A695" s="19">
        <v>46361</v>
      </c>
      <c r="B695" t="s">
        <v>103</v>
      </c>
      <c r="C695">
        <v>100005011</v>
      </c>
      <c r="D695" t="s">
        <v>70</v>
      </c>
      <c r="E695" t="s">
        <v>22</v>
      </c>
      <c r="F695" s="15">
        <v>20129.032258064519</v>
      </c>
    </row>
    <row r="696" spans="1:6">
      <c r="A696" s="19">
        <v>46361</v>
      </c>
      <c r="B696" t="s">
        <v>103</v>
      </c>
      <c r="C696">
        <v>100005012</v>
      </c>
      <c r="D696" t="s">
        <v>70</v>
      </c>
      <c r="E696" t="s">
        <v>22</v>
      </c>
      <c r="F696" s="15">
        <v>12000</v>
      </c>
    </row>
    <row r="697" spans="1:6">
      <c r="A697" s="19">
        <v>46361</v>
      </c>
      <c r="B697" t="s">
        <v>103</v>
      </c>
      <c r="C697">
        <v>100005013</v>
      </c>
      <c r="D697" t="s">
        <v>70</v>
      </c>
      <c r="E697" t="s">
        <v>22</v>
      </c>
      <c r="F697" s="15">
        <v>12000</v>
      </c>
    </row>
    <row r="698" spans="1:6">
      <c r="A698" s="19">
        <v>46361</v>
      </c>
      <c r="B698" t="s">
        <v>103</v>
      </c>
      <c r="C698">
        <v>100005014</v>
      </c>
      <c r="D698" t="s">
        <v>70</v>
      </c>
      <c r="E698" t="s">
        <v>22</v>
      </c>
      <c r="F698" s="15">
        <v>20129.032258064519</v>
      </c>
    </row>
    <row r="699" spans="1:6">
      <c r="A699" s="19">
        <v>46361</v>
      </c>
      <c r="B699" t="s">
        <v>103</v>
      </c>
      <c r="C699">
        <v>100005015</v>
      </c>
      <c r="D699" t="s">
        <v>70</v>
      </c>
      <c r="E699" t="s">
        <v>22</v>
      </c>
      <c r="F699" s="15">
        <v>12000</v>
      </c>
    </row>
    <row r="700" spans="1:6">
      <c r="A700" s="19">
        <v>46361</v>
      </c>
      <c r="B700" t="s">
        <v>103</v>
      </c>
      <c r="C700">
        <v>100005016</v>
      </c>
      <c r="D700" t="s">
        <v>70</v>
      </c>
      <c r="E700" t="s">
        <v>22</v>
      </c>
      <c r="F700" s="15">
        <v>12000</v>
      </c>
    </row>
    <row r="701" spans="1:6">
      <c r="A701" s="19">
        <v>46361</v>
      </c>
      <c r="B701" t="s">
        <v>103</v>
      </c>
      <c r="C701">
        <v>100005017</v>
      </c>
      <c r="D701" t="s">
        <v>70</v>
      </c>
      <c r="E701" t="s">
        <v>22</v>
      </c>
      <c r="F701" s="15">
        <v>20129.032258064519</v>
      </c>
    </row>
    <row r="702" spans="1:6">
      <c r="A702" s="19">
        <v>46361</v>
      </c>
      <c r="B702" t="s">
        <v>103</v>
      </c>
      <c r="C702">
        <v>100005018</v>
      </c>
      <c r="D702" t="s">
        <v>70</v>
      </c>
      <c r="E702" t="s">
        <v>22</v>
      </c>
      <c r="F702" s="15">
        <v>12000</v>
      </c>
    </row>
    <row r="703" spans="1:6">
      <c r="A703" s="19">
        <v>46361</v>
      </c>
      <c r="B703" t="s">
        <v>103</v>
      </c>
      <c r="C703">
        <v>100005007</v>
      </c>
      <c r="D703" t="s">
        <v>67</v>
      </c>
      <c r="E703" t="s">
        <v>22</v>
      </c>
      <c r="F703" s="15">
        <v>8400</v>
      </c>
    </row>
    <row r="704" spans="1:6">
      <c r="A704" s="19">
        <v>46361</v>
      </c>
      <c r="B704" t="s">
        <v>103</v>
      </c>
      <c r="C704">
        <v>100005008</v>
      </c>
      <c r="D704" t="s">
        <v>69</v>
      </c>
      <c r="E704" t="s">
        <v>22</v>
      </c>
      <c r="F704" s="15">
        <v>9600</v>
      </c>
    </row>
    <row r="705" spans="1:6">
      <c r="A705" s="19">
        <v>46361</v>
      </c>
      <c r="B705" t="s">
        <v>103</v>
      </c>
      <c r="C705">
        <v>100005000</v>
      </c>
      <c r="D705" t="s">
        <v>71</v>
      </c>
      <c r="E705" t="s">
        <v>83</v>
      </c>
      <c r="F705" s="15">
        <v>4800</v>
      </c>
    </row>
    <row r="706" spans="1:6">
      <c r="A706" s="19">
        <v>46376</v>
      </c>
      <c r="B706" t="s">
        <v>103</v>
      </c>
      <c r="C706">
        <v>100005001</v>
      </c>
      <c r="D706" t="s">
        <v>65</v>
      </c>
      <c r="E706" t="s">
        <v>21</v>
      </c>
      <c r="F706" s="15">
        <v>18000</v>
      </c>
    </row>
    <row r="707" spans="1:6">
      <c r="A707" s="19">
        <v>46376</v>
      </c>
      <c r="B707" t="s">
        <v>103</v>
      </c>
      <c r="C707">
        <v>100005002</v>
      </c>
      <c r="D707" t="s">
        <v>66</v>
      </c>
      <c r="E707" t="s">
        <v>21</v>
      </c>
      <c r="F707" s="15">
        <v>5922.5806451612898</v>
      </c>
    </row>
    <row r="708" spans="1:6">
      <c r="A708" s="19">
        <v>46376</v>
      </c>
      <c r="B708" t="s">
        <v>103</v>
      </c>
      <c r="C708">
        <v>100005003</v>
      </c>
      <c r="D708" t="s">
        <v>67</v>
      </c>
      <c r="E708" t="s">
        <v>21</v>
      </c>
      <c r="F708" s="15">
        <v>10800</v>
      </c>
    </row>
    <row r="709" spans="1:6">
      <c r="A709" s="19">
        <v>46376</v>
      </c>
      <c r="B709" t="s">
        <v>103</v>
      </c>
      <c r="C709">
        <v>100005004</v>
      </c>
      <c r="D709" t="s">
        <v>68</v>
      </c>
      <c r="E709" t="s">
        <v>21</v>
      </c>
      <c r="F709" s="15">
        <v>14400</v>
      </c>
    </row>
    <row r="710" spans="1:6">
      <c r="A710" s="19">
        <v>46376</v>
      </c>
      <c r="B710" t="s">
        <v>103</v>
      </c>
      <c r="C710">
        <v>100005005</v>
      </c>
      <c r="D710" t="s">
        <v>69</v>
      </c>
      <c r="E710" t="s">
        <v>21</v>
      </c>
      <c r="F710" s="15">
        <v>14400</v>
      </c>
    </row>
    <row r="711" spans="1:6">
      <c r="A711" s="19">
        <v>46376</v>
      </c>
      <c r="B711" t="s">
        <v>103</v>
      </c>
      <c r="C711">
        <v>100005006</v>
      </c>
      <c r="D711" t="s">
        <v>65</v>
      </c>
      <c r="E711" t="s">
        <v>22</v>
      </c>
      <c r="F711" s="15">
        <v>18000</v>
      </c>
    </row>
    <row r="712" spans="1:6">
      <c r="A712" s="19">
        <v>46376</v>
      </c>
      <c r="B712" t="s">
        <v>103</v>
      </c>
      <c r="C712">
        <v>100005009</v>
      </c>
      <c r="D712" t="s">
        <v>70</v>
      </c>
      <c r="E712" t="s">
        <v>22</v>
      </c>
      <c r="F712" s="15">
        <v>18000</v>
      </c>
    </row>
    <row r="713" spans="1:6">
      <c r="A713" s="19">
        <v>46376</v>
      </c>
      <c r="B713" t="s">
        <v>103</v>
      </c>
      <c r="C713">
        <v>100005010</v>
      </c>
      <c r="D713" t="s">
        <v>70</v>
      </c>
      <c r="E713" t="s">
        <v>22</v>
      </c>
      <c r="F713" s="15">
        <v>18000</v>
      </c>
    </row>
    <row r="714" spans="1:6">
      <c r="A714" s="19">
        <v>46376</v>
      </c>
      <c r="B714" t="s">
        <v>103</v>
      </c>
      <c r="C714">
        <v>100005011</v>
      </c>
      <c r="D714" t="s">
        <v>70</v>
      </c>
      <c r="E714" t="s">
        <v>22</v>
      </c>
      <c r="F714" s="15">
        <v>9870.967741935483</v>
      </c>
    </row>
    <row r="715" spans="1:6">
      <c r="A715" s="19">
        <v>46376</v>
      </c>
      <c r="B715" t="s">
        <v>103</v>
      </c>
      <c r="C715">
        <v>100005012</v>
      </c>
      <c r="D715" t="s">
        <v>70</v>
      </c>
      <c r="E715" t="s">
        <v>22</v>
      </c>
      <c r="F715" s="15">
        <v>18000</v>
      </c>
    </row>
    <row r="716" spans="1:6">
      <c r="A716" s="19">
        <v>46376</v>
      </c>
      <c r="B716" t="s">
        <v>103</v>
      </c>
      <c r="C716">
        <v>100005013</v>
      </c>
      <c r="D716" t="s">
        <v>70</v>
      </c>
      <c r="E716" t="s">
        <v>22</v>
      </c>
      <c r="F716" s="15">
        <v>18000</v>
      </c>
    </row>
    <row r="717" spans="1:6">
      <c r="A717" s="19">
        <v>46376</v>
      </c>
      <c r="B717" t="s">
        <v>103</v>
      </c>
      <c r="C717">
        <v>100005014</v>
      </c>
      <c r="D717" t="s">
        <v>70</v>
      </c>
      <c r="E717" t="s">
        <v>22</v>
      </c>
      <c r="F717" s="15">
        <v>9870.967741935483</v>
      </c>
    </row>
    <row r="718" spans="1:6">
      <c r="A718" s="19">
        <v>46376</v>
      </c>
      <c r="B718" t="s">
        <v>103</v>
      </c>
      <c r="C718">
        <v>100005015</v>
      </c>
      <c r="D718" t="s">
        <v>70</v>
      </c>
      <c r="E718" t="s">
        <v>22</v>
      </c>
      <c r="F718" s="15">
        <v>18000</v>
      </c>
    </row>
    <row r="719" spans="1:6">
      <c r="A719" s="19">
        <v>46376</v>
      </c>
      <c r="B719" t="s">
        <v>103</v>
      </c>
      <c r="C719">
        <v>100005016</v>
      </c>
      <c r="D719" t="s">
        <v>70</v>
      </c>
      <c r="E719" t="s">
        <v>22</v>
      </c>
      <c r="F719" s="15">
        <v>18000</v>
      </c>
    </row>
    <row r="720" spans="1:6">
      <c r="A720" s="19">
        <v>46376</v>
      </c>
      <c r="B720" t="s">
        <v>103</v>
      </c>
      <c r="C720">
        <v>100005017</v>
      </c>
      <c r="D720" t="s">
        <v>70</v>
      </c>
      <c r="E720" t="s">
        <v>22</v>
      </c>
      <c r="F720" s="15">
        <v>9870.967741935483</v>
      </c>
    </row>
    <row r="721" spans="1:6">
      <c r="A721" s="19">
        <v>46376</v>
      </c>
      <c r="B721" t="s">
        <v>103</v>
      </c>
      <c r="C721">
        <v>100005018</v>
      </c>
      <c r="D721" t="s">
        <v>70</v>
      </c>
      <c r="E721" t="s">
        <v>22</v>
      </c>
      <c r="F721" s="15">
        <v>18000</v>
      </c>
    </row>
    <row r="722" spans="1:6">
      <c r="A722" s="19">
        <v>46376</v>
      </c>
      <c r="B722" t="s">
        <v>103</v>
      </c>
      <c r="C722">
        <v>100005007</v>
      </c>
      <c r="D722" t="s">
        <v>67</v>
      </c>
      <c r="E722" t="s">
        <v>22</v>
      </c>
      <c r="F722" s="15">
        <v>12600</v>
      </c>
    </row>
    <row r="723" spans="1:6">
      <c r="A723" s="19">
        <v>46376</v>
      </c>
      <c r="B723" t="s">
        <v>103</v>
      </c>
      <c r="C723">
        <v>100005008</v>
      </c>
      <c r="D723" t="s">
        <v>69</v>
      </c>
      <c r="E723" t="s">
        <v>22</v>
      </c>
      <c r="F723" s="15">
        <v>14400</v>
      </c>
    </row>
    <row r="724" spans="1:6">
      <c r="A724" s="19">
        <v>46376</v>
      </c>
      <c r="B724" t="s">
        <v>103</v>
      </c>
      <c r="C724">
        <v>100005000</v>
      </c>
      <c r="D724" t="s">
        <v>71</v>
      </c>
      <c r="E724" t="s">
        <v>83</v>
      </c>
      <c r="F724" s="15">
        <v>7200</v>
      </c>
    </row>
    <row r="725" spans="1:6">
      <c r="A725" s="19">
        <v>46027</v>
      </c>
      <c r="B725" t="s">
        <v>104</v>
      </c>
      <c r="C725">
        <v>100005001</v>
      </c>
      <c r="D725" t="s">
        <v>65</v>
      </c>
      <c r="E725" t="s">
        <v>21</v>
      </c>
      <c r="F725" s="15">
        <v>3400</v>
      </c>
    </row>
    <row r="726" spans="1:6">
      <c r="A726" s="19">
        <v>46027</v>
      </c>
      <c r="B726" t="s">
        <v>104</v>
      </c>
      <c r="C726">
        <v>100005002</v>
      </c>
      <c r="D726" t="s">
        <v>66</v>
      </c>
      <c r="E726" t="s">
        <v>21</v>
      </c>
      <c r="F726" s="15">
        <v>3400</v>
      </c>
    </row>
    <row r="727" spans="1:6">
      <c r="A727" s="19">
        <v>46027</v>
      </c>
      <c r="B727" t="s">
        <v>104</v>
      </c>
      <c r="C727">
        <v>100005003</v>
      </c>
      <c r="D727" t="s">
        <v>67</v>
      </c>
      <c r="E727" t="s">
        <v>21</v>
      </c>
      <c r="F727" s="15">
        <v>3400</v>
      </c>
    </row>
    <row r="728" spans="1:6">
      <c r="A728" s="19">
        <v>46027</v>
      </c>
      <c r="B728" t="s">
        <v>104</v>
      </c>
      <c r="C728">
        <v>100005004</v>
      </c>
      <c r="D728" t="s">
        <v>68</v>
      </c>
      <c r="E728" t="s">
        <v>21</v>
      </c>
      <c r="F728" s="15">
        <v>3400</v>
      </c>
    </row>
    <row r="729" spans="1:6">
      <c r="A729" s="19">
        <v>46027</v>
      </c>
      <c r="B729" t="s">
        <v>104</v>
      </c>
      <c r="C729">
        <v>100005005</v>
      </c>
      <c r="D729" t="s">
        <v>69</v>
      </c>
      <c r="E729" t="s">
        <v>21</v>
      </c>
      <c r="F729" s="15">
        <v>3400</v>
      </c>
    </row>
    <row r="730" spans="1:6">
      <c r="A730" s="19">
        <v>46027</v>
      </c>
      <c r="B730" t="s">
        <v>104</v>
      </c>
      <c r="C730">
        <v>100005006</v>
      </c>
      <c r="D730" t="s">
        <v>65</v>
      </c>
      <c r="E730" t="s">
        <v>22</v>
      </c>
      <c r="F730" s="15">
        <v>3400</v>
      </c>
    </row>
    <row r="731" spans="1:6">
      <c r="A731" s="19">
        <v>46027</v>
      </c>
      <c r="B731" t="s">
        <v>104</v>
      </c>
      <c r="C731">
        <v>100005009</v>
      </c>
      <c r="D731" t="s">
        <v>70</v>
      </c>
      <c r="E731" t="s">
        <v>22</v>
      </c>
      <c r="F731" s="15">
        <v>3400</v>
      </c>
    </row>
    <row r="732" spans="1:6">
      <c r="A732" s="19">
        <v>46027</v>
      </c>
      <c r="B732" t="s">
        <v>104</v>
      </c>
      <c r="C732">
        <v>100005007</v>
      </c>
      <c r="D732" t="s">
        <v>67</v>
      </c>
      <c r="E732" t="s">
        <v>22</v>
      </c>
      <c r="F732" s="15">
        <v>3400</v>
      </c>
    </row>
    <row r="733" spans="1:6">
      <c r="A733" s="19">
        <v>46027</v>
      </c>
      <c r="B733" t="s">
        <v>104</v>
      </c>
      <c r="C733">
        <v>100005008</v>
      </c>
      <c r="D733" t="s">
        <v>69</v>
      </c>
      <c r="E733" t="s">
        <v>22</v>
      </c>
      <c r="F733" s="15">
        <v>3400</v>
      </c>
    </row>
    <row r="734" spans="1:6">
      <c r="A734" s="19">
        <v>46027</v>
      </c>
      <c r="B734" t="s">
        <v>104</v>
      </c>
      <c r="C734">
        <v>100005000</v>
      </c>
      <c r="D734" t="s">
        <v>71</v>
      </c>
      <c r="E734" t="s">
        <v>83</v>
      </c>
      <c r="F734" s="15">
        <v>3400</v>
      </c>
    </row>
    <row r="735" spans="1:6">
      <c r="A735" s="19">
        <v>46058</v>
      </c>
      <c r="B735" t="s">
        <v>104</v>
      </c>
      <c r="C735">
        <v>100005001</v>
      </c>
      <c r="D735" t="s">
        <v>65</v>
      </c>
      <c r="E735" t="s">
        <v>21</v>
      </c>
      <c r="F735" s="15">
        <v>4000</v>
      </c>
    </row>
    <row r="736" spans="1:6">
      <c r="A736" s="19">
        <v>46058</v>
      </c>
      <c r="B736" t="s">
        <v>104</v>
      </c>
      <c r="C736">
        <v>100005002</v>
      </c>
      <c r="D736" t="s">
        <v>66</v>
      </c>
      <c r="E736" t="s">
        <v>21</v>
      </c>
      <c r="F736" s="15">
        <v>4000</v>
      </c>
    </row>
    <row r="737" spans="1:6">
      <c r="A737" s="19">
        <v>46058</v>
      </c>
      <c r="B737" t="s">
        <v>104</v>
      </c>
      <c r="C737">
        <v>100005003</v>
      </c>
      <c r="D737" t="s">
        <v>67</v>
      </c>
      <c r="E737" t="s">
        <v>21</v>
      </c>
      <c r="F737" s="15">
        <v>4000</v>
      </c>
    </row>
    <row r="738" spans="1:6">
      <c r="A738" s="19">
        <v>46058</v>
      </c>
      <c r="B738" t="s">
        <v>104</v>
      </c>
      <c r="C738">
        <v>100005004</v>
      </c>
      <c r="D738" t="s">
        <v>68</v>
      </c>
      <c r="E738" t="s">
        <v>21</v>
      </c>
      <c r="F738" s="15">
        <v>4000</v>
      </c>
    </row>
    <row r="739" spans="1:6">
      <c r="A739" s="19">
        <v>46058</v>
      </c>
      <c r="B739" t="s">
        <v>104</v>
      </c>
      <c r="C739">
        <v>100005005</v>
      </c>
      <c r="D739" t="s">
        <v>69</v>
      </c>
      <c r="E739" t="s">
        <v>21</v>
      </c>
      <c r="F739" s="15">
        <v>4000</v>
      </c>
    </row>
    <row r="740" spans="1:6">
      <c r="A740" s="19">
        <v>46058</v>
      </c>
      <c r="B740" t="s">
        <v>104</v>
      </c>
      <c r="C740">
        <v>100005006</v>
      </c>
      <c r="D740" t="s">
        <v>65</v>
      </c>
      <c r="E740" t="s">
        <v>22</v>
      </c>
      <c r="F740" s="15">
        <v>4000</v>
      </c>
    </row>
    <row r="741" spans="1:6">
      <c r="A741" s="19">
        <v>46058</v>
      </c>
      <c r="B741" t="s">
        <v>104</v>
      </c>
      <c r="C741">
        <v>100005009</v>
      </c>
      <c r="D741" t="s">
        <v>70</v>
      </c>
      <c r="E741" t="s">
        <v>22</v>
      </c>
      <c r="F741" s="15">
        <v>4000</v>
      </c>
    </row>
    <row r="742" spans="1:6">
      <c r="A742" s="19">
        <v>46058</v>
      </c>
      <c r="B742" t="s">
        <v>104</v>
      </c>
      <c r="C742">
        <v>100005010</v>
      </c>
      <c r="D742" t="s">
        <v>70</v>
      </c>
      <c r="E742" t="s">
        <v>22</v>
      </c>
      <c r="F742" s="15">
        <v>4000</v>
      </c>
    </row>
    <row r="743" spans="1:6">
      <c r="A743" s="19">
        <v>46058</v>
      </c>
      <c r="B743" t="s">
        <v>104</v>
      </c>
      <c r="C743">
        <v>100005007</v>
      </c>
      <c r="D743" t="s">
        <v>67</v>
      </c>
      <c r="E743" t="s">
        <v>22</v>
      </c>
      <c r="F743" s="15">
        <v>4000</v>
      </c>
    </row>
    <row r="744" spans="1:6">
      <c r="A744" s="19">
        <v>46058</v>
      </c>
      <c r="B744" t="s">
        <v>104</v>
      </c>
      <c r="C744">
        <v>100005008</v>
      </c>
      <c r="D744" t="s">
        <v>69</v>
      </c>
      <c r="E744" t="s">
        <v>22</v>
      </c>
      <c r="F744" s="15">
        <v>4000</v>
      </c>
    </row>
    <row r="745" spans="1:6">
      <c r="A745" s="19">
        <v>46058</v>
      </c>
      <c r="B745" t="s">
        <v>104</v>
      </c>
      <c r="C745">
        <v>100005000</v>
      </c>
      <c r="D745" t="s">
        <v>71</v>
      </c>
      <c r="E745" t="s">
        <v>83</v>
      </c>
      <c r="F745" s="15">
        <v>4000</v>
      </c>
    </row>
    <row r="746" spans="1:6">
      <c r="A746" s="19">
        <v>46086</v>
      </c>
      <c r="B746" t="s">
        <v>104</v>
      </c>
      <c r="C746">
        <v>100005001</v>
      </c>
      <c r="D746" t="s">
        <v>65</v>
      </c>
      <c r="E746" t="s">
        <v>21</v>
      </c>
      <c r="F746" s="15">
        <v>4000</v>
      </c>
    </row>
    <row r="747" spans="1:6">
      <c r="A747" s="19">
        <v>46086</v>
      </c>
      <c r="B747" t="s">
        <v>104</v>
      </c>
      <c r="C747">
        <v>100005002</v>
      </c>
      <c r="D747" t="s">
        <v>66</v>
      </c>
      <c r="E747" t="s">
        <v>21</v>
      </c>
      <c r="F747" s="15">
        <v>4000</v>
      </c>
    </row>
    <row r="748" spans="1:6">
      <c r="A748" s="19">
        <v>46086</v>
      </c>
      <c r="B748" t="s">
        <v>104</v>
      </c>
      <c r="C748">
        <v>100005003</v>
      </c>
      <c r="D748" t="s">
        <v>67</v>
      </c>
      <c r="E748" t="s">
        <v>21</v>
      </c>
      <c r="F748" s="15">
        <v>4000</v>
      </c>
    </row>
    <row r="749" spans="1:6">
      <c r="A749" s="19">
        <v>46086</v>
      </c>
      <c r="B749" t="s">
        <v>104</v>
      </c>
      <c r="C749">
        <v>100005004</v>
      </c>
      <c r="D749" t="s">
        <v>68</v>
      </c>
      <c r="E749" t="s">
        <v>21</v>
      </c>
      <c r="F749" s="15">
        <v>4000</v>
      </c>
    </row>
    <row r="750" spans="1:6">
      <c r="A750" s="19">
        <v>46086</v>
      </c>
      <c r="B750" t="s">
        <v>104</v>
      </c>
      <c r="C750">
        <v>100005005</v>
      </c>
      <c r="D750" t="s">
        <v>69</v>
      </c>
      <c r="E750" t="s">
        <v>21</v>
      </c>
      <c r="F750" s="15">
        <v>4000</v>
      </c>
    </row>
    <row r="751" spans="1:6">
      <c r="A751" s="19">
        <v>46086</v>
      </c>
      <c r="B751" t="s">
        <v>104</v>
      </c>
      <c r="C751">
        <v>100005006</v>
      </c>
      <c r="D751" t="s">
        <v>65</v>
      </c>
      <c r="E751" t="s">
        <v>22</v>
      </c>
      <c r="F751" s="15">
        <v>4000</v>
      </c>
    </row>
    <row r="752" spans="1:6">
      <c r="A752" s="19">
        <v>46086</v>
      </c>
      <c r="B752" t="s">
        <v>104</v>
      </c>
      <c r="C752">
        <v>100005009</v>
      </c>
      <c r="D752" t="s">
        <v>70</v>
      </c>
      <c r="E752" t="s">
        <v>22</v>
      </c>
      <c r="F752" s="15">
        <v>4000</v>
      </c>
    </row>
    <row r="753" spans="1:6">
      <c r="A753" s="19">
        <v>46086</v>
      </c>
      <c r="B753" t="s">
        <v>104</v>
      </c>
      <c r="C753">
        <v>100005010</v>
      </c>
      <c r="D753" t="s">
        <v>70</v>
      </c>
      <c r="E753" t="s">
        <v>22</v>
      </c>
      <c r="F753" s="15">
        <v>4000</v>
      </c>
    </row>
    <row r="754" spans="1:6">
      <c r="A754" s="19">
        <v>46086</v>
      </c>
      <c r="B754" t="s">
        <v>104</v>
      </c>
      <c r="C754">
        <v>100005011</v>
      </c>
      <c r="D754" t="s">
        <v>70</v>
      </c>
      <c r="E754" t="s">
        <v>22</v>
      </c>
      <c r="F754" s="15">
        <v>4000</v>
      </c>
    </row>
    <row r="755" spans="1:6">
      <c r="A755" s="19">
        <v>46086</v>
      </c>
      <c r="B755" t="s">
        <v>104</v>
      </c>
      <c r="C755">
        <v>100005007</v>
      </c>
      <c r="D755" t="s">
        <v>67</v>
      </c>
      <c r="E755" t="s">
        <v>22</v>
      </c>
      <c r="F755" s="15">
        <v>4000</v>
      </c>
    </row>
    <row r="756" spans="1:6">
      <c r="A756" s="19">
        <v>46086</v>
      </c>
      <c r="B756" t="s">
        <v>104</v>
      </c>
      <c r="C756">
        <v>100005008</v>
      </c>
      <c r="D756" t="s">
        <v>69</v>
      </c>
      <c r="E756" t="s">
        <v>22</v>
      </c>
      <c r="F756" s="15">
        <v>4000</v>
      </c>
    </row>
    <row r="757" spans="1:6">
      <c r="A757" s="19">
        <v>46086</v>
      </c>
      <c r="B757" t="s">
        <v>104</v>
      </c>
      <c r="C757">
        <v>100005000</v>
      </c>
      <c r="D757" t="s">
        <v>71</v>
      </c>
      <c r="E757" t="s">
        <v>83</v>
      </c>
      <c r="F757" s="15">
        <v>4000</v>
      </c>
    </row>
    <row r="758" spans="1:6">
      <c r="A758" s="19">
        <v>46117</v>
      </c>
      <c r="B758" t="s">
        <v>104</v>
      </c>
      <c r="C758">
        <v>100005001</v>
      </c>
      <c r="D758" t="s">
        <v>65</v>
      </c>
      <c r="E758" t="s">
        <v>21</v>
      </c>
      <c r="F758" s="15">
        <v>4200</v>
      </c>
    </row>
    <row r="759" spans="1:6">
      <c r="A759" s="19">
        <v>46117</v>
      </c>
      <c r="B759" t="s">
        <v>104</v>
      </c>
      <c r="C759">
        <v>100005002</v>
      </c>
      <c r="D759" t="s">
        <v>66</v>
      </c>
      <c r="E759" t="s">
        <v>21</v>
      </c>
      <c r="F759" s="15">
        <v>4200</v>
      </c>
    </row>
    <row r="760" spans="1:6">
      <c r="A760" s="19">
        <v>46117</v>
      </c>
      <c r="B760" t="s">
        <v>104</v>
      </c>
      <c r="C760">
        <v>100005003</v>
      </c>
      <c r="D760" t="s">
        <v>67</v>
      </c>
      <c r="E760" t="s">
        <v>21</v>
      </c>
      <c r="F760" s="15">
        <v>4200</v>
      </c>
    </row>
    <row r="761" spans="1:6">
      <c r="A761" s="19">
        <v>46117</v>
      </c>
      <c r="B761" t="s">
        <v>104</v>
      </c>
      <c r="C761">
        <v>100005004</v>
      </c>
      <c r="D761" t="s">
        <v>68</v>
      </c>
      <c r="E761" t="s">
        <v>21</v>
      </c>
      <c r="F761" s="15">
        <v>4200</v>
      </c>
    </row>
    <row r="762" spans="1:6">
      <c r="A762" s="19">
        <v>46117</v>
      </c>
      <c r="B762" t="s">
        <v>104</v>
      </c>
      <c r="C762">
        <v>100005005</v>
      </c>
      <c r="D762" t="s">
        <v>69</v>
      </c>
      <c r="E762" t="s">
        <v>21</v>
      </c>
      <c r="F762" s="15">
        <v>4200</v>
      </c>
    </row>
    <row r="763" spans="1:6">
      <c r="A763" s="19">
        <v>46117</v>
      </c>
      <c r="B763" t="s">
        <v>104</v>
      </c>
      <c r="C763">
        <v>100005006</v>
      </c>
      <c r="D763" t="s">
        <v>65</v>
      </c>
      <c r="E763" t="s">
        <v>22</v>
      </c>
      <c r="F763" s="15">
        <v>4200</v>
      </c>
    </row>
    <row r="764" spans="1:6">
      <c r="A764" s="19">
        <v>46117</v>
      </c>
      <c r="B764" t="s">
        <v>104</v>
      </c>
      <c r="C764">
        <v>100005009</v>
      </c>
      <c r="D764" t="s">
        <v>70</v>
      </c>
      <c r="E764" t="s">
        <v>22</v>
      </c>
      <c r="F764" s="15">
        <v>4200</v>
      </c>
    </row>
    <row r="765" spans="1:6">
      <c r="A765" s="19">
        <v>46117</v>
      </c>
      <c r="B765" t="s">
        <v>104</v>
      </c>
      <c r="C765">
        <v>100005010</v>
      </c>
      <c r="D765" t="s">
        <v>70</v>
      </c>
      <c r="E765" t="s">
        <v>22</v>
      </c>
      <c r="F765" s="15">
        <v>4200</v>
      </c>
    </row>
    <row r="766" spans="1:6">
      <c r="A766" s="19">
        <v>46117</v>
      </c>
      <c r="B766" t="s">
        <v>104</v>
      </c>
      <c r="C766">
        <v>100005011</v>
      </c>
      <c r="D766" t="s">
        <v>70</v>
      </c>
      <c r="E766" t="s">
        <v>22</v>
      </c>
      <c r="F766" s="15">
        <v>4200</v>
      </c>
    </row>
    <row r="767" spans="1:6">
      <c r="A767" s="19">
        <v>46117</v>
      </c>
      <c r="B767" t="s">
        <v>104</v>
      </c>
      <c r="C767">
        <v>100005012</v>
      </c>
      <c r="D767" t="s">
        <v>70</v>
      </c>
      <c r="E767" t="s">
        <v>22</v>
      </c>
      <c r="F767" s="15">
        <v>4200</v>
      </c>
    </row>
    <row r="768" spans="1:6">
      <c r="A768" s="19">
        <v>46117</v>
      </c>
      <c r="B768" t="s">
        <v>104</v>
      </c>
      <c r="C768">
        <v>100005007</v>
      </c>
      <c r="D768" t="s">
        <v>67</v>
      </c>
      <c r="E768" t="s">
        <v>22</v>
      </c>
      <c r="F768" s="15">
        <v>4200</v>
      </c>
    </row>
    <row r="769" spans="1:6">
      <c r="A769" s="19">
        <v>46117</v>
      </c>
      <c r="B769" t="s">
        <v>104</v>
      </c>
      <c r="C769">
        <v>100005008</v>
      </c>
      <c r="D769" t="s">
        <v>69</v>
      </c>
      <c r="E769" t="s">
        <v>22</v>
      </c>
      <c r="F769" s="15">
        <v>4200</v>
      </c>
    </row>
    <row r="770" spans="1:6">
      <c r="A770" s="19">
        <v>46117</v>
      </c>
      <c r="B770" t="s">
        <v>104</v>
      </c>
      <c r="C770">
        <v>100005000</v>
      </c>
      <c r="D770" t="s">
        <v>71</v>
      </c>
      <c r="E770" t="s">
        <v>83</v>
      </c>
      <c r="F770" s="15">
        <v>4200</v>
      </c>
    </row>
    <row r="771" spans="1:6">
      <c r="A771" s="19">
        <v>46147</v>
      </c>
      <c r="B771" t="s">
        <v>104</v>
      </c>
      <c r="C771">
        <v>100005001</v>
      </c>
      <c r="D771" t="s">
        <v>65</v>
      </c>
      <c r="E771" t="s">
        <v>21</v>
      </c>
      <c r="F771" s="15">
        <v>4000</v>
      </c>
    </row>
    <row r="772" spans="1:6">
      <c r="A772" s="19">
        <v>46147</v>
      </c>
      <c r="B772" t="s">
        <v>104</v>
      </c>
      <c r="C772">
        <v>100005002</v>
      </c>
      <c r="D772" t="s">
        <v>66</v>
      </c>
      <c r="E772" t="s">
        <v>21</v>
      </c>
      <c r="F772" s="15">
        <v>4000</v>
      </c>
    </row>
    <row r="773" spans="1:6">
      <c r="A773" s="19">
        <v>46147</v>
      </c>
      <c r="B773" t="s">
        <v>104</v>
      </c>
      <c r="C773">
        <v>100005003</v>
      </c>
      <c r="D773" t="s">
        <v>67</v>
      </c>
      <c r="E773" t="s">
        <v>21</v>
      </c>
      <c r="F773" s="15">
        <v>4000</v>
      </c>
    </row>
    <row r="774" spans="1:6">
      <c r="A774" s="19">
        <v>46147</v>
      </c>
      <c r="B774" t="s">
        <v>104</v>
      </c>
      <c r="C774">
        <v>100005004</v>
      </c>
      <c r="D774" t="s">
        <v>68</v>
      </c>
      <c r="E774" t="s">
        <v>21</v>
      </c>
      <c r="F774" s="15">
        <v>4000</v>
      </c>
    </row>
    <row r="775" spans="1:6">
      <c r="A775" s="19">
        <v>46147</v>
      </c>
      <c r="B775" t="s">
        <v>104</v>
      </c>
      <c r="C775">
        <v>100005005</v>
      </c>
      <c r="D775" t="s">
        <v>69</v>
      </c>
      <c r="E775" t="s">
        <v>21</v>
      </c>
      <c r="F775" s="15">
        <v>4000</v>
      </c>
    </row>
    <row r="776" spans="1:6">
      <c r="A776" s="19">
        <v>46147</v>
      </c>
      <c r="B776" t="s">
        <v>104</v>
      </c>
      <c r="C776">
        <v>100005006</v>
      </c>
      <c r="D776" t="s">
        <v>65</v>
      </c>
      <c r="E776" t="s">
        <v>22</v>
      </c>
      <c r="F776" s="15">
        <v>4000</v>
      </c>
    </row>
    <row r="777" spans="1:6">
      <c r="A777" s="19">
        <v>46147</v>
      </c>
      <c r="B777" t="s">
        <v>104</v>
      </c>
      <c r="C777">
        <v>100005009</v>
      </c>
      <c r="D777" t="s">
        <v>70</v>
      </c>
      <c r="E777" t="s">
        <v>22</v>
      </c>
      <c r="F777" s="15">
        <v>4000</v>
      </c>
    </row>
    <row r="778" spans="1:6">
      <c r="A778" s="19">
        <v>46147</v>
      </c>
      <c r="B778" t="s">
        <v>104</v>
      </c>
      <c r="C778">
        <v>100005010</v>
      </c>
      <c r="D778" t="s">
        <v>70</v>
      </c>
      <c r="E778" t="s">
        <v>22</v>
      </c>
      <c r="F778" s="15">
        <v>4000</v>
      </c>
    </row>
    <row r="779" spans="1:6">
      <c r="A779" s="19">
        <v>46147</v>
      </c>
      <c r="B779" t="s">
        <v>104</v>
      </c>
      <c r="C779">
        <v>100005011</v>
      </c>
      <c r="D779" t="s">
        <v>70</v>
      </c>
      <c r="E779" t="s">
        <v>22</v>
      </c>
      <c r="F779" s="15">
        <v>4000</v>
      </c>
    </row>
    <row r="780" spans="1:6">
      <c r="A780" s="19">
        <v>46147</v>
      </c>
      <c r="B780" t="s">
        <v>104</v>
      </c>
      <c r="C780">
        <v>100005012</v>
      </c>
      <c r="D780" t="s">
        <v>70</v>
      </c>
      <c r="E780" t="s">
        <v>22</v>
      </c>
      <c r="F780" s="15">
        <v>4000</v>
      </c>
    </row>
    <row r="781" spans="1:6" ht="16" customHeight="1">
      <c r="A781" s="19">
        <v>46147</v>
      </c>
      <c r="B781" t="s">
        <v>104</v>
      </c>
      <c r="C781">
        <v>100005007</v>
      </c>
      <c r="D781" t="s">
        <v>67</v>
      </c>
      <c r="E781" t="s">
        <v>22</v>
      </c>
      <c r="F781" s="15">
        <v>4000</v>
      </c>
    </row>
    <row r="782" spans="1:6">
      <c r="A782" s="19">
        <v>46147</v>
      </c>
      <c r="B782" t="s">
        <v>104</v>
      </c>
      <c r="C782">
        <v>100005008</v>
      </c>
      <c r="D782" t="s">
        <v>69</v>
      </c>
      <c r="E782" t="s">
        <v>22</v>
      </c>
      <c r="F782" s="15">
        <v>4000</v>
      </c>
    </row>
    <row r="783" spans="1:6">
      <c r="A783" s="19">
        <v>46147</v>
      </c>
      <c r="B783" t="s">
        <v>104</v>
      </c>
      <c r="C783">
        <v>100005000</v>
      </c>
      <c r="D783" t="s">
        <v>71</v>
      </c>
      <c r="E783" t="s">
        <v>83</v>
      </c>
      <c r="F783" s="15">
        <v>4000</v>
      </c>
    </row>
    <row r="784" spans="1:6">
      <c r="A784" s="19">
        <v>46178</v>
      </c>
      <c r="B784" t="s">
        <v>104</v>
      </c>
      <c r="C784">
        <v>100005001</v>
      </c>
      <c r="D784" t="s">
        <v>65</v>
      </c>
      <c r="E784" t="s">
        <v>21</v>
      </c>
      <c r="F784" s="15">
        <v>3800</v>
      </c>
    </row>
    <row r="785" spans="1:6">
      <c r="A785" s="19">
        <v>46178</v>
      </c>
      <c r="B785" t="s">
        <v>104</v>
      </c>
      <c r="C785">
        <v>100005002</v>
      </c>
      <c r="D785" t="s">
        <v>66</v>
      </c>
      <c r="E785" t="s">
        <v>21</v>
      </c>
      <c r="F785" s="15">
        <v>3800</v>
      </c>
    </row>
    <row r="786" spans="1:6">
      <c r="A786" s="19">
        <v>46178</v>
      </c>
      <c r="B786" t="s">
        <v>104</v>
      </c>
      <c r="C786">
        <v>100005003</v>
      </c>
      <c r="D786" t="s">
        <v>67</v>
      </c>
      <c r="E786" t="s">
        <v>21</v>
      </c>
      <c r="F786" s="15">
        <v>3800</v>
      </c>
    </row>
    <row r="787" spans="1:6">
      <c r="A787" s="19">
        <v>46178</v>
      </c>
      <c r="B787" t="s">
        <v>104</v>
      </c>
      <c r="C787">
        <v>100005004</v>
      </c>
      <c r="D787" t="s">
        <v>68</v>
      </c>
      <c r="E787" t="s">
        <v>21</v>
      </c>
      <c r="F787" s="15">
        <v>3800</v>
      </c>
    </row>
    <row r="788" spans="1:6">
      <c r="A788" s="19">
        <v>46178</v>
      </c>
      <c r="B788" t="s">
        <v>104</v>
      </c>
      <c r="C788">
        <v>100005005</v>
      </c>
      <c r="D788" t="s">
        <v>69</v>
      </c>
      <c r="E788" t="s">
        <v>21</v>
      </c>
      <c r="F788" s="15">
        <v>3800</v>
      </c>
    </row>
    <row r="789" spans="1:6">
      <c r="A789" s="19">
        <v>46178</v>
      </c>
      <c r="B789" t="s">
        <v>104</v>
      </c>
      <c r="C789">
        <v>100005006</v>
      </c>
      <c r="D789" t="s">
        <v>65</v>
      </c>
      <c r="E789" t="s">
        <v>22</v>
      </c>
      <c r="F789" s="15">
        <v>3800</v>
      </c>
    </row>
    <row r="790" spans="1:6">
      <c r="A790" s="19">
        <v>46178</v>
      </c>
      <c r="B790" t="s">
        <v>104</v>
      </c>
      <c r="C790">
        <v>100005009</v>
      </c>
      <c r="D790" t="s">
        <v>70</v>
      </c>
      <c r="E790" t="s">
        <v>22</v>
      </c>
      <c r="F790" s="15">
        <v>3800</v>
      </c>
    </row>
    <row r="791" spans="1:6">
      <c r="A791" s="19">
        <v>46178</v>
      </c>
      <c r="B791" t="s">
        <v>104</v>
      </c>
      <c r="C791">
        <v>100005010</v>
      </c>
      <c r="D791" t="s">
        <v>70</v>
      </c>
      <c r="E791" t="s">
        <v>22</v>
      </c>
      <c r="F791" s="15">
        <v>3800</v>
      </c>
    </row>
    <row r="792" spans="1:6">
      <c r="A792" s="19">
        <v>46178</v>
      </c>
      <c r="B792" t="s">
        <v>104</v>
      </c>
      <c r="C792">
        <v>100005011</v>
      </c>
      <c r="D792" t="s">
        <v>70</v>
      </c>
      <c r="E792" t="s">
        <v>22</v>
      </c>
      <c r="F792" s="15">
        <v>3800</v>
      </c>
    </row>
    <row r="793" spans="1:6">
      <c r="A793" s="19">
        <v>46178</v>
      </c>
      <c r="B793" t="s">
        <v>104</v>
      </c>
      <c r="C793">
        <v>100005012</v>
      </c>
      <c r="D793" t="s">
        <v>70</v>
      </c>
      <c r="E793" t="s">
        <v>22</v>
      </c>
      <c r="F793" s="15">
        <v>3800</v>
      </c>
    </row>
    <row r="794" spans="1:6">
      <c r="A794" s="19">
        <v>46178</v>
      </c>
      <c r="B794" t="s">
        <v>104</v>
      </c>
      <c r="C794">
        <v>100005013</v>
      </c>
      <c r="D794" t="s">
        <v>70</v>
      </c>
      <c r="E794" t="s">
        <v>22</v>
      </c>
      <c r="F794" s="15">
        <v>3800</v>
      </c>
    </row>
    <row r="795" spans="1:6">
      <c r="A795" s="19">
        <v>46178</v>
      </c>
      <c r="B795" t="s">
        <v>104</v>
      </c>
      <c r="C795">
        <v>100005007</v>
      </c>
      <c r="D795" t="s">
        <v>67</v>
      </c>
      <c r="E795" t="s">
        <v>22</v>
      </c>
      <c r="F795" s="15">
        <v>3800</v>
      </c>
    </row>
    <row r="796" spans="1:6">
      <c r="A796" s="19">
        <v>46178</v>
      </c>
      <c r="B796" t="s">
        <v>104</v>
      </c>
      <c r="C796">
        <v>100005008</v>
      </c>
      <c r="D796" t="s">
        <v>69</v>
      </c>
      <c r="E796" t="s">
        <v>22</v>
      </c>
      <c r="F796" s="15">
        <v>3800</v>
      </c>
    </row>
    <row r="797" spans="1:6">
      <c r="A797" s="19">
        <v>46178</v>
      </c>
      <c r="B797" t="s">
        <v>104</v>
      </c>
      <c r="C797">
        <v>100005000</v>
      </c>
      <c r="D797" t="s">
        <v>71</v>
      </c>
      <c r="E797" t="s">
        <v>83</v>
      </c>
      <c r="F797" s="15">
        <v>3800</v>
      </c>
    </row>
    <row r="798" spans="1:6">
      <c r="A798" s="19">
        <v>46208</v>
      </c>
      <c r="B798" t="s">
        <v>104</v>
      </c>
      <c r="C798">
        <v>100005001</v>
      </c>
      <c r="D798" t="s">
        <v>65</v>
      </c>
      <c r="E798" t="s">
        <v>21</v>
      </c>
      <c r="F798" s="15">
        <v>4600</v>
      </c>
    </row>
    <row r="799" spans="1:6">
      <c r="A799" s="19">
        <v>46208</v>
      </c>
      <c r="B799" t="s">
        <v>104</v>
      </c>
      <c r="C799">
        <v>100005002</v>
      </c>
      <c r="D799" t="s">
        <v>66</v>
      </c>
      <c r="E799" t="s">
        <v>21</v>
      </c>
      <c r="F799" s="15">
        <v>4600</v>
      </c>
    </row>
    <row r="800" spans="1:6">
      <c r="A800" s="19">
        <v>46208</v>
      </c>
      <c r="B800" t="s">
        <v>104</v>
      </c>
      <c r="C800">
        <v>100005003</v>
      </c>
      <c r="D800" t="s">
        <v>67</v>
      </c>
      <c r="E800" t="s">
        <v>21</v>
      </c>
      <c r="F800" s="15">
        <v>4600</v>
      </c>
    </row>
    <row r="801" spans="1:6">
      <c r="A801" s="19">
        <v>46208</v>
      </c>
      <c r="B801" t="s">
        <v>104</v>
      </c>
      <c r="C801">
        <v>100005004</v>
      </c>
      <c r="D801" t="s">
        <v>68</v>
      </c>
      <c r="E801" t="s">
        <v>21</v>
      </c>
      <c r="F801" s="15">
        <v>4600</v>
      </c>
    </row>
    <row r="802" spans="1:6">
      <c r="A802" s="19">
        <v>46208</v>
      </c>
      <c r="B802" t="s">
        <v>104</v>
      </c>
      <c r="C802">
        <v>100005005</v>
      </c>
      <c r="D802" t="s">
        <v>69</v>
      </c>
      <c r="E802" t="s">
        <v>21</v>
      </c>
      <c r="F802" s="15">
        <v>4600</v>
      </c>
    </row>
    <row r="803" spans="1:6">
      <c r="A803" s="19">
        <v>46208</v>
      </c>
      <c r="B803" t="s">
        <v>104</v>
      </c>
      <c r="C803">
        <v>100005006</v>
      </c>
      <c r="D803" t="s">
        <v>65</v>
      </c>
      <c r="E803" t="s">
        <v>22</v>
      </c>
      <c r="F803" s="15">
        <v>4600</v>
      </c>
    </row>
    <row r="804" spans="1:6">
      <c r="A804" s="19">
        <v>46208</v>
      </c>
      <c r="B804" t="s">
        <v>104</v>
      </c>
      <c r="C804">
        <v>100005009</v>
      </c>
      <c r="D804" t="s">
        <v>70</v>
      </c>
      <c r="E804" t="s">
        <v>22</v>
      </c>
      <c r="F804" s="15">
        <v>4600</v>
      </c>
    </row>
    <row r="805" spans="1:6">
      <c r="A805" s="19">
        <v>46208</v>
      </c>
      <c r="B805" t="s">
        <v>104</v>
      </c>
      <c r="C805">
        <v>100005010</v>
      </c>
      <c r="D805" t="s">
        <v>70</v>
      </c>
      <c r="E805" t="s">
        <v>22</v>
      </c>
      <c r="F805" s="15">
        <v>4600</v>
      </c>
    </row>
    <row r="806" spans="1:6">
      <c r="A806" s="19">
        <v>46208</v>
      </c>
      <c r="B806" t="s">
        <v>104</v>
      </c>
      <c r="C806">
        <v>100005011</v>
      </c>
      <c r="D806" t="s">
        <v>70</v>
      </c>
      <c r="E806" t="s">
        <v>22</v>
      </c>
      <c r="F806" s="15">
        <v>4600</v>
      </c>
    </row>
    <row r="807" spans="1:6">
      <c r="A807" s="19">
        <v>46208</v>
      </c>
      <c r="B807" t="s">
        <v>104</v>
      </c>
      <c r="C807">
        <v>100005012</v>
      </c>
      <c r="D807" t="s">
        <v>70</v>
      </c>
      <c r="E807" t="s">
        <v>22</v>
      </c>
      <c r="F807" s="15">
        <v>4600</v>
      </c>
    </row>
    <row r="808" spans="1:6">
      <c r="A808" s="19">
        <v>46208</v>
      </c>
      <c r="B808" t="s">
        <v>104</v>
      </c>
      <c r="C808">
        <v>100005013</v>
      </c>
      <c r="D808" t="s">
        <v>70</v>
      </c>
      <c r="E808" t="s">
        <v>22</v>
      </c>
      <c r="F808" s="15">
        <v>4600</v>
      </c>
    </row>
    <row r="809" spans="1:6">
      <c r="A809" s="19">
        <v>46208</v>
      </c>
      <c r="B809" t="s">
        <v>104</v>
      </c>
      <c r="C809">
        <v>100005014</v>
      </c>
      <c r="D809" t="s">
        <v>70</v>
      </c>
      <c r="E809" t="s">
        <v>22</v>
      </c>
      <c r="F809" s="15">
        <v>4600</v>
      </c>
    </row>
    <row r="810" spans="1:6">
      <c r="A810" s="19">
        <v>46208</v>
      </c>
      <c r="B810" t="s">
        <v>104</v>
      </c>
      <c r="C810">
        <v>100005007</v>
      </c>
      <c r="D810" t="s">
        <v>67</v>
      </c>
      <c r="E810" t="s">
        <v>22</v>
      </c>
      <c r="F810" s="15">
        <v>4600</v>
      </c>
    </row>
    <row r="811" spans="1:6">
      <c r="A811" s="19">
        <v>46208</v>
      </c>
      <c r="B811" t="s">
        <v>104</v>
      </c>
      <c r="C811">
        <v>100005008</v>
      </c>
      <c r="D811" t="s">
        <v>69</v>
      </c>
      <c r="E811" t="s">
        <v>22</v>
      </c>
      <c r="F811" s="15">
        <v>4600</v>
      </c>
    </row>
    <row r="812" spans="1:6">
      <c r="A812" s="19">
        <v>46208</v>
      </c>
      <c r="B812" t="s">
        <v>104</v>
      </c>
      <c r="C812">
        <v>100005000</v>
      </c>
      <c r="D812" t="s">
        <v>71</v>
      </c>
      <c r="E812" t="s">
        <v>83</v>
      </c>
      <c r="F812" s="15">
        <v>4600</v>
      </c>
    </row>
    <row r="813" spans="1:6">
      <c r="A813" s="19">
        <v>46239</v>
      </c>
      <c r="B813" t="s">
        <v>104</v>
      </c>
      <c r="C813">
        <v>100005001</v>
      </c>
      <c r="D813" t="s">
        <v>65</v>
      </c>
      <c r="E813" t="s">
        <v>21</v>
      </c>
      <c r="F813" s="15">
        <v>4400</v>
      </c>
    </row>
    <row r="814" spans="1:6">
      <c r="A814" s="19">
        <v>46239</v>
      </c>
      <c r="B814" t="s">
        <v>104</v>
      </c>
      <c r="C814">
        <v>100005002</v>
      </c>
      <c r="D814" t="s">
        <v>66</v>
      </c>
      <c r="E814" t="s">
        <v>21</v>
      </c>
      <c r="F814" s="15">
        <v>4400</v>
      </c>
    </row>
    <row r="815" spans="1:6">
      <c r="A815" s="19">
        <v>46239</v>
      </c>
      <c r="B815" t="s">
        <v>104</v>
      </c>
      <c r="C815">
        <v>100005003</v>
      </c>
      <c r="D815" t="s">
        <v>67</v>
      </c>
      <c r="E815" t="s">
        <v>21</v>
      </c>
      <c r="F815" s="15">
        <v>4400</v>
      </c>
    </row>
    <row r="816" spans="1:6">
      <c r="A816" s="19">
        <v>46239</v>
      </c>
      <c r="B816" t="s">
        <v>104</v>
      </c>
      <c r="C816">
        <v>100005004</v>
      </c>
      <c r="D816" t="s">
        <v>68</v>
      </c>
      <c r="E816" t="s">
        <v>21</v>
      </c>
      <c r="F816" s="15">
        <v>4400</v>
      </c>
    </row>
    <row r="817" spans="1:6">
      <c r="A817" s="19">
        <v>46239</v>
      </c>
      <c r="B817" t="s">
        <v>104</v>
      </c>
      <c r="C817">
        <v>100005005</v>
      </c>
      <c r="D817" t="s">
        <v>69</v>
      </c>
      <c r="E817" t="s">
        <v>21</v>
      </c>
      <c r="F817" s="15">
        <v>4400</v>
      </c>
    </row>
    <row r="818" spans="1:6">
      <c r="A818" s="19">
        <v>46239</v>
      </c>
      <c r="B818" t="s">
        <v>104</v>
      </c>
      <c r="C818">
        <v>100005006</v>
      </c>
      <c r="D818" t="s">
        <v>65</v>
      </c>
      <c r="E818" t="s">
        <v>22</v>
      </c>
      <c r="F818" s="15">
        <v>4400</v>
      </c>
    </row>
    <row r="819" spans="1:6">
      <c r="A819" s="19">
        <v>46239</v>
      </c>
      <c r="B819" t="s">
        <v>104</v>
      </c>
      <c r="C819">
        <v>100005009</v>
      </c>
      <c r="D819" t="s">
        <v>70</v>
      </c>
      <c r="E819" t="s">
        <v>22</v>
      </c>
      <c r="F819" s="15">
        <v>4400</v>
      </c>
    </row>
    <row r="820" spans="1:6">
      <c r="A820" s="19">
        <v>46239</v>
      </c>
      <c r="B820" t="s">
        <v>104</v>
      </c>
      <c r="C820">
        <v>100005010</v>
      </c>
      <c r="D820" t="s">
        <v>70</v>
      </c>
      <c r="E820" t="s">
        <v>22</v>
      </c>
      <c r="F820" s="15">
        <v>4400</v>
      </c>
    </row>
    <row r="821" spans="1:6">
      <c r="A821" s="19">
        <v>46239</v>
      </c>
      <c r="B821" t="s">
        <v>104</v>
      </c>
      <c r="C821">
        <v>100005011</v>
      </c>
      <c r="D821" t="s">
        <v>70</v>
      </c>
      <c r="E821" t="s">
        <v>22</v>
      </c>
      <c r="F821" s="15">
        <v>4400</v>
      </c>
    </row>
    <row r="822" spans="1:6">
      <c r="A822" s="19">
        <v>46239</v>
      </c>
      <c r="B822" t="s">
        <v>104</v>
      </c>
      <c r="C822">
        <v>100005012</v>
      </c>
      <c r="D822" t="s">
        <v>70</v>
      </c>
      <c r="E822" t="s">
        <v>22</v>
      </c>
      <c r="F822" s="15">
        <v>4400</v>
      </c>
    </row>
    <row r="823" spans="1:6">
      <c r="A823" s="19">
        <v>46239</v>
      </c>
      <c r="B823" t="s">
        <v>104</v>
      </c>
      <c r="C823">
        <v>100005013</v>
      </c>
      <c r="D823" t="s">
        <v>70</v>
      </c>
      <c r="E823" t="s">
        <v>22</v>
      </c>
      <c r="F823" s="15">
        <v>4400</v>
      </c>
    </row>
    <row r="824" spans="1:6">
      <c r="A824" s="19">
        <v>46239</v>
      </c>
      <c r="B824" t="s">
        <v>104</v>
      </c>
      <c r="C824">
        <v>100005014</v>
      </c>
      <c r="D824" t="s">
        <v>70</v>
      </c>
      <c r="E824" t="s">
        <v>22</v>
      </c>
      <c r="F824" s="15">
        <v>4400</v>
      </c>
    </row>
    <row r="825" spans="1:6">
      <c r="A825" s="19">
        <v>46239</v>
      </c>
      <c r="B825" t="s">
        <v>104</v>
      </c>
      <c r="C825">
        <v>100005015</v>
      </c>
      <c r="D825" t="s">
        <v>70</v>
      </c>
      <c r="E825" t="s">
        <v>22</v>
      </c>
      <c r="F825" s="15">
        <v>4400</v>
      </c>
    </row>
    <row r="826" spans="1:6">
      <c r="A826" s="19">
        <v>46239</v>
      </c>
      <c r="B826" t="s">
        <v>104</v>
      </c>
      <c r="C826">
        <v>100005007</v>
      </c>
      <c r="D826" t="s">
        <v>67</v>
      </c>
      <c r="E826" t="s">
        <v>22</v>
      </c>
      <c r="F826" s="15">
        <v>4400</v>
      </c>
    </row>
    <row r="827" spans="1:6">
      <c r="A827" s="19">
        <v>46239</v>
      </c>
      <c r="B827" t="s">
        <v>104</v>
      </c>
      <c r="C827">
        <v>100005008</v>
      </c>
      <c r="D827" t="s">
        <v>69</v>
      </c>
      <c r="E827" t="s">
        <v>22</v>
      </c>
      <c r="F827" s="15">
        <v>4400</v>
      </c>
    </row>
    <row r="828" spans="1:6">
      <c r="A828" s="19">
        <v>46239</v>
      </c>
      <c r="B828" t="s">
        <v>104</v>
      </c>
      <c r="C828">
        <v>100005000</v>
      </c>
      <c r="D828" t="s">
        <v>71</v>
      </c>
      <c r="E828" t="s">
        <v>83</v>
      </c>
      <c r="F828" s="15">
        <v>4400</v>
      </c>
    </row>
    <row r="829" spans="1:6">
      <c r="A829" s="19">
        <v>46270</v>
      </c>
      <c r="B829" t="s">
        <v>104</v>
      </c>
      <c r="C829">
        <v>100005001</v>
      </c>
      <c r="D829" t="s">
        <v>65</v>
      </c>
      <c r="E829" t="s">
        <v>21</v>
      </c>
      <c r="F829" s="15">
        <v>4200</v>
      </c>
    </row>
    <row r="830" spans="1:6">
      <c r="A830" s="19">
        <v>46270</v>
      </c>
      <c r="B830" t="s">
        <v>104</v>
      </c>
      <c r="C830">
        <v>100005002</v>
      </c>
      <c r="D830" t="s">
        <v>66</v>
      </c>
      <c r="E830" t="s">
        <v>21</v>
      </c>
      <c r="F830" s="15">
        <v>4200</v>
      </c>
    </row>
    <row r="831" spans="1:6">
      <c r="A831" s="19">
        <v>46270</v>
      </c>
      <c r="B831" t="s">
        <v>104</v>
      </c>
      <c r="C831">
        <v>100005003</v>
      </c>
      <c r="D831" t="s">
        <v>67</v>
      </c>
      <c r="E831" t="s">
        <v>21</v>
      </c>
      <c r="F831" s="15">
        <v>4200</v>
      </c>
    </row>
    <row r="832" spans="1:6">
      <c r="A832" s="19">
        <v>46270</v>
      </c>
      <c r="B832" t="s">
        <v>104</v>
      </c>
      <c r="C832">
        <v>100005004</v>
      </c>
      <c r="D832" t="s">
        <v>68</v>
      </c>
      <c r="E832" t="s">
        <v>21</v>
      </c>
      <c r="F832" s="15">
        <v>4200</v>
      </c>
    </row>
    <row r="833" spans="1:6">
      <c r="A833" s="19">
        <v>46270</v>
      </c>
      <c r="B833" t="s">
        <v>104</v>
      </c>
      <c r="C833">
        <v>100005005</v>
      </c>
      <c r="D833" t="s">
        <v>69</v>
      </c>
      <c r="E833" t="s">
        <v>21</v>
      </c>
      <c r="F833" s="15">
        <v>4200</v>
      </c>
    </row>
    <row r="834" spans="1:6">
      <c r="A834" s="19">
        <v>46270</v>
      </c>
      <c r="B834" t="s">
        <v>104</v>
      </c>
      <c r="C834">
        <v>100005006</v>
      </c>
      <c r="D834" t="s">
        <v>65</v>
      </c>
      <c r="E834" t="s">
        <v>22</v>
      </c>
      <c r="F834" s="15">
        <v>4200</v>
      </c>
    </row>
    <row r="835" spans="1:6">
      <c r="A835" s="19">
        <v>46270</v>
      </c>
      <c r="B835" t="s">
        <v>104</v>
      </c>
      <c r="C835">
        <v>100005009</v>
      </c>
      <c r="D835" t="s">
        <v>70</v>
      </c>
      <c r="E835" t="s">
        <v>22</v>
      </c>
      <c r="F835" s="15">
        <v>4200</v>
      </c>
    </row>
    <row r="836" spans="1:6">
      <c r="A836" s="19">
        <v>46270</v>
      </c>
      <c r="B836" t="s">
        <v>104</v>
      </c>
      <c r="C836">
        <v>100005010</v>
      </c>
      <c r="D836" t="s">
        <v>70</v>
      </c>
      <c r="E836" t="s">
        <v>22</v>
      </c>
      <c r="F836" s="15">
        <v>4200</v>
      </c>
    </row>
    <row r="837" spans="1:6">
      <c r="A837" s="19">
        <v>46270</v>
      </c>
      <c r="B837" t="s">
        <v>104</v>
      </c>
      <c r="C837">
        <v>100005011</v>
      </c>
      <c r="D837" t="s">
        <v>70</v>
      </c>
      <c r="E837" t="s">
        <v>22</v>
      </c>
      <c r="F837" s="15">
        <v>4200</v>
      </c>
    </row>
    <row r="838" spans="1:6">
      <c r="A838" s="19">
        <v>46270</v>
      </c>
      <c r="B838" t="s">
        <v>104</v>
      </c>
      <c r="C838">
        <v>100005012</v>
      </c>
      <c r="D838" t="s">
        <v>70</v>
      </c>
      <c r="E838" t="s">
        <v>22</v>
      </c>
      <c r="F838" s="15">
        <v>4200</v>
      </c>
    </row>
    <row r="839" spans="1:6">
      <c r="A839" s="19">
        <v>46270</v>
      </c>
      <c r="B839" t="s">
        <v>104</v>
      </c>
      <c r="C839">
        <v>100005013</v>
      </c>
      <c r="D839" t="s">
        <v>70</v>
      </c>
      <c r="E839" t="s">
        <v>22</v>
      </c>
      <c r="F839" s="15">
        <v>4200</v>
      </c>
    </row>
    <row r="840" spans="1:6">
      <c r="A840" s="19">
        <v>46270</v>
      </c>
      <c r="B840" t="s">
        <v>104</v>
      </c>
      <c r="C840">
        <v>100005014</v>
      </c>
      <c r="D840" t="s">
        <v>70</v>
      </c>
      <c r="E840" t="s">
        <v>22</v>
      </c>
      <c r="F840" s="15">
        <v>4200</v>
      </c>
    </row>
    <row r="841" spans="1:6">
      <c r="A841" s="19">
        <v>46270</v>
      </c>
      <c r="B841" t="s">
        <v>104</v>
      </c>
      <c r="C841">
        <v>100005015</v>
      </c>
      <c r="D841" t="s">
        <v>70</v>
      </c>
      <c r="E841" t="s">
        <v>22</v>
      </c>
      <c r="F841" s="15">
        <v>4200</v>
      </c>
    </row>
    <row r="842" spans="1:6">
      <c r="A842" s="19">
        <v>46270</v>
      </c>
      <c r="B842" t="s">
        <v>104</v>
      </c>
      <c r="C842">
        <v>100005016</v>
      </c>
      <c r="D842" t="s">
        <v>70</v>
      </c>
      <c r="E842" t="s">
        <v>22</v>
      </c>
      <c r="F842" s="15">
        <v>4200</v>
      </c>
    </row>
    <row r="843" spans="1:6">
      <c r="A843" s="19">
        <v>46270</v>
      </c>
      <c r="B843" t="s">
        <v>104</v>
      </c>
      <c r="C843">
        <v>100005007</v>
      </c>
      <c r="D843" t="s">
        <v>67</v>
      </c>
      <c r="E843" t="s">
        <v>22</v>
      </c>
      <c r="F843" s="15">
        <v>4200</v>
      </c>
    </row>
    <row r="844" spans="1:6">
      <c r="A844" s="19">
        <v>46270</v>
      </c>
      <c r="B844" t="s">
        <v>104</v>
      </c>
      <c r="C844">
        <v>100005008</v>
      </c>
      <c r="D844" t="s">
        <v>69</v>
      </c>
      <c r="E844" t="s">
        <v>22</v>
      </c>
      <c r="F844" s="15">
        <v>4200</v>
      </c>
    </row>
    <row r="845" spans="1:6">
      <c r="A845" s="19">
        <v>46270</v>
      </c>
      <c r="B845" t="s">
        <v>104</v>
      </c>
      <c r="C845">
        <v>100005000</v>
      </c>
      <c r="D845" t="s">
        <v>71</v>
      </c>
      <c r="E845" t="s">
        <v>83</v>
      </c>
      <c r="F845" s="15">
        <v>4200</v>
      </c>
    </row>
    <row r="846" spans="1:6">
      <c r="A846" s="19">
        <v>46300</v>
      </c>
      <c r="B846" t="s">
        <v>104</v>
      </c>
      <c r="C846">
        <v>100005001</v>
      </c>
      <c r="D846" t="s">
        <v>65</v>
      </c>
      <c r="E846" t="s">
        <v>21</v>
      </c>
      <c r="F846" s="15">
        <v>4600</v>
      </c>
    </row>
    <row r="847" spans="1:6">
      <c r="A847" s="19">
        <v>46300</v>
      </c>
      <c r="B847" t="s">
        <v>104</v>
      </c>
      <c r="C847">
        <v>100005002</v>
      </c>
      <c r="D847" t="s">
        <v>66</v>
      </c>
      <c r="E847" t="s">
        <v>21</v>
      </c>
      <c r="F847" s="15">
        <v>4600</v>
      </c>
    </row>
    <row r="848" spans="1:6">
      <c r="A848" s="19">
        <v>46300</v>
      </c>
      <c r="B848" t="s">
        <v>104</v>
      </c>
      <c r="C848">
        <v>100005003</v>
      </c>
      <c r="D848" t="s">
        <v>67</v>
      </c>
      <c r="E848" t="s">
        <v>21</v>
      </c>
      <c r="F848" s="15">
        <v>4600</v>
      </c>
    </row>
    <row r="849" spans="1:6">
      <c r="A849" s="19">
        <v>46300</v>
      </c>
      <c r="B849" t="s">
        <v>104</v>
      </c>
      <c r="C849">
        <v>100005004</v>
      </c>
      <c r="D849" t="s">
        <v>68</v>
      </c>
      <c r="E849" t="s">
        <v>21</v>
      </c>
      <c r="F849" s="15">
        <v>4600</v>
      </c>
    </row>
    <row r="850" spans="1:6">
      <c r="A850" s="19">
        <v>46300</v>
      </c>
      <c r="B850" t="s">
        <v>104</v>
      </c>
      <c r="C850">
        <v>100005005</v>
      </c>
      <c r="D850" t="s">
        <v>69</v>
      </c>
      <c r="E850" t="s">
        <v>21</v>
      </c>
      <c r="F850" s="15">
        <v>4600</v>
      </c>
    </row>
    <row r="851" spans="1:6">
      <c r="A851" s="19">
        <v>46300</v>
      </c>
      <c r="B851" t="s">
        <v>104</v>
      </c>
      <c r="C851">
        <v>100005006</v>
      </c>
      <c r="D851" t="s">
        <v>65</v>
      </c>
      <c r="E851" t="s">
        <v>22</v>
      </c>
      <c r="F851" s="15">
        <v>4600</v>
      </c>
    </row>
    <row r="852" spans="1:6">
      <c r="A852" s="19">
        <v>46300</v>
      </c>
      <c r="B852" t="s">
        <v>104</v>
      </c>
      <c r="C852">
        <v>100005009</v>
      </c>
      <c r="D852" t="s">
        <v>70</v>
      </c>
      <c r="E852" t="s">
        <v>22</v>
      </c>
      <c r="F852" s="15">
        <v>4600</v>
      </c>
    </row>
    <row r="853" spans="1:6">
      <c r="A853" s="19">
        <v>46300</v>
      </c>
      <c r="B853" t="s">
        <v>104</v>
      </c>
      <c r="C853">
        <v>100005010</v>
      </c>
      <c r="D853" t="s">
        <v>70</v>
      </c>
      <c r="E853" t="s">
        <v>22</v>
      </c>
      <c r="F853" s="15">
        <v>4600</v>
      </c>
    </row>
    <row r="854" spans="1:6">
      <c r="A854" s="19">
        <v>46300</v>
      </c>
      <c r="B854" t="s">
        <v>104</v>
      </c>
      <c r="C854">
        <v>100005011</v>
      </c>
      <c r="D854" t="s">
        <v>70</v>
      </c>
      <c r="E854" t="s">
        <v>22</v>
      </c>
      <c r="F854" s="15">
        <v>4600</v>
      </c>
    </row>
    <row r="855" spans="1:6">
      <c r="A855" s="19">
        <v>46300</v>
      </c>
      <c r="B855" t="s">
        <v>104</v>
      </c>
      <c r="C855">
        <v>100005012</v>
      </c>
      <c r="D855" t="s">
        <v>70</v>
      </c>
      <c r="E855" t="s">
        <v>22</v>
      </c>
      <c r="F855" s="15">
        <v>4600</v>
      </c>
    </row>
    <row r="856" spans="1:6">
      <c r="A856" s="19">
        <v>46300</v>
      </c>
      <c r="B856" t="s">
        <v>104</v>
      </c>
      <c r="C856">
        <v>100005013</v>
      </c>
      <c r="D856" t="s">
        <v>70</v>
      </c>
      <c r="E856" t="s">
        <v>22</v>
      </c>
      <c r="F856" s="15">
        <v>4600</v>
      </c>
    </row>
    <row r="857" spans="1:6">
      <c r="A857" s="19">
        <v>46300</v>
      </c>
      <c r="B857" t="s">
        <v>104</v>
      </c>
      <c r="C857">
        <v>100005014</v>
      </c>
      <c r="D857" t="s">
        <v>70</v>
      </c>
      <c r="E857" t="s">
        <v>22</v>
      </c>
      <c r="F857" s="15">
        <v>4600</v>
      </c>
    </row>
    <row r="858" spans="1:6">
      <c r="A858" s="19">
        <v>46300</v>
      </c>
      <c r="B858" t="s">
        <v>104</v>
      </c>
      <c r="C858">
        <v>100005015</v>
      </c>
      <c r="D858" t="s">
        <v>70</v>
      </c>
      <c r="E858" t="s">
        <v>22</v>
      </c>
      <c r="F858" s="15">
        <v>4600</v>
      </c>
    </row>
    <row r="859" spans="1:6">
      <c r="A859" s="19">
        <v>46300</v>
      </c>
      <c r="B859" t="s">
        <v>104</v>
      </c>
      <c r="C859">
        <v>100005016</v>
      </c>
      <c r="D859" t="s">
        <v>70</v>
      </c>
      <c r="E859" t="s">
        <v>22</v>
      </c>
      <c r="F859" s="15">
        <v>4600</v>
      </c>
    </row>
    <row r="860" spans="1:6">
      <c r="A860" s="19">
        <v>46300</v>
      </c>
      <c r="B860" t="s">
        <v>104</v>
      </c>
      <c r="C860">
        <v>100005017</v>
      </c>
      <c r="D860" t="s">
        <v>70</v>
      </c>
      <c r="E860" t="s">
        <v>22</v>
      </c>
      <c r="F860" s="15">
        <v>4600</v>
      </c>
    </row>
    <row r="861" spans="1:6">
      <c r="A861" s="19">
        <v>46300</v>
      </c>
      <c r="B861" t="s">
        <v>104</v>
      </c>
      <c r="C861">
        <v>100005007</v>
      </c>
      <c r="D861" t="s">
        <v>67</v>
      </c>
      <c r="E861" t="s">
        <v>22</v>
      </c>
      <c r="F861" s="15">
        <v>4600</v>
      </c>
    </row>
    <row r="862" spans="1:6">
      <c r="A862" s="19">
        <v>46300</v>
      </c>
      <c r="B862" t="s">
        <v>104</v>
      </c>
      <c r="C862">
        <v>100005008</v>
      </c>
      <c r="D862" t="s">
        <v>69</v>
      </c>
      <c r="E862" t="s">
        <v>22</v>
      </c>
      <c r="F862" s="15">
        <v>4600</v>
      </c>
    </row>
    <row r="863" spans="1:6">
      <c r="A863" s="19">
        <v>46300</v>
      </c>
      <c r="B863" t="s">
        <v>104</v>
      </c>
      <c r="C863">
        <v>100005000</v>
      </c>
      <c r="D863" t="s">
        <v>71</v>
      </c>
      <c r="E863" t="s">
        <v>83</v>
      </c>
      <c r="F863" s="15">
        <v>4600</v>
      </c>
    </row>
    <row r="864" spans="1:6">
      <c r="A864" s="19">
        <v>46331</v>
      </c>
      <c r="B864" t="s">
        <v>104</v>
      </c>
      <c r="C864">
        <v>100005001</v>
      </c>
      <c r="D864" t="s">
        <v>65</v>
      </c>
      <c r="E864" t="s">
        <v>21</v>
      </c>
      <c r="F864" s="15">
        <v>4200</v>
      </c>
    </row>
    <row r="865" spans="1:6">
      <c r="A865" s="19">
        <v>46331</v>
      </c>
      <c r="B865" t="s">
        <v>104</v>
      </c>
      <c r="C865">
        <v>100005002</v>
      </c>
      <c r="D865" t="s">
        <v>66</v>
      </c>
      <c r="E865" t="s">
        <v>21</v>
      </c>
      <c r="F865" s="15">
        <v>4200</v>
      </c>
    </row>
    <row r="866" spans="1:6">
      <c r="A866" s="19">
        <v>46331</v>
      </c>
      <c r="B866" t="s">
        <v>104</v>
      </c>
      <c r="C866">
        <v>100005003</v>
      </c>
      <c r="D866" t="s">
        <v>67</v>
      </c>
      <c r="E866" t="s">
        <v>21</v>
      </c>
      <c r="F866" s="15">
        <v>4200</v>
      </c>
    </row>
    <row r="867" spans="1:6">
      <c r="A867" s="19">
        <v>46331</v>
      </c>
      <c r="B867" t="s">
        <v>104</v>
      </c>
      <c r="C867">
        <v>100005004</v>
      </c>
      <c r="D867" t="s">
        <v>68</v>
      </c>
      <c r="E867" t="s">
        <v>21</v>
      </c>
      <c r="F867" s="15">
        <v>4200</v>
      </c>
    </row>
    <row r="868" spans="1:6">
      <c r="A868" s="19">
        <v>46331</v>
      </c>
      <c r="B868" t="s">
        <v>104</v>
      </c>
      <c r="C868">
        <v>100005005</v>
      </c>
      <c r="D868" t="s">
        <v>69</v>
      </c>
      <c r="E868" t="s">
        <v>21</v>
      </c>
      <c r="F868" s="15">
        <v>4200</v>
      </c>
    </row>
    <row r="869" spans="1:6">
      <c r="A869" s="19">
        <v>46331</v>
      </c>
      <c r="B869" t="s">
        <v>104</v>
      </c>
      <c r="C869">
        <v>100005006</v>
      </c>
      <c r="D869" t="s">
        <v>65</v>
      </c>
      <c r="E869" t="s">
        <v>22</v>
      </c>
      <c r="F869" s="15">
        <v>4200</v>
      </c>
    </row>
    <row r="870" spans="1:6">
      <c r="A870" s="19">
        <v>46331</v>
      </c>
      <c r="B870" t="s">
        <v>104</v>
      </c>
      <c r="C870">
        <v>100005009</v>
      </c>
      <c r="D870" t="s">
        <v>70</v>
      </c>
      <c r="E870" t="s">
        <v>22</v>
      </c>
      <c r="F870" s="15">
        <v>4200</v>
      </c>
    </row>
    <row r="871" spans="1:6">
      <c r="A871" s="19">
        <v>46331</v>
      </c>
      <c r="B871" t="s">
        <v>104</v>
      </c>
      <c r="C871">
        <v>100005010</v>
      </c>
      <c r="D871" t="s">
        <v>70</v>
      </c>
      <c r="E871" t="s">
        <v>22</v>
      </c>
      <c r="F871" s="15">
        <v>4200</v>
      </c>
    </row>
    <row r="872" spans="1:6">
      <c r="A872" s="19">
        <v>46331</v>
      </c>
      <c r="B872" t="s">
        <v>104</v>
      </c>
      <c r="C872">
        <v>100005011</v>
      </c>
      <c r="D872" t="s">
        <v>70</v>
      </c>
      <c r="E872" t="s">
        <v>22</v>
      </c>
      <c r="F872" s="15">
        <v>4200</v>
      </c>
    </row>
    <row r="873" spans="1:6">
      <c r="A873" s="19">
        <v>46331</v>
      </c>
      <c r="B873" t="s">
        <v>104</v>
      </c>
      <c r="C873">
        <v>100005012</v>
      </c>
      <c r="D873" t="s">
        <v>70</v>
      </c>
      <c r="E873" t="s">
        <v>22</v>
      </c>
      <c r="F873" s="15">
        <v>4200</v>
      </c>
    </row>
    <row r="874" spans="1:6">
      <c r="A874" s="19">
        <v>46331</v>
      </c>
      <c r="B874" t="s">
        <v>104</v>
      </c>
      <c r="C874">
        <v>100005013</v>
      </c>
      <c r="D874" t="s">
        <v>70</v>
      </c>
      <c r="E874" t="s">
        <v>22</v>
      </c>
      <c r="F874" s="15">
        <v>4200</v>
      </c>
    </row>
    <row r="875" spans="1:6">
      <c r="A875" s="19">
        <v>46331</v>
      </c>
      <c r="B875" t="s">
        <v>104</v>
      </c>
      <c r="C875">
        <v>100005014</v>
      </c>
      <c r="D875" t="s">
        <v>70</v>
      </c>
      <c r="E875" t="s">
        <v>22</v>
      </c>
      <c r="F875" s="15">
        <v>4200</v>
      </c>
    </row>
    <row r="876" spans="1:6">
      <c r="A876" s="19">
        <v>46331</v>
      </c>
      <c r="B876" t="s">
        <v>104</v>
      </c>
      <c r="C876">
        <v>100005015</v>
      </c>
      <c r="D876" t="s">
        <v>70</v>
      </c>
      <c r="E876" t="s">
        <v>22</v>
      </c>
      <c r="F876" s="15">
        <v>4200</v>
      </c>
    </row>
    <row r="877" spans="1:6">
      <c r="A877" s="19">
        <v>46331</v>
      </c>
      <c r="B877" t="s">
        <v>104</v>
      </c>
      <c r="C877">
        <v>100005016</v>
      </c>
      <c r="D877" t="s">
        <v>70</v>
      </c>
      <c r="E877" t="s">
        <v>22</v>
      </c>
      <c r="F877" s="15">
        <v>4200</v>
      </c>
    </row>
    <row r="878" spans="1:6">
      <c r="A878" s="19">
        <v>46331</v>
      </c>
      <c r="B878" t="s">
        <v>104</v>
      </c>
      <c r="C878">
        <v>100005017</v>
      </c>
      <c r="D878" t="s">
        <v>70</v>
      </c>
      <c r="E878" t="s">
        <v>22</v>
      </c>
      <c r="F878" s="15">
        <v>4200</v>
      </c>
    </row>
    <row r="879" spans="1:6">
      <c r="A879" s="19">
        <v>46331</v>
      </c>
      <c r="B879" t="s">
        <v>104</v>
      </c>
      <c r="C879">
        <v>100005007</v>
      </c>
      <c r="D879" t="s">
        <v>67</v>
      </c>
      <c r="E879" t="s">
        <v>22</v>
      </c>
      <c r="F879" s="15">
        <v>4200</v>
      </c>
    </row>
    <row r="880" spans="1:6">
      <c r="A880" s="19">
        <v>46331</v>
      </c>
      <c r="B880" t="s">
        <v>104</v>
      </c>
      <c r="C880">
        <v>100005008</v>
      </c>
      <c r="D880" t="s">
        <v>69</v>
      </c>
      <c r="E880" t="s">
        <v>22</v>
      </c>
      <c r="F880" s="15">
        <v>4200</v>
      </c>
    </row>
    <row r="881" spans="1:6">
      <c r="A881" s="19">
        <v>46331</v>
      </c>
      <c r="B881" t="s">
        <v>104</v>
      </c>
      <c r="C881">
        <v>100005000</v>
      </c>
      <c r="D881" t="s">
        <v>71</v>
      </c>
      <c r="E881" t="s">
        <v>83</v>
      </c>
      <c r="F881" s="15">
        <v>4200</v>
      </c>
    </row>
    <row r="882" spans="1:6">
      <c r="A882" s="19">
        <v>46361</v>
      </c>
      <c r="B882" t="s">
        <v>104</v>
      </c>
      <c r="C882">
        <v>100005001</v>
      </c>
      <c r="D882" t="s">
        <v>65</v>
      </c>
      <c r="E882" t="s">
        <v>21</v>
      </c>
      <c r="F882" s="15">
        <v>4200</v>
      </c>
    </row>
    <row r="883" spans="1:6">
      <c r="A883" s="19">
        <v>46361</v>
      </c>
      <c r="B883" t="s">
        <v>104</v>
      </c>
      <c r="C883">
        <v>100005002</v>
      </c>
      <c r="D883" t="s">
        <v>66</v>
      </c>
      <c r="E883" t="s">
        <v>21</v>
      </c>
      <c r="F883" s="15">
        <v>4200</v>
      </c>
    </row>
    <row r="884" spans="1:6">
      <c r="A884" s="19">
        <v>46361</v>
      </c>
      <c r="B884" t="s">
        <v>104</v>
      </c>
      <c r="C884">
        <v>100005003</v>
      </c>
      <c r="D884" t="s">
        <v>67</v>
      </c>
      <c r="E884" t="s">
        <v>21</v>
      </c>
      <c r="F884" s="15">
        <v>4200</v>
      </c>
    </row>
    <row r="885" spans="1:6">
      <c r="A885" s="19">
        <v>46361</v>
      </c>
      <c r="B885" t="s">
        <v>104</v>
      </c>
      <c r="C885">
        <v>100005004</v>
      </c>
      <c r="D885" t="s">
        <v>68</v>
      </c>
      <c r="E885" t="s">
        <v>21</v>
      </c>
      <c r="F885" s="15">
        <v>4200</v>
      </c>
    </row>
    <row r="886" spans="1:6">
      <c r="A886" s="19">
        <v>46361</v>
      </c>
      <c r="B886" t="s">
        <v>104</v>
      </c>
      <c r="C886">
        <v>100005005</v>
      </c>
      <c r="D886" t="s">
        <v>69</v>
      </c>
      <c r="E886" t="s">
        <v>21</v>
      </c>
      <c r="F886" s="15">
        <v>4200</v>
      </c>
    </row>
    <row r="887" spans="1:6">
      <c r="A887" s="19">
        <v>46361</v>
      </c>
      <c r="B887" t="s">
        <v>104</v>
      </c>
      <c r="C887">
        <v>100005006</v>
      </c>
      <c r="D887" t="s">
        <v>65</v>
      </c>
      <c r="E887" t="s">
        <v>22</v>
      </c>
      <c r="F887" s="15">
        <v>4200</v>
      </c>
    </row>
    <row r="888" spans="1:6">
      <c r="A888" s="19">
        <v>46361</v>
      </c>
      <c r="B888" t="s">
        <v>104</v>
      </c>
      <c r="C888">
        <v>100005009</v>
      </c>
      <c r="D888" t="s">
        <v>70</v>
      </c>
      <c r="E888" t="s">
        <v>22</v>
      </c>
      <c r="F888" s="15">
        <v>4200</v>
      </c>
    </row>
    <row r="889" spans="1:6">
      <c r="A889" s="19">
        <v>46361</v>
      </c>
      <c r="B889" t="s">
        <v>104</v>
      </c>
      <c r="C889">
        <v>100005010</v>
      </c>
      <c r="D889" t="s">
        <v>70</v>
      </c>
      <c r="E889" t="s">
        <v>22</v>
      </c>
      <c r="F889" s="15">
        <v>4200</v>
      </c>
    </row>
    <row r="890" spans="1:6">
      <c r="A890" s="19">
        <v>46361</v>
      </c>
      <c r="B890" t="s">
        <v>104</v>
      </c>
      <c r="C890">
        <v>100005011</v>
      </c>
      <c r="D890" t="s">
        <v>70</v>
      </c>
      <c r="E890" t="s">
        <v>22</v>
      </c>
      <c r="F890" s="15">
        <v>4200</v>
      </c>
    </row>
    <row r="891" spans="1:6">
      <c r="A891" s="19">
        <v>46361</v>
      </c>
      <c r="B891" t="s">
        <v>104</v>
      </c>
      <c r="C891">
        <v>100005012</v>
      </c>
      <c r="D891" t="s">
        <v>70</v>
      </c>
      <c r="E891" t="s">
        <v>22</v>
      </c>
      <c r="F891" s="15">
        <v>4200</v>
      </c>
    </row>
    <row r="892" spans="1:6">
      <c r="A892" s="19">
        <v>46361</v>
      </c>
      <c r="B892" t="s">
        <v>104</v>
      </c>
      <c r="C892">
        <v>100005013</v>
      </c>
      <c r="D892" t="s">
        <v>70</v>
      </c>
      <c r="E892" t="s">
        <v>22</v>
      </c>
      <c r="F892" s="15">
        <v>4200</v>
      </c>
    </row>
    <row r="893" spans="1:6">
      <c r="A893" s="19">
        <v>46361</v>
      </c>
      <c r="B893" t="s">
        <v>104</v>
      </c>
      <c r="C893">
        <v>100005014</v>
      </c>
      <c r="D893" t="s">
        <v>70</v>
      </c>
      <c r="E893" t="s">
        <v>22</v>
      </c>
      <c r="F893" s="15">
        <v>4200</v>
      </c>
    </row>
    <row r="894" spans="1:6">
      <c r="A894" s="19">
        <v>46361</v>
      </c>
      <c r="B894" t="s">
        <v>104</v>
      </c>
      <c r="C894">
        <v>100005015</v>
      </c>
      <c r="D894" t="s">
        <v>70</v>
      </c>
      <c r="E894" t="s">
        <v>22</v>
      </c>
      <c r="F894" s="15">
        <v>4200</v>
      </c>
    </row>
    <row r="895" spans="1:6">
      <c r="A895" s="19">
        <v>46361</v>
      </c>
      <c r="B895" t="s">
        <v>104</v>
      </c>
      <c r="C895">
        <v>100005016</v>
      </c>
      <c r="D895" t="s">
        <v>70</v>
      </c>
      <c r="E895" t="s">
        <v>22</v>
      </c>
      <c r="F895" s="15">
        <v>4200</v>
      </c>
    </row>
    <row r="896" spans="1:6">
      <c r="A896" s="19">
        <v>46361</v>
      </c>
      <c r="B896" t="s">
        <v>104</v>
      </c>
      <c r="C896">
        <v>100005017</v>
      </c>
      <c r="D896" t="s">
        <v>70</v>
      </c>
      <c r="E896" t="s">
        <v>22</v>
      </c>
      <c r="F896" s="15">
        <v>4200</v>
      </c>
    </row>
    <row r="897" spans="1:6">
      <c r="A897" s="19">
        <v>46361</v>
      </c>
      <c r="B897" t="s">
        <v>104</v>
      </c>
      <c r="C897">
        <v>100005018</v>
      </c>
      <c r="D897" t="s">
        <v>70</v>
      </c>
      <c r="E897" t="s">
        <v>22</v>
      </c>
      <c r="F897" s="15">
        <v>4200</v>
      </c>
    </row>
    <row r="898" spans="1:6">
      <c r="A898" s="19">
        <v>46361</v>
      </c>
      <c r="B898" t="s">
        <v>104</v>
      </c>
      <c r="C898">
        <v>100005007</v>
      </c>
      <c r="D898" t="s">
        <v>67</v>
      </c>
      <c r="E898" t="s">
        <v>22</v>
      </c>
      <c r="F898" s="15">
        <v>4200</v>
      </c>
    </row>
    <row r="899" spans="1:6">
      <c r="A899" s="19">
        <v>46361</v>
      </c>
      <c r="B899" t="s">
        <v>104</v>
      </c>
      <c r="C899">
        <v>100005008</v>
      </c>
      <c r="D899" t="s">
        <v>69</v>
      </c>
      <c r="E899" t="s">
        <v>22</v>
      </c>
      <c r="F899" s="15">
        <v>4200</v>
      </c>
    </row>
    <row r="900" spans="1:6">
      <c r="A900" s="19">
        <v>46361</v>
      </c>
      <c r="B900" t="s">
        <v>104</v>
      </c>
      <c r="C900">
        <v>100005000</v>
      </c>
      <c r="D900" t="s">
        <v>71</v>
      </c>
      <c r="E900" t="s">
        <v>83</v>
      </c>
      <c r="F900" s="15">
        <v>4200</v>
      </c>
    </row>
    <row r="901" spans="1:6">
      <c r="A901" s="19"/>
    </row>
    <row r="902" spans="1:6">
      <c r="A902" s="19"/>
    </row>
    <row r="903" spans="1:6">
      <c r="A903" s="19"/>
    </row>
    <row r="904" spans="1:6">
      <c r="A904" s="19"/>
    </row>
    <row r="905" spans="1:6">
      <c r="A905" s="19"/>
    </row>
    <row r="906" spans="1:6">
      <c r="A906" s="19"/>
    </row>
    <row r="907" spans="1:6">
      <c r="A907" s="19"/>
    </row>
    <row r="908" spans="1:6">
      <c r="A908" s="19"/>
    </row>
    <row r="909" spans="1:6">
      <c r="A909" s="19"/>
    </row>
    <row r="910" spans="1:6">
      <c r="A910" s="19"/>
    </row>
    <row r="911" spans="1:6">
      <c r="A911" s="19"/>
    </row>
    <row r="912" spans="1:6">
      <c r="A912" s="19"/>
    </row>
    <row r="913" spans="1:1">
      <c r="A913" s="19"/>
    </row>
    <row r="914" spans="1:1">
      <c r="A914" s="19"/>
    </row>
    <row r="915" spans="1:1">
      <c r="A915" s="19"/>
    </row>
    <row r="916" spans="1:1">
      <c r="A916" s="19"/>
    </row>
    <row r="917" spans="1:1">
      <c r="A917" s="19"/>
    </row>
    <row r="918" spans="1:1">
      <c r="A918" s="19"/>
    </row>
    <row r="919" spans="1:1">
      <c r="A919" s="19"/>
    </row>
    <row r="920" spans="1:1">
      <c r="A920" s="19"/>
    </row>
    <row r="921" spans="1:1">
      <c r="A921" s="19"/>
    </row>
    <row r="922" spans="1:1">
      <c r="A922" s="19"/>
    </row>
    <row r="923" spans="1:1">
      <c r="A923" s="19"/>
    </row>
    <row r="924" spans="1:1">
      <c r="A924" s="19"/>
    </row>
    <row r="925" spans="1:1">
      <c r="A925" s="19"/>
    </row>
    <row r="926" spans="1:1">
      <c r="A926" s="19"/>
    </row>
    <row r="927" spans="1:1">
      <c r="A927" s="19"/>
    </row>
    <row r="928" spans="1:1">
      <c r="A928" s="19"/>
    </row>
    <row r="929" spans="1:1">
      <c r="A929" s="19"/>
    </row>
    <row r="930" spans="1:1">
      <c r="A930" s="19"/>
    </row>
    <row r="931" spans="1:1">
      <c r="A931" s="19"/>
    </row>
    <row r="932" spans="1:1">
      <c r="A932" s="19"/>
    </row>
    <row r="933" spans="1:1">
      <c r="A933" s="19"/>
    </row>
    <row r="934" spans="1:1">
      <c r="A934" s="19"/>
    </row>
    <row r="935" spans="1:1">
      <c r="A935" s="19"/>
    </row>
    <row r="936" spans="1:1">
      <c r="A936" s="19"/>
    </row>
    <row r="937" spans="1:1">
      <c r="A937" s="19"/>
    </row>
    <row r="938" spans="1:1">
      <c r="A938" s="19"/>
    </row>
    <row r="939" spans="1:1">
      <c r="A939" s="19"/>
    </row>
    <row r="940" spans="1:1">
      <c r="A940" s="19"/>
    </row>
    <row r="941" spans="1:1">
      <c r="A941" s="19"/>
    </row>
    <row r="942" spans="1:1">
      <c r="A942" s="19"/>
    </row>
    <row r="943" spans="1:1">
      <c r="A943" s="19"/>
    </row>
    <row r="944" spans="1:1">
      <c r="A944" s="19"/>
    </row>
    <row r="945" spans="1:1">
      <c r="A945" s="19"/>
    </row>
    <row r="946" spans="1:1">
      <c r="A946" s="19"/>
    </row>
    <row r="947" spans="1:1">
      <c r="A947" s="19"/>
    </row>
    <row r="948" spans="1:1">
      <c r="A948" s="19"/>
    </row>
    <row r="949" spans="1:1">
      <c r="A949" s="19"/>
    </row>
    <row r="950" spans="1:1">
      <c r="A950" s="19"/>
    </row>
    <row r="951" spans="1:1">
      <c r="A951" s="19"/>
    </row>
    <row r="952" spans="1:1">
      <c r="A952" s="19"/>
    </row>
    <row r="953" spans="1:1">
      <c r="A953" s="19"/>
    </row>
    <row r="954" spans="1:1">
      <c r="A954" s="19"/>
    </row>
    <row r="955" spans="1:1">
      <c r="A955" s="19"/>
    </row>
    <row r="956" spans="1:1">
      <c r="A956" s="19"/>
    </row>
    <row r="957" spans="1:1">
      <c r="A957" s="19"/>
    </row>
    <row r="958" spans="1:1">
      <c r="A958" s="19"/>
    </row>
    <row r="959" spans="1:1">
      <c r="A959" s="19"/>
    </row>
    <row r="960" spans="1:1">
      <c r="A960" s="19"/>
    </row>
    <row r="961" spans="1:1">
      <c r="A961" s="19"/>
    </row>
    <row r="962" spans="1:1">
      <c r="A962" s="19"/>
    </row>
    <row r="963" spans="1:1">
      <c r="A963" s="19"/>
    </row>
    <row r="964" spans="1:1">
      <c r="A964" s="19"/>
    </row>
    <row r="965" spans="1:1">
      <c r="A965" s="19"/>
    </row>
    <row r="966" spans="1:1">
      <c r="A966" s="19"/>
    </row>
    <row r="967" spans="1:1">
      <c r="A967" s="19"/>
    </row>
    <row r="968" spans="1:1">
      <c r="A968" s="19"/>
    </row>
    <row r="969" spans="1:1">
      <c r="A969" s="19"/>
    </row>
    <row r="970" spans="1:1">
      <c r="A970" s="19"/>
    </row>
    <row r="971" spans="1:1">
      <c r="A971" s="19"/>
    </row>
    <row r="972" spans="1:1">
      <c r="A972" s="19"/>
    </row>
    <row r="973" spans="1:1">
      <c r="A973" s="19"/>
    </row>
    <row r="974" spans="1:1">
      <c r="A974" s="19"/>
    </row>
    <row r="975" spans="1:1">
      <c r="A975" s="19"/>
    </row>
    <row r="976" spans="1:1">
      <c r="A976" s="19"/>
    </row>
    <row r="977" spans="1:1">
      <c r="A977" s="19"/>
    </row>
    <row r="978" spans="1:1">
      <c r="A978" s="19"/>
    </row>
    <row r="979" spans="1:1">
      <c r="A979" s="19"/>
    </row>
    <row r="980" spans="1:1">
      <c r="A980" s="19"/>
    </row>
    <row r="981" spans="1:1">
      <c r="A981" s="19"/>
    </row>
    <row r="982" spans="1:1">
      <c r="A982" s="19"/>
    </row>
    <row r="983" spans="1:1">
      <c r="A983" s="19"/>
    </row>
    <row r="984" spans="1:1">
      <c r="A984" s="19"/>
    </row>
    <row r="985" spans="1:1">
      <c r="A985" s="19"/>
    </row>
    <row r="986" spans="1:1">
      <c r="A986" s="19"/>
    </row>
    <row r="987" spans="1:1">
      <c r="A987" s="19"/>
    </row>
    <row r="988" spans="1:1">
      <c r="A988" s="19"/>
    </row>
    <row r="989" spans="1:1">
      <c r="A989" s="19"/>
    </row>
    <row r="990" spans="1:1">
      <c r="A990" s="19"/>
    </row>
    <row r="991" spans="1:1">
      <c r="A991" s="19"/>
    </row>
    <row r="992" spans="1:1">
      <c r="A992" s="19"/>
    </row>
    <row r="993" spans="1:1">
      <c r="A993" s="19"/>
    </row>
    <row r="994" spans="1:1">
      <c r="A994" s="19"/>
    </row>
    <row r="995" spans="1:1">
      <c r="A995" s="19"/>
    </row>
    <row r="996" spans="1:1">
      <c r="A996" s="19"/>
    </row>
    <row r="997" spans="1:1">
      <c r="A997" s="19"/>
    </row>
    <row r="998" spans="1:1">
      <c r="A998" s="19"/>
    </row>
    <row r="999" spans="1:1">
      <c r="A999" s="19"/>
    </row>
    <row r="1000" spans="1:1">
      <c r="A1000" s="19"/>
    </row>
    <row r="1001" spans="1:1">
      <c r="A1001" s="19"/>
    </row>
    <row r="1002" spans="1:1">
      <c r="A1002" s="19"/>
    </row>
    <row r="1003" spans="1:1">
      <c r="A1003" s="19"/>
    </row>
    <row r="1004" spans="1:1">
      <c r="A1004" s="19"/>
    </row>
    <row r="1005" spans="1:1">
      <c r="A1005" s="19"/>
    </row>
    <row r="1006" spans="1:1">
      <c r="A1006" s="19"/>
    </row>
    <row r="1007" spans="1:1">
      <c r="A1007" s="19"/>
    </row>
    <row r="1008" spans="1:1">
      <c r="A1008" s="19"/>
    </row>
    <row r="1009" spans="1:1">
      <c r="A1009" s="19"/>
    </row>
    <row r="1010" spans="1:1">
      <c r="A1010" s="19"/>
    </row>
    <row r="1011" spans="1:1">
      <c r="A1011" s="19"/>
    </row>
    <row r="1012" spans="1:1">
      <c r="A1012" s="19"/>
    </row>
    <row r="1013" spans="1:1">
      <c r="A1013" s="19"/>
    </row>
    <row r="1014" spans="1:1">
      <c r="A1014" s="19"/>
    </row>
    <row r="1015" spans="1:1">
      <c r="A1015" s="19"/>
    </row>
    <row r="1016" spans="1:1">
      <c r="A1016" s="19"/>
    </row>
    <row r="1017" spans="1:1">
      <c r="A1017" s="19"/>
    </row>
    <row r="1018" spans="1:1">
      <c r="A1018" s="19"/>
    </row>
    <row r="1019" spans="1:1">
      <c r="A1019" s="19"/>
    </row>
    <row r="1020" spans="1:1">
      <c r="A1020" s="19"/>
    </row>
    <row r="1021" spans="1:1">
      <c r="A1021" s="19"/>
    </row>
    <row r="1022" spans="1:1">
      <c r="A1022" s="19"/>
    </row>
    <row r="1023" spans="1:1">
      <c r="A1023" s="19"/>
    </row>
    <row r="1024" spans="1:1">
      <c r="A1024" s="19"/>
    </row>
    <row r="1025" spans="1:1">
      <c r="A1025" s="19"/>
    </row>
    <row r="1026" spans="1:1">
      <c r="A1026" s="19"/>
    </row>
    <row r="1027" spans="1:1">
      <c r="A1027" s="19"/>
    </row>
    <row r="1028" spans="1:1">
      <c r="A1028" s="19"/>
    </row>
    <row r="1029" spans="1:1">
      <c r="A1029" s="19"/>
    </row>
    <row r="1030" spans="1:1">
      <c r="A1030" s="19"/>
    </row>
    <row r="1031" spans="1:1">
      <c r="A1031" s="19"/>
    </row>
    <row r="1032" spans="1:1">
      <c r="A1032" s="19"/>
    </row>
    <row r="1033" spans="1:1">
      <c r="A1033" s="19"/>
    </row>
    <row r="1034" spans="1:1">
      <c r="A1034" s="19"/>
    </row>
    <row r="1035" spans="1:1">
      <c r="A1035" s="19"/>
    </row>
    <row r="1036" spans="1:1">
      <c r="A1036" s="19"/>
    </row>
    <row r="1037" spans="1:1">
      <c r="A1037" s="19"/>
    </row>
    <row r="1038" spans="1:1">
      <c r="A1038" s="19"/>
    </row>
    <row r="1039" spans="1:1">
      <c r="A1039" s="19"/>
    </row>
    <row r="1040" spans="1:1">
      <c r="A1040" s="19"/>
    </row>
    <row r="1041" spans="1:1">
      <c r="A1041" s="19"/>
    </row>
    <row r="1042" spans="1:1">
      <c r="A1042" s="19"/>
    </row>
    <row r="1043" spans="1:1">
      <c r="A1043" s="19"/>
    </row>
    <row r="1044" spans="1:1">
      <c r="A1044" s="19"/>
    </row>
    <row r="1045" spans="1:1">
      <c r="A1045" s="19"/>
    </row>
    <row r="1046" spans="1:1">
      <c r="A1046" s="19"/>
    </row>
    <row r="1047" spans="1:1">
      <c r="A1047" s="19"/>
    </row>
    <row r="1048" spans="1:1">
      <c r="A1048" s="19"/>
    </row>
    <row r="1049" spans="1:1">
      <c r="A1049" s="19"/>
    </row>
    <row r="1050" spans="1:1">
      <c r="A1050" s="19"/>
    </row>
    <row r="1051" spans="1:1">
      <c r="A1051" s="19"/>
    </row>
    <row r="1052" spans="1:1">
      <c r="A1052" s="19"/>
    </row>
    <row r="1053" spans="1:1">
      <c r="A1053" s="19"/>
    </row>
    <row r="1054" spans="1:1">
      <c r="A1054" s="19"/>
    </row>
    <row r="1055" spans="1:1">
      <c r="A1055" s="19"/>
    </row>
    <row r="1056" spans="1:1">
      <c r="A1056" s="19"/>
    </row>
    <row r="1057" spans="1:1">
      <c r="A1057" s="19"/>
    </row>
    <row r="1058" spans="1:1">
      <c r="A1058" s="19"/>
    </row>
    <row r="1059" spans="1:1">
      <c r="A1059" s="19"/>
    </row>
    <row r="1060" spans="1:1">
      <c r="A1060" s="19"/>
    </row>
    <row r="1061" spans="1:1">
      <c r="A1061" s="19"/>
    </row>
    <row r="1062" spans="1:1">
      <c r="A1062" s="19"/>
    </row>
    <row r="1063" spans="1:1">
      <c r="A1063" s="19"/>
    </row>
    <row r="1064" spans="1:1">
      <c r="A1064" s="19"/>
    </row>
    <row r="1065" spans="1:1">
      <c r="A1065" s="19"/>
    </row>
    <row r="1066" spans="1:1">
      <c r="A1066" s="19"/>
    </row>
    <row r="1067" spans="1:1">
      <c r="A1067" s="19"/>
    </row>
    <row r="1068" spans="1:1">
      <c r="A1068" s="19"/>
    </row>
    <row r="1069" spans="1:1">
      <c r="A1069" s="19"/>
    </row>
    <row r="1070" spans="1:1">
      <c r="A1070" s="19"/>
    </row>
    <row r="1071" spans="1:1">
      <c r="A1071" s="19"/>
    </row>
    <row r="1072" spans="1:1">
      <c r="A1072" s="19"/>
    </row>
    <row r="1073" spans="1:1">
      <c r="A1073" s="19"/>
    </row>
    <row r="1074" spans="1:1">
      <c r="A1074" s="19"/>
    </row>
    <row r="1075" spans="1:1">
      <c r="A1075" s="19"/>
    </row>
    <row r="1076" spans="1:1">
      <c r="A1076" s="19"/>
    </row>
    <row r="1077" spans="1:1">
      <c r="A1077" s="19"/>
    </row>
    <row r="1078" spans="1:1">
      <c r="A1078" s="19"/>
    </row>
    <row r="1079" spans="1:1">
      <c r="A1079" s="19"/>
    </row>
    <row r="1080" spans="1:1">
      <c r="A1080" s="19"/>
    </row>
    <row r="1081" spans="1:1">
      <c r="A1081" s="19"/>
    </row>
    <row r="1082" spans="1:1">
      <c r="A1082" s="19"/>
    </row>
    <row r="1083" spans="1:1">
      <c r="A1083" s="19"/>
    </row>
    <row r="1084" spans="1:1">
      <c r="A1084" s="19"/>
    </row>
    <row r="1085" spans="1:1">
      <c r="A1085" s="19"/>
    </row>
    <row r="1086" spans="1:1">
      <c r="A1086" s="19"/>
    </row>
    <row r="1087" spans="1:1">
      <c r="A1087" s="19"/>
    </row>
    <row r="1088" spans="1:1">
      <c r="A1088" s="19"/>
    </row>
    <row r="1089" spans="1:1">
      <c r="A1089" s="19"/>
    </row>
    <row r="1090" spans="1:1">
      <c r="A1090" s="19"/>
    </row>
    <row r="1091" spans="1:1">
      <c r="A1091" s="19"/>
    </row>
    <row r="1092" spans="1:1">
      <c r="A1092" s="19"/>
    </row>
    <row r="1093" spans="1:1">
      <c r="A1093" s="19"/>
    </row>
    <row r="1094" spans="1:1">
      <c r="A1094" s="19"/>
    </row>
    <row r="1095" spans="1:1">
      <c r="A1095" s="19"/>
    </row>
    <row r="1096" spans="1:1">
      <c r="A1096" s="19"/>
    </row>
    <row r="1097" spans="1:1">
      <c r="A1097" s="19"/>
    </row>
    <row r="1098" spans="1:1">
      <c r="A1098" s="19"/>
    </row>
    <row r="1099" spans="1:1">
      <c r="A1099" s="19"/>
    </row>
    <row r="1100" spans="1:1">
      <c r="A1100" s="19"/>
    </row>
    <row r="1101" spans="1:1">
      <c r="A1101" s="19"/>
    </row>
    <row r="1102" spans="1:1">
      <c r="A1102" s="19"/>
    </row>
    <row r="1103" spans="1:1">
      <c r="A1103" s="19"/>
    </row>
    <row r="1104" spans="1:1">
      <c r="A1104" s="19"/>
    </row>
    <row r="1105" spans="1:1">
      <c r="A1105" s="19"/>
    </row>
    <row r="1106" spans="1:1">
      <c r="A1106" s="19"/>
    </row>
    <row r="1107" spans="1:1">
      <c r="A1107" s="19"/>
    </row>
    <row r="1108" spans="1:1">
      <c r="A1108" s="19"/>
    </row>
    <row r="1109" spans="1:1">
      <c r="A1109" s="19"/>
    </row>
    <row r="1110" spans="1:1">
      <c r="A1110" s="19"/>
    </row>
    <row r="1111" spans="1:1">
      <c r="A1111" s="19"/>
    </row>
    <row r="1112" spans="1:1">
      <c r="A1112" s="19"/>
    </row>
    <row r="1113" spans="1:1">
      <c r="A1113" s="19"/>
    </row>
    <row r="1114" spans="1:1">
      <c r="A1114" s="19"/>
    </row>
    <row r="1115" spans="1:1">
      <c r="A1115" s="19"/>
    </row>
    <row r="1116" spans="1:1">
      <c r="A1116" s="19"/>
    </row>
    <row r="1117" spans="1:1">
      <c r="A1117" s="19"/>
    </row>
    <row r="1118" spans="1:1">
      <c r="A1118" s="19"/>
    </row>
    <row r="1119" spans="1:1">
      <c r="A1119" s="19"/>
    </row>
    <row r="1120" spans="1:1">
      <c r="A1120" s="19"/>
    </row>
    <row r="1121" spans="1:1">
      <c r="A1121" s="19"/>
    </row>
    <row r="1122" spans="1:1">
      <c r="A1122" s="19"/>
    </row>
    <row r="1123" spans="1:1">
      <c r="A1123" s="19"/>
    </row>
    <row r="1124" spans="1:1">
      <c r="A1124" s="19"/>
    </row>
    <row r="1125" spans="1:1">
      <c r="A1125" s="19"/>
    </row>
    <row r="1126" spans="1:1">
      <c r="A1126" s="19"/>
    </row>
    <row r="1127" spans="1:1">
      <c r="A1127" s="19"/>
    </row>
    <row r="1128" spans="1:1">
      <c r="A1128" s="19"/>
    </row>
    <row r="1129" spans="1:1">
      <c r="A1129" s="19"/>
    </row>
    <row r="1130" spans="1:1">
      <c r="A1130" s="19"/>
    </row>
    <row r="1131" spans="1:1">
      <c r="A1131" s="19"/>
    </row>
    <row r="1132" spans="1:1">
      <c r="A1132" s="19"/>
    </row>
    <row r="1133" spans="1:1">
      <c r="A1133" s="19"/>
    </row>
    <row r="1134" spans="1:1">
      <c r="A1134" s="19"/>
    </row>
    <row r="1135" spans="1:1">
      <c r="A1135" s="19"/>
    </row>
    <row r="1136" spans="1:1">
      <c r="A1136" s="19"/>
    </row>
    <row r="1137" spans="1:1">
      <c r="A1137" s="19"/>
    </row>
    <row r="1138" spans="1:1">
      <c r="A1138" s="19"/>
    </row>
    <row r="1139" spans="1:1">
      <c r="A1139" s="19"/>
    </row>
    <row r="1140" spans="1:1">
      <c r="A1140" s="19"/>
    </row>
    <row r="1141" spans="1:1">
      <c r="A1141" s="19"/>
    </row>
    <row r="1142" spans="1:1">
      <c r="A1142" s="19"/>
    </row>
    <row r="1143" spans="1:1">
      <c r="A1143" s="19"/>
    </row>
    <row r="1144" spans="1:1">
      <c r="A1144" s="19"/>
    </row>
    <row r="1145" spans="1:1">
      <c r="A1145" s="19"/>
    </row>
    <row r="1146" spans="1:1">
      <c r="A1146" s="19"/>
    </row>
    <row r="1147" spans="1:1">
      <c r="A1147" s="19"/>
    </row>
    <row r="1148" spans="1:1">
      <c r="A1148" s="19"/>
    </row>
    <row r="1149" spans="1:1">
      <c r="A1149" s="19"/>
    </row>
    <row r="1150" spans="1:1">
      <c r="A1150" s="19"/>
    </row>
    <row r="1151" spans="1:1">
      <c r="A1151" s="19"/>
    </row>
    <row r="1152" spans="1:1">
      <c r="A1152" s="19"/>
    </row>
    <row r="1153" spans="1:1">
      <c r="A1153" s="19"/>
    </row>
    <row r="1154" spans="1:1">
      <c r="A1154" s="19"/>
    </row>
    <row r="1155" spans="1:1">
      <c r="A1155" s="19"/>
    </row>
    <row r="1156" spans="1:1">
      <c r="A1156" s="19"/>
    </row>
    <row r="1157" spans="1:1">
      <c r="A1157" s="19"/>
    </row>
    <row r="1158" spans="1:1">
      <c r="A1158" s="19"/>
    </row>
    <row r="1159" spans="1:1">
      <c r="A1159" s="19"/>
    </row>
    <row r="1160" spans="1:1">
      <c r="A1160" s="19"/>
    </row>
    <row r="1161" spans="1:1">
      <c r="A1161" s="19"/>
    </row>
    <row r="1162" spans="1:1">
      <c r="A1162" s="19"/>
    </row>
    <row r="1163" spans="1:1">
      <c r="A1163" s="19"/>
    </row>
    <row r="1164" spans="1:1">
      <c r="A1164" s="19"/>
    </row>
    <row r="1165" spans="1:1">
      <c r="A1165" s="19"/>
    </row>
    <row r="1166" spans="1:1">
      <c r="A1166" s="19"/>
    </row>
    <row r="1167" spans="1:1">
      <c r="A1167" s="19"/>
    </row>
    <row r="1168" spans="1:1">
      <c r="A1168" s="19"/>
    </row>
    <row r="1169" spans="1:1">
      <c r="A1169" s="19"/>
    </row>
    <row r="1170" spans="1:1">
      <c r="A1170" s="19"/>
    </row>
    <row r="1171" spans="1:1">
      <c r="A1171" s="19"/>
    </row>
    <row r="1172" spans="1:1">
      <c r="A1172" s="19"/>
    </row>
    <row r="1173" spans="1:1">
      <c r="A1173" s="19"/>
    </row>
    <row r="1174" spans="1:1">
      <c r="A1174" s="19"/>
    </row>
    <row r="1175" spans="1:1">
      <c r="A1175" s="19"/>
    </row>
    <row r="1176" spans="1:1">
      <c r="A1176" s="19"/>
    </row>
    <row r="1177" spans="1:1">
      <c r="A1177" s="19"/>
    </row>
    <row r="1178" spans="1:1">
      <c r="A1178" s="19"/>
    </row>
    <row r="1179" spans="1:1">
      <c r="A1179" s="19"/>
    </row>
    <row r="1180" spans="1:1">
      <c r="A1180" s="19"/>
    </row>
    <row r="1181" spans="1:1">
      <c r="A1181" s="19"/>
    </row>
    <row r="1182" spans="1:1">
      <c r="A1182" s="19"/>
    </row>
    <row r="1183" spans="1:1">
      <c r="A1183" s="19"/>
    </row>
    <row r="1184" spans="1:1">
      <c r="A1184" s="19"/>
    </row>
    <row r="1185" spans="1:1">
      <c r="A1185" s="19"/>
    </row>
    <row r="1186" spans="1:1">
      <c r="A1186" s="19"/>
    </row>
    <row r="1187" spans="1:1">
      <c r="A1187" s="19"/>
    </row>
    <row r="1188" spans="1:1">
      <c r="A1188" s="19"/>
    </row>
    <row r="1189" spans="1:1">
      <c r="A1189" s="19"/>
    </row>
    <row r="1190" spans="1:1">
      <c r="A1190" s="19"/>
    </row>
    <row r="1191" spans="1:1">
      <c r="A1191" s="19"/>
    </row>
    <row r="1192" spans="1:1">
      <c r="A1192" s="19"/>
    </row>
    <row r="1193" spans="1:1">
      <c r="A1193" s="19"/>
    </row>
    <row r="1194" spans="1:1">
      <c r="A1194" s="19"/>
    </row>
    <row r="1195" spans="1:1">
      <c r="A1195" s="19"/>
    </row>
    <row r="1196" spans="1:1">
      <c r="A1196" s="19"/>
    </row>
    <row r="1197" spans="1:1">
      <c r="A1197" s="19"/>
    </row>
    <row r="1198" spans="1:1">
      <c r="A1198" s="19"/>
    </row>
    <row r="1199" spans="1:1">
      <c r="A1199" s="19"/>
    </row>
    <row r="1200" spans="1:1">
      <c r="A1200" s="19"/>
    </row>
    <row r="1201" spans="1:1">
      <c r="A1201" s="19"/>
    </row>
    <row r="1202" spans="1:1">
      <c r="A1202" s="19"/>
    </row>
    <row r="1203" spans="1:1">
      <c r="A1203" s="19"/>
    </row>
    <row r="1204" spans="1:1">
      <c r="A1204" s="19"/>
    </row>
    <row r="1205" spans="1:1">
      <c r="A1205" s="19"/>
    </row>
    <row r="1206" spans="1:1">
      <c r="A1206" s="19"/>
    </row>
    <row r="1207" spans="1:1">
      <c r="A1207" s="19"/>
    </row>
    <row r="1208" spans="1:1">
      <c r="A1208" s="19"/>
    </row>
    <row r="1209" spans="1:1">
      <c r="A1209" s="19"/>
    </row>
    <row r="1210" spans="1:1">
      <c r="A1210" s="19"/>
    </row>
    <row r="1211" spans="1:1">
      <c r="A1211" s="19"/>
    </row>
    <row r="1212" spans="1:1">
      <c r="A1212" s="19"/>
    </row>
    <row r="1213" spans="1:1">
      <c r="A1213" s="19"/>
    </row>
    <row r="1214" spans="1:1">
      <c r="A1214" s="19"/>
    </row>
    <row r="1215" spans="1:1">
      <c r="A1215" s="19"/>
    </row>
    <row r="1216" spans="1:1">
      <c r="A1216" s="19"/>
    </row>
    <row r="1217" spans="1:1">
      <c r="A1217" s="19"/>
    </row>
    <row r="1218" spans="1:1">
      <c r="A1218" s="19"/>
    </row>
    <row r="1219" spans="1:1">
      <c r="A1219" s="19"/>
    </row>
    <row r="1220" spans="1:1">
      <c r="A1220" s="19"/>
    </row>
    <row r="1221" spans="1:1">
      <c r="A1221" s="19"/>
    </row>
    <row r="1222" spans="1:1">
      <c r="A1222" s="19"/>
    </row>
    <row r="1223" spans="1:1">
      <c r="A1223" s="19"/>
    </row>
    <row r="1224" spans="1:1">
      <c r="A1224" s="19"/>
    </row>
    <row r="1225" spans="1:1">
      <c r="A1225" s="19"/>
    </row>
    <row r="1226" spans="1:1">
      <c r="A1226" s="19"/>
    </row>
    <row r="1227" spans="1:1">
      <c r="A1227" s="19"/>
    </row>
    <row r="1228" spans="1:1">
      <c r="A1228" s="19"/>
    </row>
    <row r="1229" spans="1:1">
      <c r="A1229" s="19"/>
    </row>
    <row r="1230" spans="1:1">
      <c r="A1230" s="19"/>
    </row>
    <row r="1231" spans="1:1">
      <c r="A1231" s="19"/>
    </row>
    <row r="1232" spans="1:1">
      <c r="A1232" s="19"/>
    </row>
    <row r="1233" spans="1:1">
      <c r="A1233" s="19"/>
    </row>
    <row r="1234" spans="1:1">
      <c r="A1234" s="19"/>
    </row>
    <row r="1235" spans="1:1">
      <c r="A1235" s="19"/>
    </row>
    <row r="1236" spans="1:1">
      <c r="A1236" s="19"/>
    </row>
    <row r="1237" spans="1:1">
      <c r="A1237" s="19"/>
    </row>
    <row r="1238" spans="1:1">
      <c r="A1238" s="19"/>
    </row>
    <row r="1239" spans="1:1">
      <c r="A1239" s="19"/>
    </row>
    <row r="1240" spans="1:1">
      <c r="A1240" s="19"/>
    </row>
    <row r="1241" spans="1:1">
      <c r="A1241" s="19"/>
    </row>
    <row r="1242" spans="1:1">
      <c r="A1242" s="19"/>
    </row>
    <row r="1243" spans="1:1">
      <c r="A1243" s="19"/>
    </row>
    <row r="1244" spans="1:1">
      <c r="A1244" s="19"/>
    </row>
    <row r="1245" spans="1:1">
      <c r="A1245" s="19"/>
    </row>
    <row r="1246" spans="1:1">
      <c r="A1246" s="19"/>
    </row>
    <row r="1247" spans="1:1">
      <c r="A1247" s="19"/>
    </row>
    <row r="1248" spans="1:1">
      <c r="A1248" s="19"/>
    </row>
    <row r="1249" spans="1:1">
      <c r="A1249" s="19"/>
    </row>
    <row r="1250" spans="1:1">
      <c r="A1250" s="19"/>
    </row>
    <row r="1251" spans="1:1">
      <c r="A1251" s="19"/>
    </row>
    <row r="1252" spans="1:1">
      <c r="A1252" s="19"/>
    </row>
    <row r="1253" spans="1:1">
      <c r="A1253" s="19"/>
    </row>
    <row r="1254" spans="1:1">
      <c r="A1254" s="19"/>
    </row>
    <row r="1255" spans="1:1">
      <c r="A1255" s="19"/>
    </row>
    <row r="1256" spans="1:1">
      <c r="A1256" s="19"/>
    </row>
    <row r="1257" spans="1:1">
      <c r="A1257" s="19"/>
    </row>
    <row r="1258" spans="1:1">
      <c r="A1258" s="19"/>
    </row>
    <row r="1259" spans="1:1">
      <c r="A1259" s="19"/>
    </row>
    <row r="1260" spans="1:1">
      <c r="A1260" s="19"/>
    </row>
    <row r="1261" spans="1:1">
      <c r="A1261" s="19"/>
    </row>
    <row r="1262" spans="1:1">
      <c r="A1262" s="19"/>
    </row>
    <row r="1263" spans="1:1">
      <c r="A1263" s="19"/>
    </row>
    <row r="1264" spans="1:1">
      <c r="A1264" s="19"/>
    </row>
    <row r="1265" spans="1:1">
      <c r="A1265" s="19"/>
    </row>
    <row r="1266" spans="1:1">
      <c r="A1266" s="19"/>
    </row>
    <row r="1267" spans="1:1">
      <c r="A1267" s="19"/>
    </row>
    <row r="1268" spans="1:1">
      <c r="A1268" s="19"/>
    </row>
    <row r="1269" spans="1:1">
      <c r="A1269" s="19"/>
    </row>
    <row r="1270" spans="1:1">
      <c r="A1270" s="19"/>
    </row>
    <row r="1271" spans="1:1">
      <c r="A1271" s="19"/>
    </row>
    <row r="1272" spans="1:1">
      <c r="A1272" s="19"/>
    </row>
    <row r="1273" spans="1:1">
      <c r="A1273" s="19"/>
    </row>
    <row r="1274" spans="1:1">
      <c r="A1274" s="19"/>
    </row>
    <row r="1275" spans="1:1">
      <c r="A1275" s="19"/>
    </row>
    <row r="1276" spans="1:1">
      <c r="A1276" s="19"/>
    </row>
    <row r="1277" spans="1:1">
      <c r="A1277" s="19"/>
    </row>
    <row r="1278" spans="1:1">
      <c r="A1278" s="19"/>
    </row>
    <row r="1279" spans="1:1">
      <c r="A1279" s="19"/>
    </row>
    <row r="1280" spans="1:1">
      <c r="A1280" s="19"/>
    </row>
    <row r="1281" spans="1:1">
      <c r="A1281" s="19"/>
    </row>
    <row r="1282" spans="1:1">
      <c r="A1282" s="19"/>
    </row>
    <row r="1283" spans="1:1">
      <c r="A1283" s="19"/>
    </row>
    <row r="1284" spans="1:1">
      <c r="A1284" s="19"/>
    </row>
    <row r="1285" spans="1:1">
      <c r="A1285" s="19"/>
    </row>
    <row r="1286" spans="1:1">
      <c r="A1286" s="19"/>
    </row>
  </sheetData>
  <autoFilter ref="A1:F900" xr:uid="{8CC8D2D4-E231-46A4-A1F1-73E190EDC27E}"/>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9BCC9E35-458E-4938-92F9-BC9F881FF83B}">
          <x14:formula1>
            <xm:f>'План-Факт'!$V$2:$V$3</xm:f>
          </x14:formula1>
          <xm:sqref>G2:G6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595DC-36DB-4844-9037-92D6AA2AB981}">
  <sheetPr>
    <tabColor theme="9" tint="0.79998168889431442"/>
  </sheetPr>
  <dimension ref="A1:T21"/>
  <sheetViews>
    <sheetView zoomScale="110" zoomScaleNormal="110" workbookViewId="0">
      <selection activeCell="I4" sqref="I4"/>
    </sheetView>
  </sheetViews>
  <sheetFormatPr baseColWidth="10" defaultColWidth="8.83203125" defaultRowHeight="15"/>
  <cols>
    <col min="1" max="1" width="11.5" customWidth="1"/>
    <col min="2" max="2" width="12" customWidth="1"/>
    <col min="4" max="4" width="14.33203125" customWidth="1"/>
    <col min="5" max="5" width="14" customWidth="1"/>
    <col min="6" max="6" width="14.33203125" customWidth="1"/>
    <col min="9" max="9" width="24" bestFit="1" customWidth="1"/>
    <col min="10" max="10" width="19.1640625" bestFit="1" customWidth="1"/>
    <col min="11" max="11" width="9.6640625" bestFit="1" customWidth="1"/>
    <col min="12" max="12" width="10" bestFit="1" customWidth="1"/>
    <col min="13" max="13" width="9.6640625" bestFit="1" customWidth="1"/>
    <col min="14" max="14" width="9.5" bestFit="1" customWidth="1"/>
    <col min="15" max="15" width="9" bestFit="1" customWidth="1"/>
    <col min="16" max="16" width="9.83203125" bestFit="1" customWidth="1"/>
    <col min="17" max="17" width="9.6640625" bestFit="1" customWidth="1"/>
    <col min="18" max="18" width="9.5" bestFit="1" customWidth="1"/>
    <col min="19" max="19" width="9.83203125" bestFit="1" customWidth="1"/>
    <col min="20" max="20" width="10.6640625" bestFit="1" customWidth="1"/>
    <col min="21" max="21" width="23.1640625" bestFit="1" customWidth="1"/>
    <col min="22" max="22" width="24" bestFit="1" customWidth="1"/>
    <col min="23" max="23" width="23.1640625" bestFit="1" customWidth="1"/>
    <col min="24" max="24" width="24" bestFit="1" customWidth="1"/>
    <col min="25" max="25" width="23.1640625" bestFit="1" customWidth="1"/>
    <col min="26" max="26" width="24" bestFit="1" customWidth="1"/>
    <col min="27" max="27" width="23.1640625" bestFit="1" customWidth="1"/>
    <col min="28" max="28" width="24" bestFit="1" customWidth="1"/>
    <col min="29" max="29" width="23.1640625" bestFit="1" customWidth="1"/>
    <col min="30" max="30" width="28" bestFit="1" customWidth="1"/>
    <col min="31" max="31" width="27.33203125" bestFit="1" customWidth="1"/>
  </cols>
  <sheetData>
    <row r="1" spans="1:20" ht="17">
      <c r="A1" s="18" t="s">
        <v>94</v>
      </c>
      <c r="B1" t="s">
        <v>105</v>
      </c>
      <c r="C1" t="s">
        <v>106</v>
      </c>
      <c r="D1" t="s">
        <v>96</v>
      </c>
      <c r="E1" t="s">
        <v>97</v>
      </c>
      <c r="F1" t="s">
        <v>98</v>
      </c>
      <c r="G1" t="s">
        <v>99</v>
      </c>
      <c r="I1" s="110" t="s">
        <v>16</v>
      </c>
      <c r="J1" s="3"/>
      <c r="K1" s="3"/>
    </row>
    <row r="2" spans="1:20">
      <c r="A2" s="19">
        <v>46023</v>
      </c>
      <c r="B2" t="s">
        <v>107</v>
      </c>
      <c r="C2" t="s">
        <v>108</v>
      </c>
      <c r="D2">
        <v>100005000</v>
      </c>
      <c r="E2" t="s">
        <v>71</v>
      </c>
      <c r="F2" t="s">
        <v>83</v>
      </c>
      <c r="G2">
        <v>100000</v>
      </c>
      <c r="I2" s="13" t="s">
        <v>18</v>
      </c>
      <c r="J2" s="1" t="str">
        <f>IF(I2="Нет", " ", "Сформируйте сводную таблицу по представленному массиву данных.")</f>
        <v xml:space="preserve"> </v>
      </c>
    </row>
    <row r="3" spans="1:20">
      <c r="A3" s="19">
        <v>46023</v>
      </c>
      <c r="B3" t="s">
        <v>107</v>
      </c>
      <c r="C3" t="s">
        <v>108</v>
      </c>
      <c r="D3">
        <v>100005001</v>
      </c>
      <c r="E3" t="s">
        <v>65</v>
      </c>
      <c r="F3" t="s">
        <v>21</v>
      </c>
      <c r="G3">
        <v>100000</v>
      </c>
      <c r="I3" s="13" t="s">
        <v>18</v>
      </c>
      <c r="J3" s="1" t="str">
        <f>IF(I3="Нет", " ", "В сводной таблице добавьте в поле Столбцы даты, в поле Строки направление, в поле Значения сумму. Сравните получившиеся данные со значениями на листе Свод факта.")</f>
        <v xml:space="preserve"> </v>
      </c>
    </row>
    <row r="4" spans="1:20">
      <c r="A4" s="19">
        <v>46023</v>
      </c>
      <c r="B4" t="s">
        <v>107</v>
      </c>
      <c r="C4" t="s">
        <v>108</v>
      </c>
      <c r="D4">
        <v>100005002</v>
      </c>
      <c r="E4" t="s">
        <v>66</v>
      </c>
      <c r="F4" t="s">
        <v>21</v>
      </c>
      <c r="G4">
        <v>100000</v>
      </c>
      <c r="I4" s="13" t="s">
        <v>18</v>
      </c>
      <c r="J4" s="1" t="str">
        <f>IF(I4="Нет", " ", "Для сравнения со значениями на листе Свод факта приведите данные сводной таблицы к месячному формату, разделив их на 24.")</f>
        <v xml:space="preserve"> </v>
      </c>
    </row>
    <row r="5" spans="1:20">
      <c r="A5" s="19">
        <v>46023</v>
      </c>
      <c r="B5" t="s">
        <v>107</v>
      </c>
      <c r="C5" t="s">
        <v>108</v>
      </c>
      <c r="D5">
        <v>100005003</v>
      </c>
      <c r="E5" t="s">
        <v>67</v>
      </c>
      <c r="F5" t="s">
        <v>21</v>
      </c>
      <c r="G5">
        <v>100000</v>
      </c>
    </row>
    <row r="6" spans="1:20">
      <c r="A6" s="19">
        <v>46023</v>
      </c>
      <c r="B6" t="s">
        <v>107</v>
      </c>
      <c r="C6" t="s">
        <v>108</v>
      </c>
      <c r="D6">
        <v>100005004</v>
      </c>
      <c r="E6" t="s">
        <v>68</v>
      </c>
      <c r="F6" t="s">
        <v>21</v>
      </c>
      <c r="G6">
        <v>100000</v>
      </c>
    </row>
    <row r="7" spans="1:20">
      <c r="A7" s="19">
        <v>46023</v>
      </c>
      <c r="B7" t="s">
        <v>107</v>
      </c>
      <c r="C7" t="s">
        <v>108</v>
      </c>
      <c r="D7">
        <v>100005005</v>
      </c>
      <c r="E7" t="s">
        <v>69</v>
      </c>
      <c r="F7" t="s">
        <v>21</v>
      </c>
      <c r="G7">
        <v>100000</v>
      </c>
    </row>
    <row r="8" spans="1:20">
      <c r="A8" s="19">
        <v>46023</v>
      </c>
      <c r="B8" t="s">
        <v>107</v>
      </c>
      <c r="C8" t="s">
        <v>108</v>
      </c>
      <c r="D8">
        <v>100005006</v>
      </c>
      <c r="E8" t="s">
        <v>65</v>
      </c>
      <c r="F8" t="s">
        <v>22</v>
      </c>
      <c r="G8">
        <v>100000</v>
      </c>
    </row>
    <row r="9" spans="1:20">
      <c r="A9" s="19">
        <v>46023</v>
      </c>
      <c r="B9" t="s">
        <v>107</v>
      </c>
      <c r="C9" t="s">
        <v>108</v>
      </c>
      <c r="D9">
        <v>100005007</v>
      </c>
      <c r="E9" t="s">
        <v>67</v>
      </c>
      <c r="F9" t="s">
        <v>22</v>
      </c>
      <c r="G9">
        <v>100000</v>
      </c>
    </row>
    <row r="10" spans="1:20">
      <c r="A10" s="19">
        <v>46023</v>
      </c>
      <c r="B10" t="s">
        <v>107</v>
      </c>
      <c r="C10" t="s">
        <v>108</v>
      </c>
      <c r="D10">
        <v>100005008</v>
      </c>
      <c r="E10" t="s">
        <v>69</v>
      </c>
      <c r="F10" t="s">
        <v>22</v>
      </c>
      <c r="G10">
        <v>100000</v>
      </c>
      <c r="I10" s="258" t="s">
        <v>217</v>
      </c>
      <c r="J10" s="258" t="s">
        <v>216</v>
      </c>
    </row>
    <row r="11" spans="1:20">
      <c r="A11" s="19">
        <v>46023</v>
      </c>
      <c r="B11" t="s">
        <v>107</v>
      </c>
      <c r="C11" t="s">
        <v>108</v>
      </c>
      <c r="D11">
        <v>100005009</v>
      </c>
      <c r="E11" t="s">
        <v>70</v>
      </c>
      <c r="F11" t="s">
        <v>22</v>
      </c>
      <c r="G11">
        <v>100000</v>
      </c>
      <c r="I11" s="258" t="s">
        <v>214</v>
      </c>
      <c r="J11" s="19">
        <v>46023</v>
      </c>
      <c r="K11" s="19">
        <v>46054</v>
      </c>
      <c r="L11" s="19">
        <v>46082</v>
      </c>
      <c r="M11" s="19">
        <v>46113</v>
      </c>
      <c r="N11" s="19">
        <v>46174</v>
      </c>
      <c r="O11" s="19">
        <v>46204</v>
      </c>
      <c r="P11" s="19">
        <v>46235</v>
      </c>
      <c r="Q11" s="19">
        <v>46266</v>
      </c>
      <c r="R11" s="19">
        <v>46296</v>
      </c>
      <c r="S11" s="19">
        <v>46357</v>
      </c>
      <c r="T11" s="19" t="s">
        <v>215</v>
      </c>
    </row>
    <row r="12" spans="1:20">
      <c r="A12" s="19">
        <v>46054</v>
      </c>
      <c r="B12" t="s">
        <v>107</v>
      </c>
      <c r="C12" t="s">
        <v>108</v>
      </c>
      <c r="D12">
        <v>100005010</v>
      </c>
      <c r="E12" t="s">
        <v>70</v>
      </c>
      <c r="F12" t="s">
        <v>22</v>
      </c>
      <c r="G12">
        <v>100000</v>
      </c>
      <c r="I12" s="259" t="s">
        <v>83</v>
      </c>
      <c r="J12" s="260">
        <v>100000</v>
      </c>
      <c r="K12" s="260"/>
      <c r="L12" s="260"/>
      <c r="M12" s="260"/>
      <c r="N12" s="260"/>
      <c r="O12" s="260"/>
      <c r="P12" s="260"/>
      <c r="Q12" s="260"/>
      <c r="R12" s="260"/>
      <c r="S12" s="260"/>
      <c r="T12" s="260">
        <v>100000</v>
      </c>
    </row>
    <row r="13" spans="1:20">
      <c r="A13" s="19">
        <v>46082</v>
      </c>
      <c r="B13" t="s">
        <v>107</v>
      </c>
      <c r="C13" t="s">
        <v>108</v>
      </c>
      <c r="D13">
        <v>100005011</v>
      </c>
      <c r="E13" t="s">
        <v>70</v>
      </c>
      <c r="F13" t="s">
        <v>22</v>
      </c>
      <c r="G13">
        <v>100000</v>
      </c>
      <c r="I13" s="259" t="s">
        <v>21</v>
      </c>
      <c r="J13" s="260">
        <v>500000</v>
      </c>
      <c r="K13" s="260"/>
      <c r="L13" s="260"/>
      <c r="M13" s="260"/>
      <c r="N13" s="260"/>
      <c r="O13" s="260"/>
      <c r="P13" s="260"/>
      <c r="Q13" s="260"/>
      <c r="R13" s="260"/>
      <c r="S13" s="260"/>
      <c r="T13" s="260">
        <v>500000</v>
      </c>
    </row>
    <row r="14" spans="1:20">
      <c r="A14" s="19">
        <v>46113</v>
      </c>
      <c r="B14" t="s">
        <v>107</v>
      </c>
      <c r="C14" t="s">
        <v>108</v>
      </c>
      <c r="D14">
        <v>100005012</v>
      </c>
      <c r="E14" t="s">
        <v>70</v>
      </c>
      <c r="F14" t="s">
        <v>22</v>
      </c>
      <c r="G14">
        <v>100000</v>
      </c>
      <c r="I14" s="259" t="s">
        <v>22</v>
      </c>
      <c r="J14" s="260">
        <v>400000</v>
      </c>
      <c r="K14" s="260">
        <v>100000</v>
      </c>
      <c r="L14" s="260">
        <v>100000</v>
      </c>
      <c r="M14" s="260">
        <v>100000</v>
      </c>
      <c r="N14" s="260">
        <v>100000</v>
      </c>
      <c r="O14" s="260">
        <v>100000</v>
      </c>
      <c r="P14" s="260">
        <v>100000</v>
      </c>
      <c r="Q14" s="260">
        <v>100000</v>
      </c>
      <c r="R14" s="260">
        <v>100000</v>
      </c>
      <c r="S14" s="260">
        <v>100000</v>
      </c>
      <c r="T14" s="260">
        <v>1300000</v>
      </c>
    </row>
    <row r="15" spans="1:20">
      <c r="A15" s="19">
        <v>46174</v>
      </c>
      <c r="B15" t="s">
        <v>107</v>
      </c>
      <c r="C15" t="s">
        <v>108</v>
      </c>
      <c r="D15">
        <v>100005013</v>
      </c>
      <c r="E15" t="s">
        <v>70</v>
      </c>
      <c r="F15" t="s">
        <v>22</v>
      </c>
      <c r="G15">
        <v>100000</v>
      </c>
      <c r="I15" s="259" t="s">
        <v>215</v>
      </c>
      <c r="J15" s="260">
        <v>1000000</v>
      </c>
      <c r="K15" s="260">
        <v>100000</v>
      </c>
      <c r="L15" s="260">
        <v>100000</v>
      </c>
      <c r="M15" s="260">
        <v>100000</v>
      </c>
      <c r="N15" s="260">
        <v>100000</v>
      </c>
      <c r="O15" s="260">
        <v>100000</v>
      </c>
      <c r="P15" s="260">
        <v>100000</v>
      </c>
      <c r="Q15" s="260">
        <v>100000</v>
      </c>
      <c r="R15" s="260">
        <v>100000</v>
      </c>
      <c r="S15" s="260">
        <v>100000</v>
      </c>
      <c r="T15" s="260">
        <v>1900000</v>
      </c>
    </row>
    <row r="16" spans="1:20">
      <c r="A16" s="19">
        <v>46204</v>
      </c>
      <c r="B16" t="s">
        <v>107</v>
      </c>
      <c r="C16" t="s">
        <v>108</v>
      </c>
      <c r="D16">
        <v>100005014</v>
      </c>
      <c r="E16" t="s">
        <v>70</v>
      </c>
      <c r="F16" t="s">
        <v>22</v>
      </c>
      <c r="G16">
        <v>100000</v>
      </c>
    </row>
    <row r="17" spans="1:20">
      <c r="A17" s="19">
        <v>46235</v>
      </c>
      <c r="B17" t="s">
        <v>107</v>
      </c>
      <c r="C17" t="s">
        <v>108</v>
      </c>
      <c r="D17">
        <v>100005015</v>
      </c>
      <c r="E17" t="s">
        <v>70</v>
      </c>
      <c r="F17" t="s">
        <v>22</v>
      </c>
      <c r="G17">
        <v>100000</v>
      </c>
      <c r="I17" s="290" t="s">
        <v>223</v>
      </c>
      <c r="J17" s="290"/>
      <c r="K17" s="290"/>
      <c r="L17" s="290"/>
      <c r="M17" s="290"/>
      <c r="N17" s="290"/>
      <c r="O17" s="290"/>
      <c r="P17" s="290"/>
      <c r="Q17" s="290"/>
      <c r="R17" s="290"/>
      <c r="S17" s="290"/>
    </row>
    <row r="18" spans="1:20">
      <c r="A18" s="19">
        <v>46266</v>
      </c>
      <c r="B18" t="s">
        <v>107</v>
      </c>
      <c r="C18" t="s">
        <v>108</v>
      </c>
      <c r="D18">
        <v>100005016</v>
      </c>
      <c r="E18" t="s">
        <v>70</v>
      </c>
      <c r="F18" t="s">
        <v>22</v>
      </c>
      <c r="G18">
        <v>100000</v>
      </c>
      <c r="I18" s="291"/>
      <c r="J18" s="294">
        <v>46023</v>
      </c>
      <c r="K18" s="294">
        <v>46054</v>
      </c>
      <c r="L18" s="294">
        <v>46082</v>
      </c>
      <c r="M18" s="294">
        <v>46113</v>
      </c>
      <c r="N18" s="294">
        <v>46174</v>
      </c>
      <c r="O18" s="294">
        <v>46204</v>
      </c>
      <c r="P18" s="294">
        <v>46235</v>
      </c>
      <c r="Q18" s="294">
        <v>46266</v>
      </c>
      <c r="R18" s="294">
        <v>46296</v>
      </c>
      <c r="S18" s="294">
        <v>46357</v>
      </c>
    </row>
    <row r="19" spans="1:20">
      <c r="A19" s="19">
        <v>46296</v>
      </c>
      <c r="B19" t="s">
        <v>107</v>
      </c>
      <c r="C19" t="s">
        <v>108</v>
      </c>
      <c r="D19">
        <v>100005017</v>
      </c>
      <c r="E19" t="s">
        <v>70</v>
      </c>
      <c r="F19" t="s">
        <v>22</v>
      </c>
      <c r="G19">
        <v>100000</v>
      </c>
      <c r="I19" s="259" t="s">
        <v>83</v>
      </c>
      <c r="J19" s="260">
        <f>GETPIVOTDATA("Сумма, руб.",$I$10,"Дата",DATE(2026,1,1),"Направление","Бухгалтерия")/24</f>
        <v>4166.666666666667</v>
      </c>
      <c r="K19" s="260">
        <v>4166.666666666667</v>
      </c>
      <c r="L19" s="260">
        <v>4166.666666666667</v>
      </c>
      <c r="M19" s="260">
        <v>4166.666666666667</v>
      </c>
      <c r="N19" s="260">
        <v>4166.666666666667</v>
      </c>
      <c r="O19" s="260">
        <v>4166.666666666667</v>
      </c>
      <c r="P19" s="260">
        <v>4166.666666666667</v>
      </c>
      <c r="Q19" s="260">
        <v>4166.666666666667</v>
      </c>
      <c r="R19" s="260">
        <v>4166.666666666667</v>
      </c>
      <c r="S19" s="260">
        <v>4166.666666666667</v>
      </c>
      <c r="T19" s="260"/>
    </row>
    <row r="20" spans="1:20">
      <c r="A20" s="19">
        <v>46357</v>
      </c>
      <c r="B20" t="s">
        <v>107</v>
      </c>
      <c r="C20" t="s">
        <v>108</v>
      </c>
      <c r="D20">
        <v>100005018</v>
      </c>
      <c r="E20" t="s">
        <v>70</v>
      </c>
      <c r="F20" t="s">
        <v>22</v>
      </c>
      <c r="G20">
        <v>100000</v>
      </c>
      <c r="I20" s="259" t="s">
        <v>21</v>
      </c>
      <c r="J20" s="260">
        <f>GETPIVOTDATA("Сумма, руб.",$I$10,"Дата",DATE(2026,1,1),"Направление","Community")/24</f>
        <v>20833.333333333332</v>
      </c>
      <c r="K20" s="260">
        <v>20833.333333333332</v>
      </c>
      <c r="L20" s="260">
        <v>20833.333333333332</v>
      </c>
      <c r="M20" s="260">
        <v>20833.333333333332</v>
      </c>
      <c r="N20" s="260">
        <v>20833.333333333332</v>
      </c>
      <c r="O20" s="260">
        <v>20833.333333333332</v>
      </c>
      <c r="P20" s="260">
        <v>20833.333333333332</v>
      </c>
      <c r="Q20" s="260">
        <v>20833.333333333332</v>
      </c>
      <c r="R20" s="260">
        <v>20833.333333333332</v>
      </c>
      <c r="S20" s="260">
        <v>20833.333333333332</v>
      </c>
    </row>
    <row r="21" spans="1:20">
      <c r="I21" s="259" t="s">
        <v>22</v>
      </c>
      <c r="J21" s="260">
        <f>GETPIVOTDATA("Сумма, руб.",$I$10,"Дата",DATE(2026,1,1),"Направление","Education")/24</f>
        <v>16666.666666666668</v>
      </c>
      <c r="K21" s="260">
        <f>SUM(J14:K14)/24</f>
        <v>20833.333333333332</v>
      </c>
      <c r="L21" s="260">
        <f>SUM(J14:L14)/24</f>
        <v>25000</v>
      </c>
      <c r="M21" s="260">
        <f>SUM(J14:M14)/24</f>
        <v>29166.666666666668</v>
      </c>
      <c r="N21" s="260">
        <f>SUM(J14:N14)/24</f>
        <v>33333.333333333336</v>
      </c>
      <c r="O21" s="260">
        <f>SUM(J14:O14)/24</f>
        <v>37500</v>
      </c>
      <c r="P21" s="260">
        <f>SUM(J14:P14)/24</f>
        <v>41666.666666666664</v>
      </c>
      <c r="Q21" s="260">
        <f>SUM(J14:Q14)/24</f>
        <v>45833.333333333336</v>
      </c>
      <c r="R21" s="260">
        <f>SUM(J14:R14)/24</f>
        <v>50000</v>
      </c>
      <c r="S21" s="260">
        <f>SUM(J14:S14)/24</f>
        <v>54166.666666666664</v>
      </c>
    </row>
  </sheetData>
  <phoneticPr fontId="8" type="noConversion"/>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3628306B-CA2F-4063-92DD-135D762DD9B5}">
          <x14:formula1>
            <xm:f>'План-Факт'!$V$2:$V$3</xm:f>
          </x14:formula1>
          <xm:sqref>I2:I4</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66054-2B24-4A91-8204-4FA845CCEC52}">
  <sheetPr>
    <tabColor theme="9" tint="0.79998168889431442"/>
  </sheetPr>
  <dimension ref="A1:V75"/>
  <sheetViews>
    <sheetView topLeftCell="C1" zoomScale="110" zoomScaleNormal="110" workbookViewId="0">
      <selection activeCell="J6" sqref="J6"/>
    </sheetView>
  </sheetViews>
  <sheetFormatPr baseColWidth="10" defaultColWidth="8.83203125" defaultRowHeight="15"/>
  <cols>
    <col min="1" max="1" width="10.5" style="18" bestFit="1" customWidth="1"/>
    <col min="2" max="2" width="9.1640625" customWidth="1"/>
    <col min="3" max="3" width="16.33203125" customWidth="1"/>
    <col min="4" max="5" width="14.33203125" customWidth="1"/>
    <col min="6" max="6" width="28.83203125" customWidth="1"/>
    <col min="7" max="7" width="13.5" customWidth="1"/>
    <col min="10" max="10" width="16.33203125" bestFit="1" customWidth="1"/>
    <col min="11" max="11" width="24" bestFit="1" customWidth="1"/>
    <col min="12" max="12" width="19.1640625" bestFit="1" customWidth="1"/>
    <col min="13" max="13" width="9.6640625" bestFit="1" customWidth="1"/>
    <col min="14" max="14" width="10" bestFit="1" customWidth="1"/>
    <col min="15" max="15" width="9.6640625" bestFit="1" customWidth="1"/>
    <col min="16" max="16" width="9.5" bestFit="1" customWidth="1"/>
    <col min="17" max="17" width="9" bestFit="1" customWidth="1"/>
    <col min="18" max="18" width="9.83203125" bestFit="1" customWidth="1"/>
    <col min="19" max="19" width="9.6640625" bestFit="1" customWidth="1"/>
    <col min="20" max="20" width="9.5" bestFit="1" customWidth="1"/>
    <col min="21" max="21" width="9.83203125" bestFit="1" customWidth="1"/>
    <col min="22" max="22" width="10.6640625" bestFit="1" customWidth="1"/>
  </cols>
  <sheetData>
    <row r="1" spans="1:22" ht="17">
      <c r="A1" s="18" t="s">
        <v>94</v>
      </c>
      <c r="B1" t="s">
        <v>109</v>
      </c>
      <c r="C1" t="s">
        <v>96</v>
      </c>
      <c r="D1" t="s">
        <v>97</v>
      </c>
      <c r="E1" t="s">
        <v>98</v>
      </c>
      <c r="F1" t="s">
        <v>110</v>
      </c>
      <c r="G1" t="s">
        <v>111</v>
      </c>
      <c r="H1" t="s">
        <v>99</v>
      </c>
      <c r="J1" s="110" t="s">
        <v>16</v>
      </c>
    </row>
    <row r="2" spans="1:22">
      <c r="A2" s="19">
        <v>46023</v>
      </c>
      <c r="B2" s="2" t="s">
        <v>90</v>
      </c>
      <c r="C2">
        <v>100005000</v>
      </c>
      <c r="D2" t="s">
        <v>71</v>
      </c>
      <c r="E2" t="s">
        <v>83</v>
      </c>
      <c r="F2">
        <v>110.99</v>
      </c>
      <c r="G2">
        <v>91</v>
      </c>
      <c r="H2">
        <f>F2*G2</f>
        <v>10100.09</v>
      </c>
      <c r="J2" s="13" t="s">
        <v>18</v>
      </c>
      <c r="K2" s="1" t="str">
        <f>IF(J2="Нет", " ", "Сформируйте сводную таблицу по представленному массиву данных.")</f>
        <v xml:space="preserve"> </v>
      </c>
    </row>
    <row r="3" spans="1:22">
      <c r="A3" s="19">
        <v>46023</v>
      </c>
      <c r="B3" s="2" t="s">
        <v>85</v>
      </c>
      <c r="C3">
        <v>100005000</v>
      </c>
      <c r="D3" t="s">
        <v>71</v>
      </c>
      <c r="E3" t="s">
        <v>83</v>
      </c>
      <c r="F3">
        <v>332.99</v>
      </c>
      <c r="G3">
        <v>91</v>
      </c>
      <c r="H3">
        <f t="shared" ref="H3:H66" si="0">F3*G3</f>
        <v>30302.09</v>
      </c>
      <c r="J3" s="13" t="s">
        <v>18</v>
      </c>
      <c r="K3" s="1" t="str">
        <f>IF(J3="Нет", " ", "В сводной таблице добавьте в поле Столбцы даты, в поле Строки направление и лицензия, в поле Значения сумму. Сравните получившиеся данные со значениями на листе Свод факта.")</f>
        <v xml:space="preserve"> </v>
      </c>
    </row>
    <row r="4" spans="1:22">
      <c r="A4" s="19">
        <v>46023</v>
      </c>
      <c r="B4" s="2" t="s">
        <v>85</v>
      </c>
      <c r="C4">
        <v>100005001</v>
      </c>
      <c r="D4" t="s">
        <v>65</v>
      </c>
      <c r="E4" t="s">
        <v>21</v>
      </c>
      <c r="F4">
        <v>332.99</v>
      </c>
      <c r="G4">
        <v>91</v>
      </c>
      <c r="H4">
        <f t="shared" si="0"/>
        <v>30302.09</v>
      </c>
      <c r="J4" s="13" t="s">
        <v>18</v>
      </c>
      <c r="K4" s="1" t="str">
        <f>IF(J4="Нет", " ", "Сравните стоимость отдельной лицензии с плановой.")</f>
        <v xml:space="preserve"> </v>
      </c>
    </row>
    <row r="5" spans="1:22">
      <c r="A5" s="19">
        <v>46023</v>
      </c>
      <c r="B5" s="2" t="s">
        <v>86</v>
      </c>
      <c r="C5">
        <v>100005001</v>
      </c>
      <c r="D5" t="s">
        <v>65</v>
      </c>
      <c r="E5" t="s">
        <v>21</v>
      </c>
      <c r="F5">
        <v>154.99</v>
      </c>
      <c r="G5">
        <v>91</v>
      </c>
      <c r="H5">
        <f t="shared" si="0"/>
        <v>14104.09</v>
      </c>
      <c r="J5" s="13" t="s">
        <v>18</v>
      </c>
      <c r="K5" s="1" t="str">
        <f>IF(J5="Нет", " ", "Для сравнения со значениями на листе Свод факта приведите данные сводной таблицы к месячному формату, разделив их на 12.")</f>
        <v xml:space="preserve"> </v>
      </c>
    </row>
    <row r="6" spans="1:22">
      <c r="A6" s="19">
        <v>46023</v>
      </c>
      <c r="B6" s="2" t="s">
        <v>87</v>
      </c>
      <c r="C6">
        <v>100005001</v>
      </c>
      <c r="D6" t="s">
        <v>65</v>
      </c>
      <c r="E6" t="s">
        <v>21</v>
      </c>
      <c r="F6">
        <v>110.99</v>
      </c>
      <c r="G6">
        <v>91</v>
      </c>
      <c r="H6">
        <f t="shared" si="0"/>
        <v>10100.09</v>
      </c>
      <c r="J6" s="13" t="s">
        <v>18</v>
      </c>
      <c r="K6" s="1" t="str">
        <f>IF(J6="Нет", " ", "Проверьте, был ли заложен рост курса доллара в плановой стоимости лицензий?")</f>
        <v xml:space="preserve"> </v>
      </c>
    </row>
    <row r="7" spans="1:22">
      <c r="A7" s="19">
        <v>46023</v>
      </c>
      <c r="B7" s="2" t="s">
        <v>88</v>
      </c>
      <c r="C7">
        <v>100005001</v>
      </c>
      <c r="D7" t="s">
        <v>65</v>
      </c>
      <c r="E7" t="s">
        <v>21</v>
      </c>
      <c r="F7">
        <v>732.5</v>
      </c>
      <c r="G7">
        <v>91</v>
      </c>
      <c r="H7">
        <f t="shared" si="0"/>
        <v>66657.5</v>
      </c>
    </row>
    <row r="8" spans="1:22">
      <c r="A8" s="19">
        <v>46023</v>
      </c>
      <c r="B8" s="2" t="s">
        <v>85</v>
      </c>
      <c r="C8">
        <v>100005002</v>
      </c>
      <c r="D8" t="s">
        <v>66</v>
      </c>
      <c r="E8" t="s">
        <v>21</v>
      </c>
      <c r="F8">
        <v>332.99</v>
      </c>
      <c r="G8">
        <v>91</v>
      </c>
      <c r="H8">
        <f t="shared" si="0"/>
        <v>30302.09</v>
      </c>
    </row>
    <row r="9" spans="1:22">
      <c r="A9" s="19">
        <v>46023</v>
      </c>
      <c r="B9" s="2" t="s">
        <v>86</v>
      </c>
      <c r="C9">
        <v>100005002</v>
      </c>
      <c r="D9" t="s">
        <v>66</v>
      </c>
      <c r="E9" t="s">
        <v>21</v>
      </c>
      <c r="F9">
        <v>154.99</v>
      </c>
      <c r="G9">
        <v>91</v>
      </c>
      <c r="H9">
        <f t="shared" si="0"/>
        <v>14104.09</v>
      </c>
    </row>
    <row r="10" spans="1:22">
      <c r="A10" s="19">
        <v>46023</v>
      </c>
      <c r="B10" s="2" t="s">
        <v>87</v>
      </c>
      <c r="C10">
        <v>100005002</v>
      </c>
      <c r="D10" t="s">
        <v>66</v>
      </c>
      <c r="E10" t="s">
        <v>21</v>
      </c>
      <c r="F10">
        <v>110.99</v>
      </c>
      <c r="G10">
        <v>91</v>
      </c>
      <c r="H10">
        <f t="shared" si="0"/>
        <v>10100.09</v>
      </c>
    </row>
    <row r="11" spans="1:22">
      <c r="A11" s="19">
        <v>46023</v>
      </c>
      <c r="B11" s="2" t="s">
        <v>88</v>
      </c>
      <c r="C11">
        <v>100005002</v>
      </c>
      <c r="D11" t="s">
        <v>66</v>
      </c>
      <c r="E11" t="s">
        <v>21</v>
      </c>
      <c r="F11">
        <v>732.5</v>
      </c>
      <c r="G11">
        <v>91</v>
      </c>
      <c r="H11">
        <f t="shared" si="0"/>
        <v>66657.5</v>
      </c>
    </row>
    <row r="12" spans="1:22">
      <c r="A12" s="19">
        <v>46023</v>
      </c>
      <c r="B12" s="2" t="s">
        <v>85</v>
      </c>
      <c r="C12">
        <v>100005003</v>
      </c>
      <c r="D12" t="s">
        <v>67</v>
      </c>
      <c r="E12" t="s">
        <v>21</v>
      </c>
      <c r="F12">
        <v>332.99</v>
      </c>
      <c r="G12">
        <v>91</v>
      </c>
      <c r="H12">
        <f t="shared" si="0"/>
        <v>30302.09</v>
      </c>
    </row>
    <row r="13" spans="1:22">
      <c r="A13" s="19">
        <v>46023</v>
      </c>
      <c r="B13" s="2" t="s">
        <v>86</v>
      </c>
      <c r="C13">
        <v>100005003</v>
      </c>
      <c r="D13" t="s">
        <v>67</v>
      </c>
      <c r="E13" t="s">
        <v>21</v>
      </c>
      <c r="F13">
        <v>154.99</v>
      </c>
      <c r="G13">
        <v>91</v>
      </c>
      <c r="H13">
        <f t="shared" si="0"/>
        <v>14104.09</v>
      </c>
    </row>
    <row r="14" spans="1:22">
      <c r="A14" s="19">
        <v>46023</v>
      </c>
      <c r="B14" s="2" t="s">
        <v>87</v>
      </c>
      <c r="C14">
        <v>100005003</v>
      </c>
      <c r="D14" t="s">
        <v>67</v>
      </c>
      <c r="E14" t="s">
        <v>21</v>
      </c>
      <c r="F14">
        <v>110.99</v>
      </c>
      <c r="G14">
        <v>91</v>
      </c>
      <c r="H14">
        <f t="shared" si="0"/>
        <v>10100.09</v>
      </c>
      <c r="K14" s="258" t="s">
        <v>217</v>
      </c>
      <c r="L14" s="258" t="s">
        <v>216</v>
      </c>
    </row>
    <row r="15" spans="1:22">
      <c r="A15" s="19">
        <v>46023</v>
      </c>
      <c r="B15" s="2" t="s">
        <v>88</v>
      </c>
      <c r="C15">
        <v>100005003</v>
      </c>
      <c r="D15" t="s">
        <v>67</v>
      </c>
      <c r="E15" t="s">
        <v>21</v>
      </c>
      <c r="F15">
        <v>732.5</v>
      </c>
      <c r="G15">
        <v>91</v>
      </c>
      <c r="H15">
        <f t="shared" si="0"/>
        <v>66657.5</v>
      </c>
      <c r="K15" s="258" t="s">
        <v>214</v>
      </c>
      <c r="L15" s="19">
        <v>46023</v>
      </c>
      <c r="M15" s="19">
        <v>46054</v>
      </c>
      <c r="N15" s="19">
        <v>46082</v>
      </c>
      <c r="O15" s="19">
        <v>46113</v>
      </c>
      <c r="P15" s="19">
        <v>46174</v>
      </c>
      <c r="Q15" s="19">
        <v>46204</v>
      </c>
      <c r="R15" s="19">
        <v>46235</v>
      </c>
      <c r="S15" s="19">
        <v>46266</v>
      </c>
      <c r="T15" s="19">
        <v>46296</v>
      </c>
      <c r="U15" s="19">
        <v>46357</v>
      </c>
      <c r="V15" s="19" t="s">
        <v>215</v>
      </c>
    </row>
    <row r="16" spans="1:22">
      <c r="A16" s="19">
        <v>46023</v>
      </c>
      <c r="B16" s="2" t="s">
        <v>85</v>
      </c>
      <c r="C16">
        <v>100005004</v>
      </c>
      <c r="D16" t="s">
        <v>68</v>
      </c>
      <c r="E16" t="s">
        <v>21</v>
      </c>
      <c r="F16">
        <v>332.99</v>
      </c>
      <c r="G16">
        <v>91</v>
      </c>
      <c r="H16">
        <f t="shared" si="0"/>
        <v>30302.09</v>
      </c>
      <c r="K16" s="259" t="s">
        <v>83</v>
      </c>
      <c r="L16" s="260">
        <v>40402.18</v>
      </c>
      <c r="M16" s="260"/>
      <c r="N16" s="260"/>
      <c r="O16" s="260"/>
      <c r="P16" s="260"/>
      <c r="Q16" s="260"/>
      <c r="R16" s="260"/>
      <c r="S16" s="260"/>
      <c r="T16" s="260"/>
      <c r="U16" s="260"/>
      <c r="V16" s="260">
        <v>40402.18</v>
      </c>
    </row>
    <row r="17" spans="1:22">
      <c r="A17" s="19">
        <v>46023</v>
      </c>
      <c r="B17" s="2" t="s">
        <v>86</v>
      </c>
      <c r="C17">
        <v>100005004</v>
      </c>
      <c r="D17" t="s">
        <v>68</v>
      </c>
      <c r="E17" t="s">
        <v>21</v>
      </c>
      <c r="F17">
        <v>154.99</v>
      </c>
      <c r="G17">
        <v>91</v>
      </c>
      <c r="H17">
        <f t="shared" si="0"/>
        <v>14104.09</v>
      </c>
      <c r="K17" s="259" t="s">
        <v>21</v>
      </c>
      <c r="L17" s="260">
        <v>605818.85000000009</v>
      </c>
      <c r="M17" s="260"/>
      <c r="N17" s="260"/>
      <c r="O17" s="260"/>
      <c r="P17" s="260"/>
      <c r="Q17" s="260"/>
      <c r="R17" s="260"/>
      <c r="S17" s="260"/>
      <c r="T17" s="260"/>
      <c r="U17" s="260"/>
      <c r="V17" s="260">
        <v>605818.85000000009</v>
      </c>
    </row>
    <row r="18" spans="1:22">
      <c r="A18" s="19">
        <v>46023</v>
      </c>
      <c r="B18" s="2" t="s">
        <v>87</v>
      </c>
      <c r="C18">
        <v>100005004</v>
      </c>
      <c r="D18" t="s">
        <v>68</v>
      </c>
      <c r="E18" t="s">
        <v>21</v>
      </c>
      <c r="F18">
        <v>110.99</v>
      </c>
      <c r="G18">
        <v>91</v>
      </c>
      <c r="H18">
        <f t="shared" si="0"/>
        <v>10100.09</v>
      </c>
      <c r="K18" s="259" t="s">
        <v>22</v>
      </c>
      <c r="L18" s="260">
        <v>484655.08000000013</v>
      </c>
      <c r="M18" s="260">
        <v>121163.77</v>
      </c>
      <c r="N18" s="260">
        <v>125158.18</v>
      </c>
      <c r="O18" s="260">
        <v>130484.06</v>
      </c>
      <c r="P18" s="260">
        <v>133147</v>
      </c>
      <c r="Q18" s="260">
        <v>138472.88</v>
      </c>
      <c r="R18" s="260">
        <v>143798.76</v>
      </c>
      <c r="S18" s="260">
        <v>145130.23000000001</v>
      </c>
      <c r="T18" s="260">
        <v>145130.23000000001</v>
      </c>
      <c r="U18" s="260">
        <v>137141.41</v>
      </c>
      <c r="V18" s="260">
        <v>1704281.6</v>
      </c>
    </row>
    <row r="19" spans="1:22">
      <c r="A19" s="19">
        <v>46023</v>
      </c>
      <c r="B19" s="2" t="s">
        <v>88</v>
      </c>
      <c r="C19">
        <v>100005004</v>
      </c>
      <c r="D19" t="s">
        <v>68</v>
      </c>
      <c r="E19" t="s">
        <v>21</v>
      </c>
      <c r="F19">
        <v>732.5</v>
      </c>
      <c r="G19">
        <v>91</v>
      </c>
      <c r="H19">
        <f t="shared" si="0"/>
        <v>66657.5</v>
      </c>
      <c r="K19" s="259" t="s">
        <v>215</v>
      </c>
      <c r="L19" s="260">
        <v>1130876.1100000003</v>
      </c>
      <c r="M19" s="260">
        <v>121163.77</v>
      </c>
      <c r="N19" s="260">
        <v>125158.18</v>
      </c>
      <c r="O19" s="260">
        <v>130484.06</v>
      </c>
      <c r="P19" s="260">
        <v>133147</v>
      </c>
      <c r="Q19" s="260">
        <v>138472.88</v>
      </c>
      <c r="R19" s="260">
        <v>143798.76</v>
      </c>
      <c r="S19" s="260">
        <v>145130.23000000001</v>
      </c>
      <c r="T19" s="260">
        <v>145130.23000000001</v>
      </c>
      <c r="U19" s="260">
        <v>137141.41</v>
      </c>
      <c r="V19" s="260">
        <v>2350502.6300000004</v>
      </c>
    </row>
    <row r="20" spans="1:22">
      <c r="A20" s="19">
        <v>46023</v>
      </c>
      <c r="B20" s="2" t="s">
        <v>85</v>
      </c>
      <c r="C20">
        <v>100005005</v>
      </c>
      <c r="D20" t="s">
        <v>69</v>
      </c>
      <c r="E20" t="s">
        <v>21</v>
      </c>
      <c r="F20">
        <v>332.99</v>
      </c>
      <c r="G20">
        <v>91</v>
      </c>
      <c r="H20">
        <f t="shared" si="0"/>
        <v>30302.09</v>
      </c>
    </row>
    <row r="21" spans="1:22">
      <c r="A21" s="19">
        <v>46023</v>
      </c>
      <c r="B21" s="2" t="s">
        <v>86</v>
      </c>
      <c r="C21">
        <v>100005005</v>
      </c>
      <c r="D21" t="s">
        <v>69</v>
      </c>
      <c r="E21" t="s">
        <v>21</v>
      </c>
      <c r="F21">
        <v>154.99</v>
      </c>
      <c r="G21">
        <v>91</v>
      </c>
      <c r="H21">
        <f t="shared" si="0"/>
        <v>14104.09</v>
      </c>
    </row>
    <row r="22" spans="1:22">
      <c r="A22" s="19">
        <v>46023</v>
      </c>
      <c r="B22" s="2" t="s">
        <v>87</v>
      </c>
      <c r="C22">
        <v>100005005</v>
      </c>
      <c r="D22" t="s">
        <v>69</v>
      </c>
      <c r="E22" t="s">
        <v>21</v>
      </c>
      <c r="F22">
        <v>110.99</v>
      </c>
      <c r="G22">
        <v>91</v>
      </c>
      <c r="H22">
        <f t="shared" si="0"/>
        <v>10100.09</v>
      </c>
    </row>
    <row r="23" spans="1:22">
      <c r="A23" s="19">
        <v>46023</v>
      </c>
      <c r="B23" s="2" t="s">
        <v>88</v>
      </c>
      <c r="C23">
        <v>100005005</v>
      </c>
      <c r="D23" t="s">
        <v>69</v>
      </c>
      <c r="E23" t="s">
        <v>21</v>
      </c>
      <c r="F23">
        <v>732.5</v>
      </c>
      <c r="G23">
        <v>91</v>
      </c>
      <c r="H23">
        <f t="shared" si="0"/>
        <v>66657.5</v>
      </c>
    </row>
    <row r="24" spans="1:22">
      <c r="A24" s="19">
        <v>46023</v>
      </c>
      <c r="B24" s="2" t="s">
        <v>85</v>
      </c>
      <c r="C24">
        <v>100005006</v>
      </c>
      <c r="D24" t="s">
        <v>65</v>
      </c>
      <c r="E24" t="s">
        <v>22</v>
      </c>
      <c r="F24">
        <v>332.99</v>
      </c>
      <c r="G24">
        <v>91</v>
      </c>
      <c r="H24">
        <f t="shared" si="0"/>
        <v>30302.09</v>
      </c>
    </row>
    <row r="25" spans="1:22">
      <c r="A25" s="19">
        <v>46023</v>
      </c>
      <c r="B25" s="2" t="s">
        <v>86</v>
      </c>
      <c r="C25">
        <v>100005006</v>
      </c>
      <c r="D25" t="s">
        <v>65</v>
      </c>
      <c r="E25" t="s">
        <v>22</v>
      </c>
      <c r="F25">
        <v>154.99</v>
      </c>
      <c r="G25">
        <v>91</v>
      </c>
      <c r="H25">
        <f t="shared" si="0"/>
        <v>14104.09</v>
      </c>
    </row>
    <row r="26" spans="1:22">
      <c r="A26" s="19">
        <v>46023</v>
      </c>
      <c r="B26" s="2" t="s">
        <v>87</v>
      </c>
      <c r="C26">
        <v>100005006</v>
      </c>
      <c r="D26" t="s">
        <v>65</v>
      </c>
      <c r="E26" t="s">
        <v>22</v>
      </c>
      <c r="F26">
        <v>110.99</v>
      </c>
      <c r="G26">
        <v>91</v>
      </c>
      <c r="H26">
        <f t="shared" si="0"/>
        <v>10100.09</v>
      </c>
    </row>
    <row r="27" spans="1:22">
      <c r="A27" s="19">
        <v>46023</v>
      </c>
      <c r="B27" s="2" t="s">
        <v>89</v>
      </c>
      <c r="C27">
        <v>100005006</v>
      </c>
      <c r="D27" t="s">
        <v>65</v>
      </c>
      <c r="E27" t="s">
        <v>22</v>
      </c>
      <c r="F27">
        <v>732.5</v>
      </c>
      <c r="G27">
        <v>91</v>
      </c>
      <c r="H27">
        <f t="shared" si="0"/>
        <v>66657.5</v>
      </c>
    </row>
    <row r="28" spans="1:22">
      <c r="A28" s="19">
        <v>46023</v>
      </c>
      <c r="B28" s="2" t="s">
        <v>85</v>
      </c>
      <c r="C28">
        <v>100005007</v>
      </c>
      <c r="D28" t="s">
        <v>67</v>
      </c>
      <c r="E28" t="s">
        <v>22</v>
      </c>
      <c r="F28">
        <v>332.99</v>
      </c>
      <c r="G28">
        <v>91</v>
      </c>
      <c r="H28">
        <f t="shared" si="0"/>
        <v>30302.09</v>
      </c>
    </row>
    <row r="29" spans="1:22">
      <c r="A29" s="19">
        <v>46023</v>
      </c>
      <c r="B29" s="2" t="s">
        <v>86</v>
      </c>
      <c r="C29">
        <v>100005007</v>
      </c>
      <c r="D29" t="s">
        <v>67</v>
      </c>
      <c r="E29" t="s">
        <v>22</v>
      </c>
      <c r="F29">
        <v>154.99</v>
      </c>
      <c r="G29">
        <v>91</v>
      </c>
      <c r="H29">
        <f t="shared" si="0"/>
        <v>14104.09</v>
      </c>
    </row>
    <row r="30" spans="1:22">
      <c r="A30" s="19">
        <v>46023</v>
      </c>
      <c r="B30" s="2" t="s">
        <v>87</v>
      </c>
      <c r="C30">
        <v>100005007</v>
      </c>
      <c r="D30" t="s">
        <v>67</v>
      </c>
      <c r="E30" t="s">
        <v>22</v>
      </c>
      <c r="F30">
        <v>110.99</v>
      </c>
      <c r="G30">
        <v>91</v>
      </c>
      <c r="H30">
        <f t="shared" si="0"/>
        <v>10100.09</v>
      </c>
    </row>
    <row r="31" spans="1:22">
      <c r="A31" s="19">
        <v>46023</v>
      </c>
      <c r="B31" s="2" t="s">
        <v>89</v>
      </c>
      <c r="C31">
        <v>100005007</v>
      </c>
      <c r="D31" t="s">
        <v>67</v>
      </c>
      <c r="E31" t="s">
        <v>22</v>
      </c>
      <c r="F31">
        <v>732.5</v>
      </c>
      <c r="G31">
        <v>91</v>
      </c>
      <c r="H31">
        <f t="shared" si="0"/>
        <v>66657.5</v>
      </c>
    </row>
    <row r="32" spans="1:22">
      <c r="A32" s="19">
        <v>46023</v>
      </c>
      <c r="B32" s="2" t="s">
        <v>85</v>
      </c>
      <c r="C32">
        <v>100005008</v>
      </c>
      <c r="D32" t="s">
        <v>69</v>
      </c>
      <c r="E32" t="s">
        <v>22</v>
      </c>
      <c r="F32">
        <v>332.99</v>
      </c>
      <c r="G32">
        <v>91</v>
      </c>
      <c r="H32">
        <f t="shared" si="0"/>
        <v>30302.09</v>
      </c>
    </row>
    <row r="33" spans="1:8">
      <c r="A33" s="19">
        <v>46023</v>
      </c>
      <c r="B33" s="2" t="s">
        <v>86</v>
      </c>
      <c r="C33">
        <v>100005008</v>
      </c>
      <c r="D33" t="s">
        <v>69</v>
      </c>
      <c r="E33" t="s">
        <v>22</v>
      </c>
      <c r="F33">
        <v>154.99</v>
      </c>
      <c r="G33">
        <v>91</v>
      </c>
      <c r="H33">
        <f t="shared" si="0"/>
        <v>14104.09</v>
      </c>
    </row>
    <row r="34" spans="1:8">
      <c r="A34" s="19">
        <v>46023</v>
      </c>
      <c r="B34" s="2" t="s">
        <v>87</v>
      </c>
      <c r="C34">
        <v>100005008</v>
      </c>
      <c r="D34" t="s">
        <v>69</v>
      </c>
      <c r="E34" t="s">
        <v>22</v>
      </c>
      <c r="F34">
        <v>110.99</v>
      </c>
      <c r="G34">
        <v>91</v>
      </c>
      <c r="H34">
        <f t="shared" si="0"/>
        <v>10100.09</v>
      </c>
    </row>
    <row r="35" spans="1:8">
      <c r="A35" s="19">
        <v>46023</v>
      </c>
      <c r="B35" s="2" t="s">
        <v>89</v>
      </c>
      <c r="C35">
        <v>100005008</v>
      </c>
      <c r="D35" t="s">
        <v>69</v>
      </c>
      <c r="E35" t="s">
        <v>22</v>
      </c>
      <c r="F35">
        <v>732.5</v>
      </c>
      <c r="G35">
        <v>91</v>
      </c>
      <c r="H35">
        <f t="shared" si="0"/>
        <v>66657.5</v>
      </c>
    </row>
    <row r="36" spans="1:8">
      <c r="A36" s="19">
        <v>46023</v>
      </c>
      <c r="B36" s="2" t="s">
        <v>85</v>
      </c>
      <c r="C36">
        <v>100005009</v>
      </c>
      <c r="D36" t="s">
        <v>70</v>
      </c>
      <c r="E36" t="s">
        <v>22</v>
      </c>
      <c r="F36">
        <v>332.99</v>
      </c>
      <c r="G36">
        <v>91</v>
      </c>
      <c r="H36">
        <f t="shared" si="0"/>
        <v>30302.09</v>
      </c>
    </row>
    <row r="37" spans="1:8">
      <c r="A37" s="19">
        <v>46023</v>
      </c>
      <c r="B37" s="2" t="s">
        <v>86</v>
      </c>
      <c r="C37">
        <v>100005009</v>
      </c>
      <c r="D37" t="s">
        <v>70</v>
      </c>
      <c r="E37" t="s">
        <v>22</v>
      </c>
      <c r="F37">
        <v>154.99</v>
      </c>
      <c r="G37">
        <v>91</v>
      </c>
      <c r="H37">
        <f t="shared" si="0"/>
        <v>14104.09</v>
      </c>
    </row>
    <row r="38" spans="1:8">
      <c r="A38" s="19">
        <v>46023</v>
      </c>
      <c r="B38" s="2" t="s">
        <v>87</v>
      </c>
      <c r="C38">
        <v>100005009</v>
      </c>
      <c r="D38" t="s">
        <v>70</v>
      </c>
      <c r="E38" t="s">
        <v>22</v>
      </c>
      <c r="F38">
        <v>110.99</v>
      </c>
      <c r="G38">
        <v>91</v>
      </c>
      <c r="H38">
        <f t="shared" si="0"/>
        <v>10100.09</v>
      </c>
    </row>
    <row r="39" spans="1:8">
      <c r="A39" s="19">
        <v>46023</v>
      </c>
      <c r="B39" s="2" t="s">
        <v>89</v>
      </c>
      <c r="C39">
        <v>100005009</v>
      </c>
      <c r="D39" t="s">
        <v>70</v>
      </c>
      <c r="E39" t="s">
        <v>22</v>
      </c>
      <c r="F39">
        <v>732.5</v>
      </c>
      <c r="G39">
        <v>91</v>
      </c>
      <c r="H39">
        <f t="shared" si="0"/>
        <v>66657.5</v>
      </c>
    </row>
    <row r="40" spans="1:8">
      <c r="A40" s="19">
        <v>46054</v>
      </c>
      <c r="B40" s="2" t="s">
        <v>85</v>
      </c>
      <c r="C40">
        <v>100005010</v>
      </c>
      <c r="D40" t="s">
        <v>70</v>
      </c>
      <c r="E40" t="s">
        <v>22</v>
      </c>
      <c r="F40">
        <v>332.99</v>
      </c>
      <c r="G40">
        <v>91</v>
      </c>
      <c r="H40">
        <f t="shared" si="0"/>
        <v>30302.09</v>
      </c>
    </row>
    <row r="41" spans="1:8">
      <c r="A41" s="19">
        <v>46054</v>
      </c>
      <c r="B41" s="2" t="s">
        <v>86</v>
      </c>
      <c r="C41">
        <v>100005010</v>
      </c>
      <c r="D41" t="s">
        <v>70</v>
      </c>
      <c r="E41" t="s">
        <v>22</v>
      </c>
      <c r="F41">
        <v>154.99</v>
      </c>
      <c r="G41">
        <v>91</v>
      </c>
      <c r="H41">
        <f t="shared" si="0"/>
        <v>14104.09</v>
      </c>
    </row>
    <row r="42" spans="1:8">
      <c r="A42" s="19">
        <v>46054</v>
      </c>
      <c r="B42" s="2" t="s">
        <v>87</v>
      </c>
      <c r="C42">
        <v>100005010</v>
      </c>
      <c r="D42" t="s">
        <v>70</v>
      </c>
      <c r="E42" t="s">
        <v>22</v>
      </c>
      <c r="F42">
        <v>110.99</v>
      </c>
      <c r="G42">
        <v>91</v>
      </c>
      <c r="H42">
        <f t="shared" si="0"/>
        <v>10100.09</v>
      </c>
    </row>
    <row r="43" spans="1:8">
      <c r="A43" s="19">
        <v>46054</v>
      </c>
      <c r="B43" s="2" t="s">
        <v>89</v>
      </c>
      <c r="C43">
        <v>100005010</v>
      </c>
      <c r="D43" t="s">
        <v>70</v>
      </c>
      <c r="E43" t="s">
        <v>22</v>
      </c>
      <c r="F43">
        <v>732.5</v>
      </c>
      <c r="G43">
        <v>91</v>
      </c>
      <c r="H43">
        <f t="shared" si="0"/>
        <v>66657.5</v>
      </c>
    </row>
    <row r="44" spans="1:8">
      <c r="A44" s="19">
        <v>46082</v>
      </c>
      <c r="B44" s="2" t="s">
        <v>85</v>
      </c>
      <c r="C44">
        <v>100005011</v>
      </c>
      <c r="D44" t="s">
        <v>70</v>
      </c>
      <c r="E44" t="s">
        <v>22</v>
      </c>
      <c r="F44">
        <v>332.99</v>
      </c>
      <c r="G44">
        <v>94</v>
      </c>
      <c r="H44">
        <f t="shared" si="0"/>
        <v>31301.06</v>
      </c>
    </row>
    <row r="45" spans="1:8">
      <c r="A45" s="19">
        <v>46082</v>
      </c>
      <c r="B45" s="2" t="s">
        <v>86</v>
      </c>
      <c r="C45">
        <v>100005011</v>
      </c>
      <c r="D45" t="s">
        <v>70</v>
      </c>
      <c r="E45" t="s">
        <v>22</v>
      </c>
      <c r="F45">
        <v>154.99</v>
      </c>
      <c r="G45">
        <v>94</v>
      </c>
      <c r="H45">
        <f t="shared" si="0"/>
        <v>14569.060000000001</v>
      </c>
    </row>
    <row r="46" spans="1:8">
      <c r="A46" s="19">
        <v>46082</v>
      </c>
      <c r="B46" s="2" t="s">
        <v>87</v>
      </c>
      <c r="C46">
        <v>100005011</v>
      </c>
      <c r="D46" t="s">
        <v>70</v>
      </c>
      <c r="E46" t="s">
        <v>22</v>
      </c>
      <c r="F46">
        <v>110.99</v>
      </c>
      <c r="G46">
        <v>94</v>
      </c>
      <c r="H46">
        <f t="shared" si="0"/>
        <v>10433.06</v>
      </c>
    </row>
    <row r="47" spans="1:8">
      <c r="A47" s="19">
        <v>46082</v>
      </c>
      <c r="B47" s="2" t="s">
        <v>89</v>
      </c>
      <c r="C47">
        <v>100005011</v>
      </c>
      <c r="D47" t="s">
        <v>70</v>
      </c>
      <c r="E47" t="s">
        <v>22</v>
      </c>
      <c r="F47">
        <v>732.5</v>
      </c>
      <c r="G47">
        <v>94</v>
      </c>
      <c r="H47">
        <f t="shared" si="0"/>
        <v>68855</v>
      </c>
    </row>
    <row r="48" spans="1:8">
      <c r="A48" s="19">
        <v>46113</v>
      </c>
      <c r="B48" s="2" t="s">
        <v>85</v>
      </c>
      <c r="C48">
        <v>100005012</v>
      </c>
      <c r="D48" t="s">
        <v>70</v>
      </c>
      <c r="E48" t="s">
        <v>22</v>
      </c>
      <c r="F48">
        <v>332.99</v>
      </c>
      <c r="G48">
        <v>98</v>
      </c>
      <c r="H48">
        <f t="shared" si="0"/>
        <v>32633.02</v>
      </c>
    </row>
    <row r="49" spans="1:8">
      <c r="A49" s="19">
        <v>46113</v>
      </c>
      <c r="B49" s="2" t="s">
        <v>86</v>
      </c>
      <c r="C49">
        <v>100005012</v>
      </c>
      <c r="D49" t="s">
        <v>70</v>
      </c>
      <c r="E49" t="s">
        <v>22</v>
      </c>
      <c r="F49">
        <v>154.99</v>
      </c>
      <c r="G49">
        <v>98</v>
      </c>
      <c r="H49">
        <f t="shared" si="0"/>
        <v>15189.02</v>
      </c>
    </row>
    <row r="50" spans="1:8">
      <c r="A50" s="19">
        <v>46113</v>
      </c>
      <c r="B50" s="2" t="s">
        <v>87</v>
      </c>
      <c r="C50">
        <v>100005012</v>
      </c>
      <c r="D50" t="s">
        <v>70</v>
      </c>
      <c r="E50" t="s">
        <v>22</v>
      </c>
      <c r="F50">
        <v>110.99</v>
      </c>
      <c r="G50">
        <v>98</v>
      </c>
      <c r="H50">
        <f t="shared" si="0"/>
        <v>10877.019999999999</v>
      </c>
    </row>
    <row r="51" spans="1:8">
      <c r="A51" s="19">
        <v>46113</v>
      </c>
      <c r="B51" s="2" t="s">
        <v>89</v>
      </c>
      <c r="C51">
        <v>100005012</v>
      </c>
      <c r="D51" t="s">
        <v>70</v>
      </c>
      <c r="E51" t="s">
        <v>22</v>
      </c>
      <c r="F51">
        <v>732.5</v>
      </c>
      <c r="G51">
        <v>98</v>
      </c>
      <c r="H51">
        <f t="shared" si="0"/>
        <v>71785</v>
      </c>
    </row>
    <row r="52" spans="1:8">
      <c r="A52" s="19">
        <v>46174</v>
      </c>
      <c r="B52" s="2" t="s">
        <v>85</v>
      </c>
      <c r="C52">
        <v>100005013</v>
      </c>
      <c r="D52" t="s">
        <v>70</v>
      </c>
      <c r="E52" t="s">
        <v>22</v>
      </c>
      <c r="F52">
        <v>332.99</v>
      </c>
      <c r="G52">
        <v>100</v>
      </c>
      <c r="H52">
        <f t="shared" si="0"/>
        <v>33299</v>
      </c>
    </row>
    <row r="53" spans="1:8">
      <c r="A53" s="19">
        <v>46174</v>
      </c>
      <c r="B53" s="2" t="s">
        <v>86</v>
      </c>
      <c r="C53">
        <v>100005013</v>
      </c>
      <c r="D53" t="s">
        <v>70</v>
      </c>
      <c r="E53" t="s">
        <v>22</v>
      </c>
      <c r="F53">
        <v>154.99</v>
      </c>
      <c r="G53">
        <v>100</v>
      </c>
      <c r="H53">
        <f t="shared" si="0"/>
        <v>15499</v>
      </c>
    </row>
    <row r="54" spans="1:8">
      <c r="A54" s="19">
        <v>46174</v>
      </c>
      <c r="B54" s="2" t="s">
        <v>87</v>
      </c>
      <c r="C54">
        <v>100005013</v>
      </c>
      <c r="D54" t="s">
        <v>70</v>
      </c>
      <c r="E54" t="s">
        <v>22</v>
      </c>
      <c r="F54">
        <v>110.99</v>
      </c>
      <c r="G54">
        <v>100</v>
      </c>
      <c r="H54">
        <f t="shared" si="0"/>
        <v>11099</v>
      </c>
    </row>
    <row r="55" spans="1:8">
      <c r="A55" s="19">
        <v>46174</v>
      </c>
      <c r="B55" s="2" t="s">
        <v>89</v>
      </c>
      <c r="C55">
        <v>100005013</v>
      </c>
      <c r="D55" t="s">
        <v>70</v>
      </c>
      <c r="E55" t="s">
        <v>22</v>
      </c>
      <c r="F55">
        <v>732.5</v>
      </c>
      <c r="G55">
        <v>100</v>
      </c>
      <c r="H55">
        <f t="shared" si="0"/>
        <v>73250</v>
      </c>
    </row>
    <row r="56" spans="1:8">
      <c r="A56" s="19">
        <v>46204</v>
      </c>
      <c r="B56" s="2" t="s">
        <v>85</v>
      </c>
      <c r="C56">
        <v>100005014</v>
      </c>
      <c r="D56" t="s">
        <v>70</v>
      </c>
      <c r="E56" t="s">
        <v>22</v>
      </c>
      <c r="F56">
        <v>332.99</v>
      </c>
      <c r="G56">
        <v>104</v>
      </c>
      <c r="H56">
        <f t="shared" si="0"/>
        <v>34630.959999999999</v>
      </c>
    </row>
    <row r="57" spans="1:8">
      <c r="A57" s="19">
        <v>46204</v>
      </c>
      <c r="B57" s="2" t="s">
        <v>86</v>
      </c>
      <c r="C57">
        <v>100005014</v>
      </c>
      <c r="D57" t="s">
        <v>70</v>
      </c>
      <c r="E57" t="s">
        <v>22</v>
      </c>
      <c r="F57">
        <v>154.99</v>
      </c>
      <c r="G57">
        <v>104</v>
      </c>
      <c r="H57">
        <f t="shared" si="0"/>
        <v>16118.960000000001</v>
      </c>
    </row>
    <row r="58" spans="1:8">
      <c r="A58" s="19">
        <v>46204</v>
      </c>
      <c r="B58" s="2" t="s">
        <v>87</v>
      </c>
      <c r="C58">
        <v>100005014</v>
      </c>
      <c r="D58" t="s">
        <v>70</v>
      </c>
      <c r="E58" t="s">
        <v>22</v>
      </c>
      <c r="F58">
        <v>110.99</v>
      </c>
      <c r="G58">
        <v>104</v>
      </c>
      <c r="H58">
        <f t="shared" si="0"/>
        <v>11542.96</v>
      </c>
    </row>
    <row r="59" spans="1:8">
      <c r="A59" s="19">
        <v>46204</v>
      </c>
      <c r="B59" s="2" t="s">
        <v>89</v>
      </c>
      <c r="C59">
        <v>100005014</v>
      </c>
      <c r="D59" t="s">
        <v>70</v>
      </c>
      <c r="E59" t="s">
        <v>22</v>
      </c>
      <c r="F59">
        <v>732.5</v>
      </c>
      <c r="G59">
        <v>104</v>
      </c>
      <c r="H59">
        <f t="shared" si="0"/>
        <v>76180</v>
      </c>
    </row>
    <row r="60" spans="1:8">
      <c r="A60" s="19">
        <v>46235</v>
      </c>
      <c r="B60" s="2" t="s">
        <v>85</v>
      </c>
      <c r="C60">
        <v>100005015</v>
      </c>
      <c r="D60" t="s">
        <v>70</v>
      </c>
      <c r="E60" t="s">
        <v>22</v>
      </c>
      <c r="F60">
        <v>332.99</v>
      </c>
      <c r="G60">
        <v>108</v>
      </c>
      <c r="H60">
        <f t="shared" si="0"/>
        <v>35962.92</v>
      </c>
    </row>
    <row r="61" spans="1:8">
      <c r="A61" s="19">
        <v>46235</v>
      </c>
      <c r="B61" s="2" t="s">
        <v>86</v>
      </c>
      <c r="C61">
        <v>100005015</v>
      </c>
      <c r="D61" t="s">
        <v>70</v>
      </c>
      <c r="E61" t="s">
        <v>22</v>
      </c>
      <c r="F61">
        <v>154.99</v>
      </c>
      <c r="G61">
        <v>108</v>
      </c>
      <c r="H61">
        <f t="shared" si="0"/>
        <v>16738.920000000002</v>
      </c>
    </row>
    <row r="62" spans="1:8">
      <c r="A62" s="19">
        <v>46235</v>
      </c>
      <c r="B62" s="2" t="s">
        <v>87</v>
      </c>
      <c r="C62">
        <v>100005015</v>
      </c>
      <c r="D62" t="s">
        <v>70</v>
      </c>
      <c r="E62" t="s">
        <v>22</v>
      </c>
      <c r="F62">
        <v>110.99</v>
      </c>
      <c r="G62">
        <v>108</v>
      </c>
      <c r="H62">
        <f t="shared" si="0"/>
        <v>11986.92</v>
      </c>
    </row>
    <row r="63" spans="1:8">
      <c r="A63" s="19">
        <v>46235</v>
      </c>
      <c r="B63" s="2" t="s">
        <v>89</v>
      </c>
      <c r="C63">
        <v>100005015</v>
      </c>
      <c r="D63" t="s">
        <v>70</v>
      </c>
      <c r="E63" t="s">
        <v>22</v>
      </c>
      <c r="F63">
        <v>732.5</v>
      </c>
      <c r="G63">
        <v>108</v>
      </c>
      <c r="H63">
        <f t="shared" si="0"/>
        <v>79110</v>
      </c>
    </row>
    <row r="64" spans="1:8">
      <c r="A64" s="19">
        <v>46266</v>
      </c>
      <c r="B64" s="2" t="s">
        <v>85</v>
      </c>
      <c r="C64">
        <v>100005016</v>
      </c>
      <c r="D64" t="s">
        <v>70</v>
      </c>
      <c r="E64" t="s">
        <v>22</v>
      </c>
      <c r="F64">
        <v>332.99</v>
      </c>
      <c r="G64">
        <v>109</v>
      </c>
      <c r="H64">
        <f t="shared" si="0"/>
        <v>36295.910000000003</v>
      </c>
    </row>
    <row r="65" spans="1:8">
      <c r="A65" s="19">
        <v>46266</v>
      </c>
      <c r="B65" s="2" t="s">
        <v>86</v>
      </c>
      <c r="C65">
        <v>100005016</v>
      </c>
      <c r="D65" t="s">
        <v>70</v>
      </c>
      <c r="E65" t="s">
        <v>22</v>
      </c>
      <c r="F65">
        <v>154.99</v>
      </c>
      <c r="G65">
        <v>109</v>
      </c>
      <c r="H65">
        <f t="shared" si="0"/>
        <v>16893.91</v>
      </c>
    </row>
    <row r="66" spans="1:8">
      <c r="A66" s="19">
        <v>46266</v>
      </c>
      <c r="B66" s="2" t="s">
        <v>87</v>
      </c>
      <c r="C66">
        <v>100005016</v>
      </c>
      <c r="D66" t="s">
        <v>70</v>
      </c>
      <c r="E66" t="s">
        <v>22</v>
      </c>
      <c r="F66">
        <v>110.99</v>
      </c>
      <c r="G66">
        <v>109</v>
      </c>
      <c r="H66">
        <f t="shared" si="0"/>
        <v>12097.91</v>
      </c>
    </row>
    <row r="67" spans="1:8">
      <c r="A67" s="19">
        <v>46266</v>
      </c>
      <c r="B67" s="2" t="s">
        <v>89</v>
      </c>
      <c r="C67">
        <v>100005016</v>
      </c>
      <c r="D67" t="s">
        <v>70</v>
      </c>
      <c r="E67" t="s">
        <v>22</v>
      </c>
      <c r="F67">
        <v>732.5</v>
      </c>
      <c r="G67">
        <v>109</v>
      </c>
      <c r="H67">
        <f t="shared" ref="H67:H75" si="1">F67*G67</f>
        <v>79842.5</v>
      </c>
    </row>
    <row r="68" spans="1:8">
      <c r="A68" s="19">
        <v>46296</v>
      </c>
      <c r="B68" s="2" t="s">
        <v>85</v>
      </c>
      <c r="C68">
        <v>100005017</v>
      </c>
      <c r="D68" t="s">
        <v>70</v>
      </c>
      <c r="E68" t="s">
        <v>22</v>
      </c>
      <c r="F68">
        <v>332.99</v>
      </c>
      <c r="G68">
        <v>109</v>
      </c>
      <c r="H68">
        <f t="shared" si="1"/>
        <v>36295.910000000003</v>
      </c>
    </row>
    <row r="69" spans="1:8">
      <c r="A69" s="19">
        <v>46296</v>
      </c>
      <c r="B69" s="2" t="s">
        <v>86</v>
      </c>
      <c r="C69">
        <v>100005017</v>
      </c>
      <c r="D69" t="s">
        <v>70</v>
      </c>
      <c r="E69" t="s">
        <v>22</v>
      </c>
      <c r="F69">
        <v>154.99</v>
      </c>
      <c r="G69">
        <v>109</v>
      </c>
      <c r="H69">
        <f t="shared" si="1"/>
        <v>16893.91</v>
      </c>
    </row>
    <row r="70" spans="1:8">
      <c r="A70" s="19">
        <v>46296</v>
      </c>
      <c r="B70" s="2" t="s">
        <v>87</v>
      </c>
      <c r="C70">
        <v>100005017</v>
      </c>
      <c r="D70" t="s">
        <v>70</v>
      </c>
      <c r="E70" t="s">
        <v>22</v>
      </c>
      <c r="F70">
        <v>110.99</v>
      </c>
      <c r="G70">
        <v>109</v>
      </c>
      <c r="H70">
        <f t="shared" si="1"/>
        <v>12097.91</v>
      </c>
    </row>
    <row r="71" spans="1:8">
      <c r="A71" s="19">
        <v>46296</v>
      </c>
      <c r="B71" s="2" t="s">
        <v>89</v>
      </c>
      <c r="C71">
        <v>100005017</v>
      </c>
      <c r="D71" t="s">
        <v>70</v>
      </c>
      <c r="E71" t="s">
        <v>22</v>
      </c>
      <c r="F71">
        <v>732.5</v>
      </c>
      <c r="G71">
        <v>109</v>
      </c>
      <c r="H71">
        <f t="shared" si="1"/>
        <v>79842.5</v>
      </c>
    </row>
    <row r="72" spans="1:8">
      <c r="A72" s="19">
        <v>46357</v>
      </c>
      <c r="B72" s="2" t="s">
        <v>85</v>
      </c>
      <c r="C72">
        <v>100005018</v>
      </c>
      <c r="D72" t="s">
        <v>70</v>
      </c>
      <c r="E72" t="s">
        <v>22</v>
      </c>
      <c r="F72">
        <v>332.99</v>
      </c>
      <c r="G72">
        <v>103</v>
      </c>
      <c r="H72">
        <f t="shared" si="1"/>
        <v>34297.97</v>
      </c>
    </row>
    <row r="73" spans="1:8">
      <c r="A73" s="19">
        <v>46357</v>
      </c>
      <c r="B73" s="2" t="s">
        <v>86</v>
      </c>
      <c r="C73">
        <v>100005018</v>
      </c>
      <c r="D73" t="s">
        <v>70</v>
      </c>
      <c r="E73" t="s">
        <v>22</v>
      </c>
      <c r="F73">
        <v>154.99</v>
      </c>
      <c r="G73">
        <v>103</v>
      </c>
      <c r="H73">
        <f t="shared" si="1"/>
        <v>15963.970000000001</v>
      </c>
    </row>
    <row r="74" spans="1:8">
      <c r="A74" s="19">
        <v>46357</v>
      </c>
      <c r="B74" s="2" t="s">
        <v>87</v>
      </c>
      <c r="C74">
        <v>100005018</v>
      </c>
      <c r="D74" t="s">
        <v>70</v>
      </c>
      <c r="E74" t="s">
        <v>22</v>
      </c>
      <c r="F74">
        <v>110.99</v>
      </c>
      <c r="G74">
        <v>103</v>
      </c>
      <c r="H74">
        <f t="shared" si="1"/>
        <v>11431.97</v>
      </c>
    </row>
    <row r="75" spans="1:8">
      <c r="A75" s="19">
        <v>46357</v>
      </c>
      <c r="B75" s="2" t="s">
        <v>89</v>
      </c>
      <c r="C75">
        <v>100005018</v>
      </c>
      <c r="D75" t="s">
        <v>70</v>
      </c>
      <c r="E75" t="s">
        <v>22</v>
      </c>
      <c r="F75">
        <v>732.5</v>
      </c>
      <c r="G75">
        <v>103</v>
      </c>
      <c r="H75">
        <f t="shared" si="1"/>
        <v>75447.5</v>
      </c>
    </row>
  </sheetData>
  <autoFilter ref="A1:H75" xr:uid="{5B866054-2B24-4A91-8204-4FA845CCEC52}"/>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A43ECA9-C927-4449-B72C-6996D71B7A36}">
          <x14:formula1>
            <xm:f>'План-Факт'!$V$2:$V$3</xm:f>
          </x14:formula1>
          <xm:sqref>J2:J6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F0512-B7A8-46EA-8421-236EB2CB01FC}">
  <sheetPr>
    <tabColor rgb="FFFF0000"/>
  </sheetPr>
  <dimension ref="A1"/>
  <sheetViews>
    <sheetView workbookViewId="0"/>
  </sheetViews>
  <sheetFormatPr baseColWidth="10" defaultColWidth="8.83203125"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28443-1790-4F69-8F4F-5EBF4FEE5677}">
  <sheetPr>
    <tabColor rgb="FFFF0000"/>
  </sheetPr>
  <dimension ref="B1:V20"/>
  <sheetViews>
    <sheetView showGridLines="0" workbookViewId="0">
      <selection activeCell="H18" sqref="H18"/>
    </sheetView>
  </sheetViews>
  <sheetFormatPr baseColWidth="10" defaultColWidth="8.83203125" defaultRowHeight="15"/>
  <cols>
    <col min="1" max="1" width="4.1640625" customWidth="1"/>
    <col min="2" max="2" width="44.1640625" customWidth="1"/>
    <col min="3" max="6" width="11.5" customWidth="1"/>
    <col min="7" max="8" width="13.33203125" customWidth="1"/>
    <col min="9" max="9" width="1.5" customWidth="1"/>
    <col min="10" max="10" width="11.83203125" customWidth="1"/>
  </cols>
  <sheetData>
    <row r="1" spans="2:22" ht="20" customHeight="1"/>
    <row r="2" spans="2:22" ht="20" customHeight="1" thickBot="1">
      <c r="B2" s="60" t="s">
        <v>197</v>
      </c>
      <c r="C2" s="177"/>
      <c r="D2" s="177"/>
      <c r="E2" s="177"/>
      <c r="F2" s="177"/>
      <c r="G2" s="177"/>
      <c r="H2" s="177"/>
      <c r="J2" s="3"/>
    </row>
    <row r="3" spans="2:22" ht="20" customHeight="1">
      <c r="B3" s="245"/>
      <c r="C3" s="333" t="s">
        <v>21</v>
      </c>
      <c r="D3" s="333"/>
      <c r="E3" s="333" t="s">
        <v>22</v>
      </c>
      <c r="F3" s="333"/>
      <c r="G3" s="333" t="s">
        <v>112</v>
      </c>
      <c r="H3" s="333"/>
    </row>
    <row r="4" spans="2:22" ht="20" customHeight="1">
      <c r="B4" s="178"/>
      <c r="C4" s="178">
        <v>2026</v>
      </c>
      <c r="D4" s="178">
        <v>2027</v>
      </c>
      <c r="E4" s="178">
        <v>2026</v>
      </c>
      <c r="F4" s="178">
        <v>2027</v>
      </c>
      <c r="G4" s="178">
        <v>2026</v>
      </c>
      <c r="H4" s="178">
        <v>2027</v>
      </c>
      <c r="V4" s="16" t="s">
        <v>17</v>
      </c>
    </row>
    <row r="5" spans="2:22" ht="98.25" customHeight="1">
      <c r="B5" s="334" t="s">
        <v>113</v>
      </c>
      <c r="C5" s="336" t="s">
        <v>114</v>
      </c>
      <c r="D5" s="336"/>
      <c r="E5" s="336" t="s">
        <v>115</v>
      </c>
      <c r="F5" s="336"/>
      <c r="G5" s="179"/>
      <c r="H5" s="180"/>
      <c r="V5" s="16" t="s">
        <v>18</v>
      </c>
    </row>
    <row r="6" spans="2:22" ht="20" customHeight="1">
      <c r="B6" s="335"/>
      <c r="C6" s="337" t="s">
        <v>198</v>
      </c>
      <c r="D6" s="337"/>
      <c r="E6" s="337"/>
      <c r="F6" s="337"/>
      <c r="G6" s="181"/>
      <c r="H6" s="182"/>
    </row>
    <row r="7" spans="2:22" ht="20" customHeight="1">
      <c r="B7" s="70" t="s">
        <v>116</v>
      </c>
      <c r="C7" s="183"/>
      <c r="D7" s="183"/>
      <c r="E7" s="183"/>
      <c r="F7" s="183"/>
      <c r="G7" s="181"/>
      <c r="H7" s="182"/>
    </row>
    <row r="8" spans="2:22" ht="20" customHeight="1">
      <c r="B8" s="147" t="s">
        <v>117</v>
      </c>
      <c r="C8" s="86"/>
      <c r="D8" s="86"/>
      <c r="E8" s="86"/>
      <c r="F8" s="86"/>
      <c r="G8" s="181"/>
      <c r="H8" s="182"/>
    </row>
    <row r="9" spans="2:22" ht="20" customHeight="1">
      <c r="B9" s="147" t="s">
        <v>118</v>
      </c>
      <c r="C9" s="86"/>
      <c r="D9" s="86"/>
      <c r="E9" s="181"/>
      <c r="F9" s="181"/>
      <c r="G9" s="181"/>
      <c r="H9" s="182"/>
    </row>
    <row r="10" spans="2:22" ht="20" customHeight="1">
      <c r="B10" s="147" t="s">
        <v>119</v>
      </c>
      <c r="C10" s="184"/>
      <c r="D10" s="184"/>
      <c r="E10" s="181"/>
      <c r="F10" s="181"/>
      <c r="G10" s="181"/>
      <c r="H10" s="182"/>
    </row>
    <row r="11" spans="2:22" ht="20" customHeight="1">
      <c r="B11" s="147" t="s">
        <v>120</v>
      </c>
      <c r="C11" s="185"/>
      <c r="D11" s="185"/>
      <c r="E11" s="185"/>
      <c r="F11" s="185"/>
      <c r="G11" s="181"/>
      <c r="H11" s="182"/>
    </row>
    <row r="12" spans="2:22" ht="20" customHeight="1">
      <c r="B12" s="147" t="s">
        <v>121</v>
      </c>
      <c r="C12" s="184"/>
      <c r="D12" s="184"/>
      <c r="E12" s="184"/>
      <c r="F12" s="184"/>
      <c r="G12" s="181"/>
      <c r="H12" s="182"/>
    </row>
    <row r="13" spans="2:22" ht="20" customHeight="1">
      <c r="B13" s="147" t="s">
        <v>122</v>
      </c>
      <c r="C13" s="181"/>
      <c r="D13" s="181"/>
      <c r="E13" s="185"/>
      <c r="F13" s="185"/>
      <c r="G13" s="181"/>
      <c r="H13" s="182"/>
    </row>
    <row r="14" spans="2:22" ht="20" customHeight="1">
      <c r="B14" s="147" t="s">
        <v>123</v>
      </c>
      <c r="C14" s="181"/>
      <c r="D14" s="181"/>
      <c r="E14" s="185"/>
      <c r="F14" s="185"/>
      <c r="G14" s="181"/>
      <c r="H14" s="182"/>
    </row>
    <row r="15" spans="2:22" ht="20" customHeight="1">
      <c r="B15" s="147" t="s">
        <v>124</v>
      </c>
      <c r="C15" s="181"/>
      <c r="D15" s="181"/>
      <c r="E15" s="185"/>
      <c r="F15" s="185"/>
      <c r="G15" s="181"/>
      <c r="H15" s="182"/>
    </row>
    <row r="16" spans="2:22" ht="20" customHeight="1">
      <c r="B16" s="70" t="s">
        <v>125</v>
      </c>
      <c r="C16" s="181"/>
      <c r="D16" s="181"/>
      <c r="E16" s="181"/>
      <c r="F16" s="181"/>
      <c r="G16" s="181"/>
      <c r="H16" s="182"/>
    </row>
    <row r="17" spans="2:11" ht="20" customHeight="1">
      <c r="B17" s="147" t="s">
        <v>27</v>
      </c>
      <c r="C17" s="86">
        <f>Бюджет!F5</f>
        <v>4840.5368616106434</v>
      </c>
      <c r="D17" s="86">
        <f>Бюджет!G5</f>
        <v>16907.573162411667</v>
      </c>
      <c r="E17" s="86">
        <f>Бюджет!I5</f>
        <v>15647.023185201966</v>
      </c>
      <c r="F17" s="86">
        <f>Бюджет!J5</f>
        <v>34216.347980051411</v>
      </c>
      <c r="G17" s="86">
        <f>Бюджет!C5</f>
        <v>20487.56004681261</v>
      </c>
      <c r="H17" s="87">
        <f>Бюджет!D5</f>
        <v>51123.921142463078</v>
      </c>
      <c r="J17" s="13"/>
      <c r="K17" s="1"/>
    </row>
    <row r="18" spans="2:11" ht="20" customHeight="1">
      <c r="B18" s="147" t="s">
        <v>126</v>
      </c>
      <c r="C18" s="158"/>
      <c r="D18" s="158">
        <f>D17/C17-1</f>
        <v>2.4929127999215011</v>
      </c>
      <c r="E18" s="158"/>
      <c r="F18" s="158">
        <f>F17/E17-1</f>
        <v>1.1867640620876192</v>
      </c>
      <c r="G18" s="158"/>
      <c r="H18" s="186">
        <f>H17/G17-1</f>
        <v>1.4953640660795413</v>
      </c>
      <c r="J18" s="13"/>
      <c r="K18" s="1"/>
    </row>
    <row r="19" spans="2:11" ht="20" customHeight="1">
      <c r="B19" s="147" t="s">
        <v>40</v>
      </c>
      <c r="C19" s="86">
        <f>Бюджет!F18</f>
        <v>-9802.443138389357</v>
      </c>
      <c r="D19" s="86">
        <f>Бюджет!G18</f>
        <v>1488.6707624116652</v>
      </c>
      <c r="E19" s="86">
        <f>Бюджет!I18</f>
        <v>-4756.9968147980344</v>
      </c>
      <c r="F19" s="86">
        <f>Бюджет!J18</f>
        <v>2338.9299800514073</v>
      </c>
      <c r="G19" s="86">
        <f>Бюджет!C18</f>
        <v>-15986.569953187389</v>
      </c>
      <c r="H19" s="87">
        <f>Бюджет!D18</f>
        <v>1728.602656847303</v>
      </c>
      <c r="J19" s="13"/>
      <c r="K19" s="1"/>
    </row>
    <row r="20" spans="2:11" ht="20" customHeight="1">
      <c r="B20" s="119" t="s">
        <v>41</v>
      </c>
      <c r="C20" s="160"/>
      <c r="D20" s="160">
        <f>D19/D17</f>
        <v>8.8047571825460247E-2</v>
      </c>
      <c r="E20" s="160"/>
      <c r="F20" s="160">
        <f>F19/F17</f>
        <v>6.8357090049909322E-2</v>
      </c>
      <c r="G20" s="160"/>
      <c r="H20" s="187">
        <f>H19/H17</f>
        <v>3.3812012424288419E-2</v>
      </c>
      <c r="J20" s="13"/>
      <c r="K20" s="1"/>
    </row>
  </sheetData>
  <mergeCells count="7">
    <mergeCell ref="C3:D3"/>
    <mergeCell ref="E3:F3"/>
    <mergeCell ref="G3:H3"/>
    <mergeCell ref="B5:B6"/>
    <mergeCell ref="C5:D5"/>
    <mergeCell ref="E5:F5"/>
    <mergeCell ref="C6:F6"/>
  </mergeCells>
  <dataValidations count="1">
    <dataValidation type="list" allowBlank="1" showInputMessage="1" showErrorMessage="1" sqref="J17:J20" xr:uid="{76959BC4-7D2F-4483-BFDA-C8480993D140}">
      <formula1>$V$4:$V$5</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E9FCC-DA94-453A-A085-D09072366F43}">
  <sheetPr>
    <tabColor rgb="FFFF0000"/>
  </sheetPr>
  <dimension ref="B1:N32"/>
  <sheetViews>
    <sheetView showGridLines="0" workbookViewId="0">
      <selection activeCell="L7" sqref="L7"/>
    </sheetView>
  </sheetViews>
  <sheetFormatPr baseColWidth="10" defaultColWidth="8.83203125" defaultRowHeight="15"/>
  <cols>
    <col min="1" max="1" width="4.1640625" customWidth="1"/>
    <col min="2" max="2" width="20.5" customWidth="1"/>
    <col min="3" max="3" width="11.5" customWidth="1"/>
    <col min="4" max="4" width="25.83203125" customWidth="1"/>
    <col min="7" max="7" width="27.1640625" customWidth="1"/>
    <col min="8" max="9" width="11.33203125" style="10" customWidth="1"/>
    <col min="12" max="12" width="46.1640625" customWidth="1"/>
  </cols>
  <sheetData>
    <row r="1" spans="2:14" ht="20" customHeight="1"/>
    <row r="2" spans="2:14" ht="20" customHeight="1">
      <c r="B2" s="188" t="s">
        <v>127</v>
      </c>
      <c r="C2" s="189"/>
      <c r="D2" s="190"/>
      <c r="E2" s="189"/>
      <c r="F2" s="62"/>
      <c r="G2" s="188" t="s">
        <v>128</v>
      </c>
      <c r="H2" s="191"/>
      <c r="I2" s="191"/>
      <c r="J2" s="189"/>
      <c r="K2" s="62"/>
      <c r="L2" s="189" t="s">
        <v>129</v>
      </c>
      <c r="M2" s="189"/>
      <c r="N2" s="62"/>
    </row>
    <row r="3" spans="2:14" ht="20" customHeight="1">
      <c r="B3" s="338" t="s">
        <v>21</v>
      </c>
      <c r="C3" s="338"/>
      <c r="D3" s="338" t="s">
        <v>22</v>
      </c>
      <c r="E3" s="338"/>
      <c r="F3" s="62"/>
      <c r="G3" s="192"/>
      <c r="H3" s="192" t="s">
        <v>21</v>
      </c>
      <c r="I3" s="246" t="s">
        <v>22</v>
      </c>
      <c r="J3" s="193"/>
      <c r="K3" s="62"/>
      <c r="L3" s="117" t="s">
        <v>130</v>
      </c>
      <c r="M3" s="194">
        <v>0.08</v>
      </c>
      <c r="N3" s="62"/>
    </row>
    <row r="4" spans="2:14" ht="20" customHeight="1">
      <c r="B4" s="117" t="s">
        <v>49</v>
      </c>
      <c r="C4" s="195">
        <v>0</v>
      </c>
      <c r="D4" s="195" t="s">
        <v>131</v>
      </c>
      <c r="E4" s="196">
        <v>0</v>
      </c>
      <c r="F4" s="62"/>
      <c r="G4" s="117" t="s">
        <v>132</v>
      </c>
      <c r="H4" s="118">
        <v>500</v>
      </c>
      <c r="I4" s="118">
        <v>40</v>
      </c>
      <c r="J4" s="156"/>
      <c r="K4" s="62"/>
      <c r="L4" s="147" t="s">
        <v>199</v>
      </c>
      <c r="M4" s="197">
        <v>7.0000000000000007E-2</v>
      </c>
      <c r="N4" s="62"/>
    </row>
    <row r="5" spans="2:14" ht="20" customHeight="1">
      <c r="B5" s="147" t="s">
        <v>50</v>
      </c>
      <c r="C5" s="86">
        <v>300</v>
      </c>
      <c r="D5" s="198" t="s">
        <v>133</v>
      </c>
      <c r="E5" s="87">
        <v>100000</v>
      </c>
      <c r="F5" s="62"/>
      <c r="G5" s="147" t="s">
        <v>134</v>
      </c>
      <c r="H5" s="199">
        <v>1.7000000000000001E-2</v>
      </c>
      <c r="I5" s="199">
        <v>0.02</v>
      </c>
      <c r="J5" s="87"/>
      <c r="K5" s="62"/>
      <c r="L5" s="147" t="s">
        <v>135</v>
      </c>
      <c r="M5" s="87">
        <v>50</v>
      </c>
      <c r="N5" s="62"/>
    </row>
    <row r="6" spans="2:14" ht="20" customHeight="1">
      <c r="B6" s="147" t="s">
        <v>51</v>
      </c>
      <c r="C6" s="86">
        <v>850</v>
      </c>
      <c r="D6" s="198" t="s">
        <v>56</v>
      </c>
      <c r="E6" s="87">
        <v>110000</v>
      </c>
      <c r="F6" s="62"/>
      <c r="G6" s="147" t="s">
        <v>136</v>
      </c>
      <c r="H6" s="200" t="s">
        <v>137</v>
      </c>
      <c r="I6" s="201" t="s">
        <v>138</v>
      </c>
      <c r="J6" s="87"/>
      <c r="K6" s="62"/>
      <c r="L6" s="147" t="s">
        <v>139</v>
      </c>
      <c r="M6" s="87">
        <v>150</v>
      </c>
      <c r="N6" s="62"/>
    </row>
    <row r="7" spans="2:14" ht="20" customHeight="1">
      <c r="B7" s="147" t="s">
        <v>52</v>
      </c>
      <c r="C7" s="86">
        <v>1600</v>
      </c>
      <c r="D7" s="198" t="s">
        <v>57</v>
      </c>
      <c r="E7" s="87">
        <v>114000</v>
      </c>
      <c r="F7" s="62"/>
      <c r="G7" s="119" t="s">
        <v>140</v>
      </c>
      <c r="H7" s="202">
        <v>0.03</v>
      </c>
      <c r="I7" s="202">
        <v>0.03</v>
      </c>
      <c r="J7" s="203"/>
      <c r="K7" s="62"/>
      <c r="L7" s="147" t="s">
        <v>141</v>
      </c>
      <c r="M7" s="87">
        <v>100</v>
      </c>
      <c r="N7" s="62"/>
    </row>
    <row r="8" spans="2:14" ht="20" customHeight="1">
      <c r="B8" s="119" t="s">
        <v>53</v>
      </c>
      <c r="C8" s="120">
        <v>3000</v>
      </c>
      <c r="D8" s="204" t="s">
        <v>58</v>
      </c>
      <c r="E8" s="161">
        <v>120000</v>
      </c>
      <c r="F8" s="62"/>
      <c r="G8" s="205"/>
      <c r="H8" s="206"/>
      <c r="I8" s="207"/>
      <c r="J8" s="208"/>
      <c r="K8" s="62"/>
      <c r="L8" s="147" t="s">
        <v>142</v>
      </c>
      <c r="M8" s="209" t="s">
        <v>143</v>
      </c>
      <c r="N8" s="62"/>
    </row>
    <row r="9" spans="2:14" ht="20" customHeight="1">
      <c r="B9" s="62"/>
      <c r="C9" s="62"/>
      <c r="D9" s="62"/>
      <c r="E9" s="62"/>
      <c r="F9" s="62"/>
      <c r="G9" s="188" t="s">
        <v>144</v>
      </c>
      <c r="H9" s="191"/>
      <c r="I9" s="191"/>
      <c r="J9" s="189"/>
      <c r="K9" s="62"/>
      <c r="L9" s="147" t="s">
        <v>145</v>
      </c>
      <c r="M9" s="87">
        <v>2</v>
      </c>
      <c r="N9" s="62"/>
    </row>
    <row r="10" spans="2:14" ht="20" customHeight="1">
      <c r="B10" s="188" t="s">
        <v>146</v>
      </c>
      <c r="C10" s="189"/>
      <c r="D10" s="189"/>
      <c r="E10" s="189"/>
      <c r="F10" s="62"/>
      <c r="G10" s="338" t="s">
        <v>21</v>
      </c>
      <c r="H10" s="338"/>
      <c r="I10" s="338" t="s">
        <v>22</v>
      </c>
      <c r="J10" s="338"/>
      <c r="K10" s="62"/>
      <c r="L10" s="147" t="s">
        <v>147</v>
      </c>
      <c r="M10" s="87">
        <v>10</v>
      </c>
      <c r="N10" s="62"/>
    </row>
    <row r="11" spans="2:14" ht="20" customHeight="1">
      <c r="B11" s="62"/>
      <c r="C11" s="210" t="s">
        <v>148</v>
      </c>
      <c r="D11" s="210" t="s">
        <v>149</v>
      </c>
      <c r="E11" s="62"/>
      <c r="F11" s="62"/>
      <c r="G11" s="117" t="s">
        <v>50</v>
      </c>
      <c r="H11" s="211">
        <v>0.2</v>
      </c>
      <c r="I11" s="195" t="s">
        <v>55</v>
      </c>
      <c r="J11" s="212">
        <v>0.03</v>
      </c>
      <c r="K11" s="62"/>
      <c r="L11" s="147" t="s">
        <v>150</v>
      </c>
      <c r="M11" s="87">
        <v>30</v>
      </c>
      <c r="N11" s="62"/>
    </row>
    <row r="12" spans="2:14" ht="20" customHeight="1">
      <c r="B12" s="125" t="s">
        <v>21</v>
      </c>
      <c r="C12" s="213">
        <v>8000</v>
      </c>
      <c r="D12" s="196" t="s">
        <v>200</v>
      </c>
      <c r="E12" s="62"/>
      <c r="F12" s="62"/>
      <c r="G12" s="147" t="s">
        <v>51</v>
      </c>
      <c r="H12" s="214">
        <v>0.15</v>
      </c>
      <c r="I12" s="198" t="s">
        <v>56</v>
      </c>
      <c r="J12" s="215">
        <v>0.1</v>
      </c>
      <c r="K12" s="62"/>
      <c r="L12" s="147" t="s">
        <v>151</v>
      </c>
      <c r="M12" s="87">
        <v>14</v>
      </c>
      <c r="N12" s="62"/>
    </row>
    <row r="13" spans="2:14" ht="20" customHeight="1">
      <c r="B13" s="125" t="s">
        <v>22</v>
      </c>
      <c r="C13" s="216">
        <v>6000</v>
      </c>
      <c r="D13" s="217" t="s">
        <v>201</v>
      </c>
      <c r="E13" s="62"/>
      <c r="F13" s="62"/>
      <c r="G13" s="147" t="s">
        <v>52</v>
      </c>
      <c r="H13" s="214">
        <v>0.1</v>
      </c>
      <c r="I13" s="198" t="s">
        <v>57</v>
      </c>
      <c r="J13" s="215">
        <v>0.15</v>
      </c>
      <c r="K13" s="62"/>
      <c r="L13" s="147" t="s">
        <v>152</v>
      </c>
      <c r="M13" s="87">
        <v>10</v>
      </c>
      <c r="N13" s="62"/>
    </row>
    <row r="14" spans="2:14" ht="20" customHeight="1">
      <c r="B14" s="62"/>
      <c r="C14" s="62"/>
      <c r="D14" s="62"/>
      <c r="E14" s="62"/>
      <c r="F14" s="62"/>
      <c r="G14" s="119" t="s">
        <v>53</v>
      </c>
      <c r="H14" s="218">
        <v>0.03</v>
      </c>
      <c r="I14" s="204" t="s">
        <v>58</v>
      </c>
      <c r="J14" s="219">
        <v>0.2</v>
      </c>
      <c r="K14" s="62"/>
      <c r="L14" s="147" t="s">
        <v>153</v>
      </c>
      <c r="M14" s="87">
        <v>66</v>
      </c>
      <c r="N14" s="62"/>
    </row>
    <row r="15" spans="2:14" ht="20" customHeight="1">
      <c r="B15" s="188" t="s">
        <v>154</v>
      </c>
      <c r="C15" s="189"/>
      <c r="D15" s="189"/>
      <c r="E15" s="189"/>
      <c r="F15" s="62"/>
      <c r="G15" s="62"/>
      <c r="H15" s="220"/>
      <c r="I15" s="220"/>
      <c r="J15" s="62"/>
      <c r="K15" s="62"/>
      <c r="L15" s="119" t="s">
        <v>155</v>
      </c>
      <c r="M15" s="161">
        <v>66</v>
      </c>
      <c r="N15" s="62"/>
    </row>
    <row r="16" spans="2:14" ht="20" customHeight="1">
      <c r="B16" s="221"/>
      <c r="C16" s="125" t="s">
        <v>21</v>
      </c>
      <c r="D16" s="222" t="s">
        <v>22</v>
      </c>
      <c r="E16" s="221"/>
      <c r="F16" s="62"/>
      <c r="G16" s="62"/>
      <c r="H16" s="220"/>
      <c r="I16" s="220"/>
      <c r="J16" s="62"/>
      <c r="K16" s="62"/>
      <c r="L16" s="62"/>
      <c r="M16" s="62"/>
      <c r="N16" s="62"/>
    </row>
    <row r="17" spans="2:14" ht="20" customHeight="1">
      <c r="B17" s="117" t="s">
        <v>156</v>
      </c>
      <c r="C17" s="118">
        <v>40</v>
      </c>
      <c r="D17" s="156">
        <v>40</v>
      </c>
      <c r="E17" s="62"/>
      <c r="F17" s="62"/>
      <c r="G17" s="62"/>
      <c r="H17" s="220"/>
      <c r="I17" s="220"/>
      <c r="J17" s="62"/>
      <c r="K17" s="62"/>
      <c r="L17" s="205"/>
      <c r="M17" s="208"/>
      <c r="N17" s="62"/>
    </row>
    <row r="18" spans="2:14" ht="20" customHeight="1">
      <c r="B18" s="147" t="s">
        <v>69</v>
      </c>
      <c r="C18" s="86">
        <v>60</v>
      </c>
      <c r="D18" s="87">
        <v>60</v>
      </c>
      <c r="E18" s="62"/>
      <c r="F18" s="62"/>
      <c r="G18" s="62"/>
      <c r="H18" s="220"/>
      <c r="I18" s="220"/>
      <c r="J18" s="62"/>
      <c r="K18" s="62"/>
      <c r="L18" s="62"/>
      <c r="M18" s="62"/>
      <c r="N18" s="62"/>
    </row>
    <row r="19" spans="2:14" ht="20" customHeight="1">
      <c r="B19" s="147" t="s">
        <v>157</v>
      </c>
      <c r="C19" s="86">
        <v>40</v>
      </c>
      <c r="D19" s="87">
        <v>40</v>
      </c>
      <c r="E19" s="62"/>
      <c r="F19" s="62"/>
      <c r="G19" s="62"/>
      <c r="H19" s="220"/>
      <c r="I19" s="220"/>
      <c r="J19" s="62"/>
      <c r="K19" s="62"/>
      <c r="L19" s="62"/>
      <c r="M19" s="62"/>
      <c r="N19" s="62"/>
    </row>
    <row r="20" spans="2:14" ht="20" customHeight="1">
      <c r="B20" s="147" t="s">
        <v>158</v>
      </c>
      <c r="C20" s="86">
        <v>70</v>
      </c>
      <c r="D20" s="87">
        <v>70</v>
      </c>
      <c r="E20" s="62"/>
      <c r="F20" s="62"/>
      <c r="G20" s="62"/>
      <c r="H20" s="220"/>
      <c r="I20" s="220"/>
      <c r="J20" s="62"/>
      <c r="K20" s="62"/>
      <c r="L20" s="62"/>
      <c r="M20" s="62"/>
      <c r="N20" s="62"/>
    </row>
    <row r="21" spans="2:14" ht="20" customHeight="1">
      <c r="B21" s="147" t="s">
        <v>159</v>
      </c>
      <c r="C21" s="86">
        <v>40</v>
      </c>
      <c r="D21" s="87">
        <v>40</v>
      </c>
      <c r="E21" s="62"/>
      <c r="F21" s="62"/>
      <c r="G21" s="62"/>
      <c r="H21" s="220"/>
      <c r="I21" s="220"/>
      <c r="J21" s="62"/>
      <c r="K21" s="62"/>
      <c r="L21" s="62"/>
      <c r="M21" s="62"/>
      <c r="N21" s="62"/>
    </row>
    <row r="22" spans="2:14" ht="20" customHeight="1">
      <c r="B22" s="119" t="s">
        <v>160</v>
      </c>
      <c r="C22" s="120">
        <v>50</v>
      </c>
      <c r="D22" s="161">
        <v>50</v>
      </c>
      <c r="E22" s="62"/>
      <c r="F22" s="62"/>
      <c r="G22" s="62"/>
      <c r="H22" s="220"/>
      <c r="I22" s="220"/>
      <c r="J22" s="62"/>
      <c r="K22" s="62"/>
      <c r="L22" s="62"/>
      <c r="M22" s="62"/>
      <c r="N22" s="62"/>
    </row>
    <row r="23" spans="2:14" ht="20" customHeight="1">
      <c r="B23" s="62"/>
      <c r="C23" s="62"/>
      <c r="D23" s="62"/>
      <c r="E23" s="62"/>
      <c r="F23" s="62"/>
      <c r="G23" s="62"/>
      <c r="H23" s="220"/>
      <c r="I23" s="220"/>
      <c r="J23" s="62"/>
      <c r="K23" s="62"/>
      <c r="L23" s="62"/>
      <c r="M23" s="62"/>
      <c r="N23" s="62"/>
    </row>
    <row r="24" spans="2:14" ht="20" customHeight="1">
      <c r="B24" s="188" t="s">
        <v>161</v>
      </c>
      <c r="C24" s="189"/>
      <c r="D24" s="189"/>
      <c r="E24" s="189"/>
      <c r="F24" s="62"/>
      <c r="G24" s="62"/>
      <c r="H24" s="223"/>
      <c r="I24" s="220"/>
      <c r="J24" s="62"/>
      <c r="K24" s="62"/>
      <c r="L24" s="62"/>
      <c r="M24" s="62"/>
      <c r="N24" s="62"/>
    </row>
    <row r="25" spans="2:14" ht="20" customHeight="1">
      <c r="B25" s="338" t="s">
        <v>21</v>
      </c>
      <c r="C25" s="338"/>
      <c r="D25" s="338" t="s">
        <v>22</v>
      </c>
      <c r="E25" s="338"/>
      <c r="F25" s="62"/>
      <c r="G25" s="224"/>
      <c r="H25" s="208"/>
      <c r="I25" s="208"/>
      <c r="J25" s="208"/>
      <c r="K25" s="62"/>
      <c r="L25" s="62"/>
      <c r="M25" s="62"/>
      <c r="N25" s="62"/>
    </row>
    <row r="26" spans="2:14" ht="20" customHeight="1">
      <c r="B26" s="117" t="s">
        <v>65</v>
      </c>
      <c r="C26" s="118">
        <v>100</v>
      </c>
      <c r="D26" s="195" t="s">
        <v>65</v>
      </c>
      <c r="E26" s="156">
        <v>100</v>
      </c>
      <c r="F26" s="62"/>
      <c r="G26" s="224"/>
      <c r="H26" s="208"/>
      <c r="I26" s="208"/>
      <c r="J26" s="208"/>
      <c r="K26" s="62"/>
      <c r="L26" s="62"/>
      <c r="M26" s="62"/>
      <c r="N26" s="62"/>
    </row>
    <row r="27" spans="2:14" ht="20" customHeight="1">
      <c r="B27" s="147" t="s">
        <v>66</v>
      </c>
      <c r="C27" s="86">
        <v>60</v>
      </c>
      <c r="D27" s="198" t="s">
        <v>70</v>
      </c>
      <c r="E27" s="87">
        <v>100</v>
      </c>
      <c r="F27" s="62"/>
      <c r="G27" s="224"/>
      <c r="H27" s="208"/>
      <c r="I27" s="208"/>
      <c r="J27" s="208"/>
      <c r="K27" s="62"/>
      <c r="L27" s="62"/>
      <c r="M27" s="62"/>
      <c r="N27" s="62"/>
    </row>
    <row r="28" spans="2:14" ht="20" customHeight="1">
      <c r="B28" s="147" t="s">
        <v>67</v>
      </c>
      <c r="C28" s="86">
        <v>60</v>
      </c>
      <c r="D28" s="198" t="s">
        <v>67</v>
      </c>
      <c r="E28" s="87">
        <v>70</v>
      </c>
      <c r="F28" s="62"/>
      <c r="G28" s="224"/>
      <c r="H28" s="208"/>
      <c r="I28" s="208"/>
      <c r="J28" s="208"/>
      <c r="K28" s="62"/>
      <c r="L28" s="62"/>
      <c r="M28" s="62"/>
      <c r="N28" s="62"/>
    </row>
    <row r="29" spans="2:14" ht="20" customHeight="1">
      <c r="B29" s="147" t="s">
        <v>68</v>
      </c>
      <c r="C29" s="86">
        <v>80</v>
      </c>
      <c r="D29" s="198" t="s">
        <v>69</v>
      </c>
      <c r="E29" s="87">
        <v>80</v>
      </c>
      <c r="F29" s="62"/>
      <c r="G29" s="224"/>
      <c r="H29" s="220"/>
      <c r="I29" s="220"/>
      <c r="J29" s="62"/>
      <c r="K29" s="62"/>
      <c r="L29" s="62"/>
      <c r="M29" s="62"/>
      <c r="N29" s="62"/>
    </row>
    <row r="30" spans="2:14" ht="20" customHeight="1">
      <c r="B30" s="147" t="s">
        <v>69</v>
      </c>
      <c r="C30" s="86">
        <v>80</v>
      </c>
      <c r="D30" s="198"/>
      <c r="E30" s="182"/>
      <c r="F30" s="62"/>
      <c r="G30" s="62"/>
      <c r="H30" s="220"/>
      <c r="I30" s="220"/>
      <c r="J30" s="62"/>
      <c r="K30" s="62"/>
      <c r="L30" s="62"/>
      <c r="M30" s="62"/>
      <c r="N30" s="62"/>
    </row>
    <row r="31" spans="2:14" ht="20" customHeight="1">
      <c r="B31" s="339" t="s">
        <v>162</v>
      </c>
      <c r="C31" s="340"/>
      <c r="D31" s="340"/>
      <c r="E31" s="161">
        <v>40</v>
      </c>
      <c r="F31" s="62"/>
      <c r="G31" s="62"/>
      <c r="H31" s="220"/>
      <c r="I31" s="220"/>
      <c r="J31" s="62"/>
      <c r="K31" s="62"/>
      <c r="L31" s="62"/>
      <c r="M31" s="62"/>
      <c r="N31" s="62"/>
    </row>
    <row r="32" spans="2:14">
      <c r="B32" s="62"/>
      <c r="C32" s="62"/>
      <c r="D32" s="62"/>
      <c r="E32" s="62"/>
      <c r="F32" s="62"/>
      <c r="G32" s="62"/>
      <c r="H32" s="220"/>
      <c r="I32" s="220"/>
      <c r="J32" s="62"/>
      <c r="K32" s="62"/>
      <c r="L32" s="62"/>
      <c r="M32" s="62"/>
      <c r="N32" s="62"/>
    </row>
  </sheetData>
  <mergeCells count="7">
    <mergeCell ref="G10:H10"/>
    <mergeCell ref="I10:J10"/>
    <mergeCell ref="B3:C3"/>
    <mergeCell ref="D3:E3"/>
    <mergeCell ref="B31:D31"/>
    <mergeCell ref="B25:C25"/>
    <mergeCell ref="D25:E25"/>
  </mergeCells>
  <phoneticPr fontId="8"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24D7D-9055-4371-8CE1-77B188070FA8}">
  <sheetPr>
    <tabColor rgb="FFFF0000"/>
  </sheetPr>
  <dimension ref="B1:AG199"/>
  <sheetViews>
    <sheetView showGridLines="0" topLeftCell="A164" zoomScale="106" zoomScaleNormal="100" workbookViewId="0">
      <selection activeCell="O63" sqref="O63"/>
    </sheetView>
  </sheetViews>
  <sheetFormatPr baseColWidth="10" defaultColWidth="8.83203125" defaultRowHeight="15" outlineLevelRow="1" outlineLevelCol="1"/>
  <cols>
    <col min="1" max="1" width="4.1640625" customWidth="1"/>
    <col min="2" max="2" width="26.83203125" customWidth="1"/>
    <col min="3" max="14" width="7.33203125" customWidth="1" outlineLevel="1"/>
    <col min="15" max="15" width="7.33203125" customWidth="1"/>
    <col min="16" max="27" width="7.33203125" customWidth="1" outlineLevel="1"/>
    <col min="28" max="28" width="7.33203125" customWidth="1"/>
    <col min="29" max="29" width="1.5" customWidth="1"/>
    <col min="30" max="30" width="28" customWidth="1"/>
    <col min="31" max="31" width="1.5" customWidth="1"/>
    <col min="32" max="32" width="12.33203125" customWidth="1"/>
    <col min="33" max="33" width="8.83203125" style="1"/>
  </cols>
  <sheetData>
    <row r="1" spans="2:32" ht="20" customHeight="1"/>
    <row r="2" spans="2:32" ht="41.25" customHeight="1">
      <c r="B2" s="111" t="s">
        <v>163</v>
      </c>
      <c r="C2" s="189"/>
      <c r="D2" s="189"/>
      <c r="E2" s="189"/>
      <c r="F2" s="189"/>
      <c r="G2" s="225"/>
      <c r="H2" s="225"/>
      <c r="I2" s="225"/>
      <c r="J2" s="225"/>
      <c r="K2" s="225"/>
      <c r="L2" s="225"/>
      <c r="M2" s="225"/>
      <c r="N2" s="225"/>
      <c r="O2" s="225"/>
      <c r="P2" s="225"/>
      <c r="Q2" s="225"/>
      <c r="R2" s="225"/>
      <c r="S2" s="225"/>
      <c r="T2" s="225"/>
      <c r="U2" s="225"/>
      <c r="V2" s="225"/>
      <c r="W2" s="225"/>
      <c r="X2" s="225"/>
      <c r="Y2" s="225"/>
      <c r="Z2" s="225"/>
      <c r="AA2" s="225"/>
      <c r="AB2" s="225"/>
      <c r="AD2" s="244" t="s">
        <v>164</v>
      </c>
      <c r="AF2" s="3"/>
    </row>
    <row r="3" spans="2:32" ht="20" customHeight="1" thickBot="1">
      <c r="B3" s="113"/>
      <c r="C3" s="153" t="s">
        <v>186</v>
      </c>
      <c r="D3" s="153" t="s">
        <v>187</v>
      </c>
      <c r="E3" s="153" t="s">
        <v>188</v>
      </c>
      <c r="F3" s="153" t="s">
        <v>189</v>
      </c>
      <c r="G3" s="249">
        <v>46143</v>
      </c>
      <c r="H3" s="153" t="s">
        <v>190</v>
      </c>
      <c r="I3" s="153" t="s">
        <v>191</v>
      </c>
      <c r="J3" s="153" t="s">
        <v>192</v>
      </c>
      <c r="K3" s="153" t="s">
        <v>193</v>
      </c>
      <c r="L3" s="153" t="s">
        <v>194</v>
      </c>
      <c r="M3" s="153" t="s">
        <v>195</v>
      </c>
      <c r="N3" s="153" t="s">
        <v>196</v>
      </c>
      <c r="O3" s="250">
        <v>2026</v>
      </c>
      <c r="P3" s="153" t="s">
        <v>202</v>
      </c>
      <c r="Q3" s="153" t="s">
        <v>203</v>
      </c>
      <c r="R3" s="153" t="s">
        <v>204</v>
      </c>
      <c r="S3" s="153" t="s">
        <v>205</v>
      </c>
      <c r="T3" s="249">
        <v>46508</v>
      </c>
      <c r="U3" s="153" t="s">
        <v>206</v>
      </c>
      <c r="V3" s="153" t="s">
        <v>207</v>
      </c>
      <c r="W3" s="153" t="s">
        <v>208</v>
      </c>
      <c r="X3" s="153" t="s">
        <v>209</v>
      </c>
      <c r="Y3" s="153" t="s">
        <v>210</v>
      </c>
      <c r="Z3" s="153" t="s">
        <v>211</v>
      </c>
      <c r="AA3" s="153" t="s">
        <v>212</v>
      </c>
      <c r="AB3" s="250">
        <v>2027</v>
      </c>
    </row>
    <row r="4" spans="2:32" ht="20" customHeight="1">
      <c r="B4" s="226"/>
      <c r="C4" s="227">
        <v>31</v>
      </c>
      <c r="D4" s="227">
        <v>28</v>
      </c>
      <c r="E4" s="227">
        <v>31</v>
      </c>
      <c r="F4" s="227">
        <v>30</v>
      </c>
      <c r="G4" s="227">
        <v>31</v>
      </c>
      <c r="H4" s="227">
        <v>30</v>
      </c>
      <c r="I4" s="227">
        <v>31</v>
      </c>
      <c r="J4" s="227">
        <v>31</v>
      </c>
      <c r="K4" s="227">
        <v>30</v>
      </c>
      <c r="L4" s="227">
        <v>31</v>
      </c>
      <c r="M4" s="227">
        <v>30</v>
      </c>
      <c r="N4" s="227">
        <v>31</v>
      </c>
      <c r="O4" s="228">
        <f>SUM(C4:N4)</f>
        <v>365</v>
      </c>
      <c r="P4" s="227">
        <v>31</v>
      </c>
      <c r="Q4" s="227">
        <v>28</v>
      </c>
      <c r="R4" s="227">
        <v>31</v>
      </c>
      <c r="S4" s="227">
        <v>30</v>
      </c>
      <c r="T4" s="227">
        <v>31</v>
      </c>
      <c r="U4" s="227">
        <v>30</v>
      </c>
      <c r="V4" s="227">
        <v>31</v>
      </c>
      <c r="W4" s="227">
        <v>31</v>
      </c>
      <c r="X4" s="227">
        <v>30</v>
      </c>
      <c r="Y4" s="227">
        <v>31</v>
      </c>
      <c r="Z4" s="227">
        <v>30</v>
      </c>
      <c r="AA4" s="227">
        <v>31</v>
      </c>
      <c r="AB4" s="229">
        <f>SUM(P4:AA4)</f>
        <v>365</v>
      </c>
    </row>
    <row r="5" spans="2:32" ht="20" customHeight="1"/>
    <row r="6" spans="2:32" ht="39" customHeight="1">
      <c r="B6" s="111" t="s">
        <v>165</v>
      </c>
      <c r="C6" s="189"/>
      <c r="D6" s="189"/>
      <c r="E6" s="189"/>
      <c r="F6" s="189"/>
      <c r="G6" s="225"/>
      <c r="H6" s="225"/>
      <c r="I6" s="225"/>
      <c r="J6" s="225"/>
      <c r="K6" s="225"/>
      <c r="L6" s="225"/>
      <c r="M6" s="225"/>
      <c r="N6" s="225"/>
      <c r="O6" s="225"/>
      <c r="P6" s="225"/>
      <c r="Q6" s="225"/>
      <c r="R6" s="225"/>
      <c r="S6" s="225"/>
      <c r="T6" s="225"/>
      <c r="U6" s="225"/>
      <c r="V6" s="225"/>
      <c r="W6" s="225"/>
      <c r="X6" s="225"/>
      <c r="Y6" s="225"/>
      <c r="Z6" s="225"/>
      <c r="AA6" s="225"/>
      <c r="AB6" s="225"/>
      <c r="AF6" s="13"/>
    </row>
    <row r="7" spans="2:32" ht="20" customHeight="1" thickBot="1">
      <c r="B7" s="113"/>
      <c r="C7" s="153" t="s">
        <v>186</v>
      </c>
      <c r="D7" s="153" t="s">
        <v>187</v>
      </c>
      <c r="E7" s="153" t="s">
        <v>188</v>
      </c>
      <c r="F7" s="153" t="s">
        <v>189</v>
      </c>
      <c r="G7" s="249">
        <v>46143</v>
      </c>
      <c r="H7" s="153" t="s">
        <v>190</v>
      </c>
      <c r="I7" s="153" t="s">
        <v>191</v>
      </c>
      <c r="J7" s="153" t="s">
        <v>192</v>
      </c>
      <c r="K7" s="153" t="s">
        <v>193</v>
      </c>
      <c r="L7" s="153" t="s">
        <v>194</v>
      </c>
      <c r="M7" s="153" t="s">
        <v>195</v>
      </c>
      <c r="N7" s="153" t="s">
        <v>196</v>
      </c>
      <c r="O7" s="250">
        <v>2026</v>
      </c>
      <c r="P7" s="153" t="s">
        <v>202</v>
      </c>
      <c r="Q7" s="153" t="s">
        <v>203</v>
      </c>
      <c r="R7" s="153" t="s">
        <v>204</v>
      </c>
      <c r="S7" s="153" t="s">
        <v>205</v>
      </c>
      <c r="T7" s="249">
        <v>46508</v>
      </c>
      <c r="U7" s="153" t="s">
        <v>206</v>
      </c>
      <c r="V7" s="153" t="s">
        <v>207</v>
      </c>
      <c r="W7" s="153" t="s">
        <v>208</v>
      </c>
      <c r="X7" s="153" t="s">
        <v>209</v>
      </c>
      <c r="Y7" s="153" t="s">
        <v>210</v>
      </c>
      <c r="Z7" s="153" t="s">
        <v>211</v>
      </c>
      <c r="AA7" s="153" t="s">
        <v>212</v>
      </c>
      <c r="AB7" s="250">
        <v>2027</v>
      </c>
    </row>
    <row r="8" spans="2:32" ht="10.25" customHeight="1">
      <c r="B8" s="123"/>
      <c r="C8" s="123"/>
      <c r="D8" s="123"/>
      <c r="E8" s="123"/>
      <c r="F8" s="123"/>
      <c r="G8" s="123"/>
      <c r="H8" s="123"/>
      <c r="I8" s="123"/>
      <c r="J8" s="123"/>
      <c r="K8" s="123"/>
      <c r="L8" s="123"/>
      <c r="M8" s="123"/>
      <c r="N8" s="123"/>
      <c r="O8" s="123"/>
      <c r="P8" s="123"/>
      <c r="Q8" s="123"/>
      <c r="R8" s="123"/>
      <c r="S8" s="123"/>
      <c r="T8" s="123"/>
      <c r="U8" s="123"/>
      <c r="V8" s="123"/>
      <c r="W8" s="123"/>
      <c r="X8" s="123"/>
      <c r="Y8" s="123"/>
      <c r="Z8" s="123"/>
      <c r="AA8" s="123"/>
      <c r="AB8" s="123"/>
    </row>
    <row r="9" spans="2:32" ht="20" customHeight="1">
      <c r="B9" s="125" t="s">
        <v>21</v>
      </c>
      <c r="C9" s="126">
        <f>SUM(C10:C14)</f>
        <v>0</v>
      </c>
      <c r="D9" s="126">
        <f t="shared" ref="D9:P9" si="0">SUM(D10:D14)</f>
        <v>68.333333333333329</v>
      </c>
      <c r="E9" s="126">
        <f t="shared" si="0"/>
        <v>137.82833333333332</v>
      </c>
      <c r="F9" s="126">
        <f t="shared" si="0"/>
        <v>208.50474833333328</v>
      </c>
      <c r="G9" s="126">
        <f t="shared" si="0"/>
        <v>280.3826623883333</v>
      </c>
      <c r="H9" s="126">
        <f t="shared" si="0"/>
        <v>353.48250098226828</v>
      </c>
      <c r="I9" s="126">
        <f t="shared" si="0"/>
        <v>430.05531290780101</v>
      </c>
      <c r="J9" s="126">
        <f t="shared" si="0"/>
        <v>510.26609912791594</v>
      </c>
      <c r="K9" s="126">
        <f t="shared" si="0"/>
        <v>594.28769980134848</v>
      </c>
      <c r="L9" s="126">
        <f t="shared" si="0"/>
        <v>672.48652520319263</v>
      </c>
      <c r="M9" s="126">
        <f t="shared" si="0"/>
        <v>752.01473063686819</v>
      </c>
      <c r="N9" s="126">
        <f t="shared" si="0"/>
        <v>832.89491556291591</v>
      </c>
      <c r="O9" s="126">
        <f>SUM(C9:N9)</f>
        <v>4840.5368616106434</v>
      </c>
      <c r="P9" s="126">
        <f t="shared" si="0"/>
        <v>915.15006363270663</v>
      </c>
      <c r="Q9" s="126">
        <f t="shared" ref="Q9" si="1">SUM(Q10:Q14)</f>
        <v>998.80354921968387</v>
      </c>
      <c r="R9" s="126">
        <f t="shared" ref="R9" si="2">SUM(R10:R14)</f>
        <v>1083.8791440616396</v>
      </c>
      <c r="S9" s="126">
        <f t="shared" ref="S9" si="3">SUM(S10:S14)</f>
        <v>1170.4010240159089</v>
      </c>
      <c r="T9" s="126">
        <f t="shared" ref="T9" si="4">SUM(T10:T14)</f>
        <v>1258.3937759294001</v>
      </c>
      <c r="U9" s="126">
        <f t="shared" ref="U9" si="5">SUM(U10:U14)</f>
        <v>1347.882404625421</v>
      </c>
      <c r="V9" s="126">
        <f t="shared" ref="V9" si="6">SUM(V10:V14)</f>
        <v>1441.6226380707901</v>
      </c>
      <c r="W9" s="126">
        <f t="shared" ref="W9" si="7">SUM(W10:W14)</f>
        <v>1539.8164700071484</v>
      </c>
      <c r="X9" s="126">
        <f t="shared" ref="X9" si="8">SUM(X10:X14)</f>
        <v>1642.6754908988032</v>
      </c>
      <c r="Y9" s="126">
        <f t="shared" ref="Y9" si="9">SUM(Y10:Y14)</f>
        <v>1738.4062857330234</v>
      </c>
      <c r="Z9" s="126">
        <f t="shared" ref="Z9" si="10">SUM(Z10:Z14)</f>
        <v>1835.7645040794253</v>
      </c>
      <c r="AA9" s="126">
        <f t="shared" ref="AA9" si="11">SUM(AA10:AA14)</f>
        <v>1934.7778121377157</v>
      </c>
      <c r="AB9" s="126">
        <f>SUM(P9:AA9)</f>
        <v>16907.573162411667</v>
      </c>
    </row>
    <row r="10" spans="2:32" ht="20" customHeight="1" outlineLevel="1">
      <c r="B10" s="117" t="s">
        <v>49</v>
      </c>
      <c r="C10" s="118">
        <f t="shared" ref="C10:N10" si="12">C26*C42/1000</f>
        <v>0</v>
      </c>
      <c r="D10" s="118">
        <f t="shared" si="12"/>
        <v>0</v>
      </c>
      <c r="E10" s="118">
        <f t="shared" si="12"/>
        <v>0</v>
      </c>
      <c r="F10" s="118">
        <f t="shared" si="12"/>
        <v>0</v>
      </c>
      <c r="G10" s="118">
        <f t="shared" si="12"/>
        <v>0</v>
      </c>
      <c r="H10" s="118">
        <f t="shared" si="12"/>
        <v>0</v>
      </c>
      <c r="I10" s="118">
        <f t="shared" si="12"/>
        <v>0</v>
      </c>
      <c r="J10" s="118">
        <f t="shared" si="12"/>
        <v>0</v>
      </c>
      <c r="K10" s="118">
        <f t="shared" si="12"/>
        <v>0</v>
      </c>
      <c r="L10" s="118">
        <f t="shared" si="12"/>
        <v>0</v>
      </c>
      <c r="M10" s="118">
        <f t="shared" si="12"/>
        <v>0</v>
      </c>
      <c r="N10" s="118">
        <f t="shared" si="12"/>
        <v>0</v>
      </c>
      <c r="O10" s="65">
        <f>SUM(C10:N10)</f>
        <v>0</v>
      </c>
      <c r="P10" s="118">
        <f t="shared" ref="P10:AA10" si="13">P26*P42/1000</f>
        <v>0</v>
      </c>
      <c r="Q10" s="118">
        <f t="shared" si="13"/>
        <v>0</v>
      </c>
      <c r="R10" s="118">
        <f t="shared" si="13"/>
        <v>0</v>
      </c>
      <c r="S10" s="118">
        <f t="shared" si="13"/>
        <v>0</v>
      </c>
      <c r="T10" s="118">
        <f t="shared" si="13"/>
        <v>0</v>
      </c>
      <c r="U10" s="118">
        <f t="shared" si="13"/>
        <v>0</v>
      </c>
      <c r="V10" s="118">
        <f t="shared" si="13"/>
        <v>0</v>
      </c>
      <c r="W10" s="118">
        <f t="shared" si="13"/>
        <v>0</v>
      </c>
      <c r="X10" s="118">
        <f t="shared" si="13"/>
        <v>0</v>
      </c>
      <c r="Y10" s="118">
        <f t="shared" si="13"/>
        <v>0</v>
      </c>
      <c r="Z10" s="118">
        <f t="shared" si="13"/>
        <v>0</v>
      </c>
      <c r="AA10" s="118">
        <f t="shared" si="13"/>
        <v>0</v>
      </c>
      <c r="AB10" s="66">
        <f>SUM(P10:AA10)</f>
        <v>0</v>
      </c>
    </row>
    <row r="11" spans="2:32" ht="20" customHeight="1" outlineLevel="1">
      <c r="B11" s="147" t="s">
        <v>50</v>
      </c>
      <c r="C11" s="86">
        <f t="shared" ref="C11:N11" si="14">C27*C43/1000</f>
        <v>0</v>
      </c>
      <c r="D11" s="86">
        <f t="shared" si="14"/>
        <v>30</v>
      </c>
      <c r="E11" s="86">
        <f t="shared" si="14"/>
        <v>60.51</v>
      </c>
      <c r="F11" s="86">
        <f t="shared" si="14"/>
        <v>91.538669999999996</v>
      </c>
      <c r="G11" s="86">
        <f t="shared" si="14"/>
        <v>123.09482738999999</v>
      </c>
      <c r="H11" s="86">
        <f t="shared" si="14"/>
        <v>155.18743945562997</v>
      </c>
      <c r="I11" s="86">
        <f t="shared" si="14"/>
        <v>188.80477152049804</v>
      </c>
      <c r="J11" s="86">
        <f t="shared" si="14"/>
        <v>224.01926303176799</v>
      </c>
      <c r="K11" s="86">
        <f t="shared" si="14"/>
        <v>260.90679503473842</v>
      </c>
      <c r="L11" s="86">
        <f t="shared" si="14"/>
        <v>295.23798667457243</v>
      </c>
      <c r="M11" s="86">
        <f t="shared" si="14"/>
        <v>330.15280857228362</v>
      </c>
      <c r="N11" s="86">
        <f t="shared" si="14"/>
        <v>365.66118244225578</v>
      </c>
      <c r="O11" s="76">
        <f t="shared" ref="O11:O20" si="15">SUM(C11:N11)</f>
        <v>2125.1137441217465</v>
      </c>
      <c r="P11" s="86">
        <f t="shared" ref="P11:AA11" si="16">P27*P43/1000</f>
        <v>401.77319866801764</v>
      </c>
      <c r="Q11" s="86">
        <f t="shared" si="16"/>
        <v>438.49911916961736</v>
      </c>
      <c r="R11" s="86">
        <f t="shared" si="16"/>
        <v>475.84938031974428</v>
      </c>
      <c r="S11" s="86">
        <f t="shared" si="16"/>
        <v>513.83459590942334</v>
      </c>
      <c r="T11" s="86">
        <f t="shared" si="16"/>
        <v>552.46556016412706</v>
      </c>
      <c r="U11" s="86">
        <f t="shared" si="16"/>
        <v>591.75325081116057</v>
      </c>
      <c r="V11" s="86">
        <f t="shared" si="16"/>
        <v>632.90749964083477</v>
      </c>
      <c r="W11" s="86">
        <f t="shared" si="16"/>
        <v>676.0169868324067</v>
      </c>
      <c r="X11" s="86">
        <f t="shared" si="16"/>
        <v>721.17460576045028</v>
      </c>
      <c r="Y11" s="86">
        <f t="shared" si="16"/>
        <v>763.2027595901078</v>
      </c>
      <c r="Z11" s="86">
        <f t="shared" si="16"/>
        <v>805.94539203486966</v>
      </c>
      <c r="AA11" s="86">
        <f t="shared" si="16"/>
        <v>849.41464923119236</v>
      </c>
      <c r="AB11" s="77">
        <f t="shared" ref="AB11:AB20" si="17">SUM(P11:AA11)</f>
        <v>7422.8369981319529</v>
      </c>
    </row>
    <row r="12" spans="2:32" ht="20" customHeight="1" outlineLevel="1">
      <c r="B12" s="147" t="s">
        <v>51</v>
      </c>
      <c r="C12" s="86">
        <f t="shared" ref="C12:N12" si="18">C28*C44/1000</f>
        <v>0</v>
      </c>
      <c r="D12" s="86">
        <f t="shared" si="18"/>
        <v>21.25</v>
      </c>
      <c r="E12" s="86">
        <f t="shared" si="18"/>
        <v>42.861249999999991</v>
      </c>
      <c r="F12" s="86">
        <f t="shared" si="18"/>
        <v>64.83989124999998</v>
      </c>
      <c r="G12" s="86">
        <f t="shared" si="18"/>
        <v>87.192169401249984</v>
      </c>
      <c r="H12" s="86">
        <f t="shared" si="18"/>
        <v>109.92443628107122</v>
      </c>
      <c r="I12" s="86">
        <f t="shared" si="18"/>
        <v>133.73671316035276</v>
      </c>
      <c r="J12" s="86">
        <f t="shared" si="18"/>
        <v>158.68031131416896</v>
      </c>
      <c r="K12" s="86">
        <f t="shared" si="18"/>
        <v>184.80897981627297</v>
      </c>
      <c r="L12" s="86">
        <f t="shared" si="18"/>
        <v>209.12690722782202</v>
      </c>
      <c r="M12" s="86">
        <f t="shared" si="18"/>
        <v>233.85823940536747</v>
      </c>
      <c r="N12" s="86">
        <f t="shared" si="18"/>
        <v>259.01000422993116</v>
      </c>
      <c r="O12" s="76">
        <f t="shared" si="15"/>
        <v>1505.2889020862365</v>
      </c>
      <c r="P12" s="86">
        <f t="shared" ref="P12:AA12" si="19">P28*P44/1000</f>
        <v>284.58934905651239</v>
      </c>
      <c r="Q12" s="86">
        <f t="shared" si="19"/>
        <v>310.60354274514555</v>
      </c>
      <c r="R12" s="86">
        <f t="shared" si="19"/>
        <v>337.05997772648539</v>
      </c>
      <c r="S12" s="86">
        <f t="shared" si="19"/>
        <v>363.9661721025081</v>
      </c>
      <c r="T12" s="86">
        <f t="shared" si="19"/>
        <v>391.3297717829231</v>
      </c>
      <c r="U12" s="86">
        <f t="shared" si="19"/>
        <v>419.1585526579052</v>
      </c>
      <c r="V12" s="86">
        <f t="shared" si="19"/>
        <v>448.30947891225776</v>
      </c>
      <c r="W12" s="86">
        <f t="shared" si="19"/>
        <v>478.84536567295453</v>
      </c>
      <c r="X12" s="86">
        <f t="shared" si="19"/>
        <v>510.83201241365202</v>
      </c>
      <c r="Y12" s="86">
        <f t="shared" si="19"/>
        <v>540.60195470965959</v>
      </c>
      <c r="Z12" s="86">
        <f t="shared" si="19"/>
        <v>570.87798602469911</v>
      </c>
      <c r="AA12" s="86">
        <f t="shared" si="19"/>
        <v>601.66870987209438</v>
      </c>
      <c r="AB12" s="77">
        <f t="shared" si="17"/>
        <v>5257.8428736767964</v>
      </c>
    </row>
    <row r="13" spans="2:32" ht="20" customHeight="1" outlineLevel="1">
      <c r="B13" s="147" t="s">
        <v>52</v>
      </c>
      <c r="C13" s="86">
        <f t="shared" ref="C13:N13" si="20">C29*C45/1000</f>
        <v>0</v>
      </c>
      <c r="D13" s="86">
        <f t="shared" si="20"/>
        <v>13.333333333333334</v>
      </c>
      <c r="E13" s="86">
        <f t="shared" si="20"/>
        <v>26.893333333333331</v>
      </c>
      <c r="F13" s="86">
        <f t="shared" si="20"/>
        <v>40.683853333333332</v>
      </c>
      <c r="G13" s="86">
        <f t="shared" si="20"/>
        <v>54.708812173333335</v>
      </c>
      <c r="H13" s="86">
        <f t="shared" si="20"/>
        <v>68.972195313613327</v>
      </c>
      <c r="I13" s="86">
        <f t="shared" si="20"/>
        <v>83.913231786888019</v>
      </c>
      <c r="J13" s="86">
        <f t="shared" si="20"/>
        <v>99.564116903007999</v>
      </c>
      <c r="K13" s="86">
        <f t="shared" si="20"/>
        <v>115.95857557099485</v>
      </c>
      <c r="L13" s="86">
        <f t="shared" si="20"/>
        <v>131.21688296647665</v>
      </c>
      <c r="M13" s="86">
        <f t="shared" si="20"/>
        <v>146.73458158768162</v>
      </c>
      <c r="N13" s="86">
        <f t="shared" si="20"/>
        <v>162.51608108544704</v>
      </c>
      <c r="O13" s="76">
        <f t="shared" si="15"/>
        <v>944.49499738744282</v>
      </c>
      <c r="P13" s="86">
        <f t="shared" ref="P13:AA13" si="21">P29*P45/1000</f>
        <v>178.56586607467449</v>
      </c>
      <c r="Q13" s="86">
        <f t="shared" si="21"/>
        <v>194.88849740871882</v>
      </c>
      <c r="R13" s="86">
        <f t="shared" si="21"/>
        <v>211.48861347544192</v>
      </c>
      <c r="S13" s="86">
        <f t="shared" si="21"/>
        <v>228.3709315152993</v>
      </c>
      <c r="T13" s="86">
        <f t="shared" si="21"/>
        <v>245.54024896183424</v>
      </c>
      <c r="U13" s="86">
        <f t="shared" si="21"/>
        <v>263.00144480496027</v>
      </c>
      <c r="V13" s="86">
        <f t="shared" si="21"/>
        <v>281.29222206259328</v>
      </c>
      <c r="W13" s="86">
        <f t="shared" si="21"/>
        <v>300.45199414773634</v>
      </c>
      <c r="X13" s="86">
        <f t="shared" si="21"/>
        <v>320.52204700464461</v>
      </c>
      <c r="Y13" s="86">
        <f t="shared" si="21"/>
        <v>339.20122648449239</v>
      </c>
      <c r="Z13" s="86">
        <f t="shared" si="21"/>
        <v>358.19795201549766</v>
      </c>
      <c r="AA13" s="86">
        <f t="shared" si="21"/>
        <v>377.51762188052999</v>
      </c>
      <c r="AB13" s="77">
        <f t="shared" si="17"/>
        <v>3299.0386658364237</v>
      </c>
    </row>
    <row r="14" spans="2:32" ht="20" customHeight="1" outlineLevel="1">
      <c r="B14" s="119" t="s">
        <v>53</v>
      </c>
      <c r="C14" s="120">
        <f t="shared" ref="C14:N14" si="22">C30*C46/1000</f>
        <v>0</v>
      </c>
      <c r="D14" s="120">
        <f t="shared" si="22"/>
        <v>3.75</v>
      </c>
      <c r="E14" s="120">
        <f t="shared" si="22"/>
        <v>7.5637499999999989</v>
      </c>
      <c r="F14" s="120">
        <f t="shared" si="22"/>
        <v>11.442333749999998</v>
      </c>
      <c r="G14" s="120">
        <f t="shared" si="22"/>
        <v>15.386853423749997</v>
      </c>
      <c r="H14" s="120">
        <f t="shared" si="22"/>
        <v>19.398429931953746</v>
      </c>
      <c r="I14" s="120">
        <f t="shared" si="22"/>
        <v>23.600596440062255</v>
      </c>
      <c r="J14" s="120">
        <f t="shared" si="22"/>
        <v>28.002407878970999</v>
      </c>
      <c r="K14" s="120">
        <f t="shared" si="22"/>
        <v>32.613349379342296</v>
      </c>
      <c r="L14" s="120">
        <f t="shared" si="22"/>
        <v>36.904748334321546</v>
      </c>
      <c r="M14" s="120">
        <f t="shared" si="22"/>
        <v>41.269101071535445</v>
      </c>
      <c r="N14" s="120">
        <f t="shared" si="22"/>
        <v>45.707647805281979</v>
      </c>
      <c r="O14" s="121">
        <f t="shared" si="15"/>
        <v>265.63921801521826</v>
      </c>
      <c r="P14" s="120">
        <f t="shared" ref="P14:AA14" si="23">P30*P46/1000</f>
        <v>50.221649833502198</v>
      </c>
      <c r="Q14" s="120">
        <f t="shared" si="23"/>
        <v>54.812389896202163</v>
      </c>
      <c r="R14" s="120">
        <f t="shared" si="23"/>
        <v>59.481172539968028</v>
      </c>
      <c r="S14" s="120">
        <f t="shared" si="23"/>
        <v>64.229324488677918</v>
      </c>
      <c r="T14" s="120">
        <f t="shared" si="23"/>
        <v>69.058195020515868</v>
      </c>
      <c r="U14" s="120">
        <f t="shared" si="23"/>
        <v>73.969156351395071</v>
      </c>
      <c r="V14" s="120">
        <f t="shared" si="23"/>
        <v>79.113437455104332</v>
      </c>
      <c r="W14" s="120">
        <f t="shared" si="23"/>
        <v>84.502123354050823</v>
      </c>
      <c r="X14" s="120">
        <f t="shared" si="23"/>
        <v>90.14682572005627</v>
      </c>
      <c r="Y14" s="120">
        <f t="shared" si="23"/>
        <v>95.400344948763475</v>
      </c>
      <c r="Z14" s="120">
        <f t="shared" si="23"/>
        <v>100.74317400435869</v>
      </c>
      <c r="AA14" s="120">
        <f t="shared" si="23"/>
        <v>106.17683115389903</v>
      </c>
      <c r="AB14" s="122">
        <f t="shared" si="17"/>
        <v>927.85462476649388</v>
      </c>
    </row>
    <row r="15" spans="2:32" ht="20" customHeight="1">
      <c r="B15" s="125" t="s">
        <v>22</v>
      </c>
      <c r="C15" s="126">
        <f>SUM(C16:C20)</f>
        <v>183.66666666666666</v>
      </c>
      <c r="D15" s="126">
        <f t="shared" ref="D15:P15" si="24">SUM(D16:D20)</f>
        <v>371.00666666666666</v>
      </c>
      <c r="E15" s="126">
        <f t="shared" si="24"/>
        <v>562.0934666666667</v>
      </c>
      <c r="F15" s="126">
        <f t="shared" si="24"/>
        <v>757.00200266666673</v>
      </c>
      <c r="G15" s="126">
        <f t="shared" si="24"/>
        <v>955.80870938666669</v>
      </c>
      <c r="H15" s="126">
        <f t="shared" si="24"/>
        <v>1164.6750354666988</v>
      </c>
      <c r="I15" s="126">
        <f t="shared" si="24"/>
        <v>1384.1099976463804</v>
      </c>
      <c r="J15" s="126">
        <f t="shared" si="24"/>
        <v>1614.6483689123538</v>
      </c>
      <c r="K15" s="126">
        <f t="shared" si="24"/>
        <v>1829.8431418897701</v>
      </c>
      <c r="L15" s="126">
        <f t="shared" si="24"/>
        <v>2049.341810326735</v>
      </c>
      <c r="M15" s="126">
        <f t="shared" si="24"/>
        <v>2273.2304521324386</v>
      </c>
      <c r="N15" s="126">
        <f t="shared" si="24"/>
        <v>2501.5968667742563</v>
      </c>
      <c r="O15" s="126">
        <f>SUM(C15:N15)</f>
        <v>15647.023185201966</v>
      </c>
      <c r="P15" s="126">
        <f t="shared" si="24"/>
        <v>2550.863943042244</v>
      </c>
      <c r="Q15" s="126">
        <f t="shared" ref="Q15" si="25">SUM(Q16:Q20)</f>
        <v>2601.116360835591</v>
      </c>
      <c r="R15" s="126">
        <f t="shared" ref="R15" si="26">SUM(R16:R20)</f>
        <v>2652.3738269848054</v>
      </c>
      <c r="S15" s="126">
        <f t="shared" ref="S15" si="27">SUM(S16:S20)</f>
        <v>2704.6564424570038</v>
      </c>
      <c r="T15" s="126">
        <f t="shared" ref="T15" si="28">SUM(T16:T20)</f>
        <v>2757.9847102386466</v>
      </c>
      <c r="U15" s="126">
        <f t="shared" ref="U15" si="29">SUM(U16:U20)</f>
        <v>2814.0113883700396</v>
      </c>
      <c r="V15" s="126">
        <f t="shared" ref="V15" si="30">SUM(V16:V20)</f>
        <v>2872.8730164148819</v>
      </c>
      <c r="W15" s="126">
        <f t="shared" ref="W15" si="31">SUM(W16:W20)</f>
        <v>2934.7130428387927</v>
      </c>
      <c r="X15" s="126">
        <f t="shared" ref="X15" si="32">SUM(X16:X20)</f>
        <v>2992.4372749227341</v>
      </c>
      <c r="Y15" s="126">
        <f t="shared" ref="Y15" si="33">SUM(Y16:Y20)</f>
        <v>3051.3159916483551</v>
      </c>
      <c r="Z15" s="126">
        <f t="shared" ref="Z15" si="34">SUM(Z16:Z20)</f>
        <v>3111.3722827084875</v>
      </c>
      <c r="AA15" s="126">
        <f t="shared" ref="AA15" si="35">SUM(AA16:AA20)</f>
        <v>3172.6296995898228</v>
      </c>
      <c r="AB15" s="126">
        <f>SUM(P15:AA15)</f>
        <v>34216.347980051411</v>
      </c>
    </row>
    <row r="16" spans="2:32" ht="20" customHeight="1" outlineLevel="1">
      <c r="B16" s="117" t="s">
        <v>54</v>
      </c>
      <c r="C16" s="118">
        <f t="shared" ref="C16:N16" si="36">C32*C48/1000</f>
        <v>0</v>
      </c>
      <c r="D16" s="118">
        <f t="shared" si="36"/>
        <v>0</v>
      </c>
      <c r="E16" s="118">
        <f t="shared" si="36"/>
        <v>0</v>
      </c>
      <c r="F16" s="118">
        <f t="shared" si="36"/>
        <v>0</v>
      </c>
      <c r="G16" s="118">
        <f t="shared" si="36"/>
        <v>0</v>
      </c>
      <c r="H16" s="118">
        <f t="shared" si="36"/>
        <v>0</v>
      </c>
      <c r="I16" s="118">
        <f t="shared" si="36"/>
        <v>0</v>
      </c>
      <c r="J16" s="118">
        <f t="shared" si="36"/>
        <v>0</v>
      </c>
      <c r="K16" s="118">
        <f t="shared" si="36"/>
        <v>0</v>
      </c>
      <c r="L16" s="118">
        <f t="shared" si="36"/>
        <v>0</v>
      </c>
      <c r="M16" s="118">
        <f t="shared" si="36"/>
        <v>0</v>
      </c>
      <c r="N16" s="118">
        <f t="shared" si="36"/>
        <v>0</v>
      </c>
      <c r="O16" s="65">
        <f t="shared" si="15"/>
        <v>0</v>
      </c>
      <c r="P16" s="118">
        <f t="shared" ref="P16:AA16" si="37">P32*P48/1000</f>
        <v>0</v>
      </c>
      <c r="Q16" s="118">
        <f t="shared" si="37"/>
        <v>0</v>
      </c>
      <c r="R16" s="118">
        <f t="shared" si="37"/>
        <v>0</v>
      </c>
      <c r="S16" s="118">
        <f t="shared" si="37"/>
        <v>0</v>
      </c>
      <c r="T16" s="118">
        <f t="shared" si="37"/>
        <v>0</v>
      </c>
      <c r="U16" s="118">
        <f t="shared" si="37"/>
        <v>0</v>
      </c>
      <c r="V16" s="118">
        <f t="shared" si="37"/>
        <v>0</v>
      </c>
      <c r="W16" s="118">
        <f t="shared" si="37"/>
        <v>0</v>
      </c>
      <c r="X16" s="118">
        <f t="shared" si="37"/>
        <v>0</v>
      </c>
      <c r="Y16" s="118">
        <f t="shared" si="37"/>
        <v>0</v>
      </c>
      <c r="Z16" s="118">
        <f t="shared" si="37"/>
        <v>0</v>
      </c>
      <c r="AA16" s="118">
        <f t="shared" si="37"/>
        <v>0</v>
      </c>
      <c r="AB16" s="66">
        <f t="shared" si="17"/>
        <v>0</v>
      </c>
    </row>
    <row r="17" spans="2:32" ht="20" customHeight="1" outlineLevel="1">
      <c r="B17" s="147" t="s">
        <v>55</v>
      </c>
      <c r="C17" s="86">
        <f t="shared" ref="C17:N17" si="38">C33*C49/1000</f>
        <v>10</v>
      </c>
      <c r="D17" s="86">
        <f t="shared" si="38"/>
        <v>20.2</v>
      </c>
      <c r="E17" s="86">
        <f t="shared" si="38"/>
        <v>30.604000000000003</v>
      </c>
      <c r="F17" s="86">
        <f t="shared" si="38"/>
        <v>41.216080000000012</v>
      </c>
      <c r="G17" s="86">
        <f t="shared" si="38"/>
        <v>52.04040160000001</v>
      </c>
      <c r="H17" s="86">
        <f t="shared" si="38"/>
        <v>63.412433872960023</v>
      </c>
      <c r="I17" s="86">
        <f t="shared" si="38"/>
        <v>75.359890978931801</v>
      </c>
      <c r="J17" s="86">
        <f t="shared" si="38"/>
        <v>87.911889414465733</v>
      </c>
      <c r="K17" s="86">
        <f t="shared" si="38"/>
        <v>99.628483224488392</v>
      </c>
      <c r="L17" s="86">
        <f t="shared" si="38"/>
        <v>111.57940891071149</v>
      </c>
      <c r="M17" s="86">
        <f t="shared" si="38"/>
        <v>123.76935311065907</v>
      </c>
      <c r="N17" s="86">
        <f t="shared" si="38"/>
        <v>136.20309619460556</v>
      </c>
      <c r="O17" s="76">
        <f t="shared" si="15"/>
        <v>851.92503730682199</v>
      </c>
      <c r="P17" s="86">
        <f t="shared" ref="P17:AA17" si="39">P33*P49/1000</f>
        <v>138.88551414023104</v>
      </c>
      <c r="Q17" s="86">
        <f t="shared" si="39"/>
        <v>141.62158044476899</v>
      </c>
      <c r="R17" s="86">
        <f t="shared" si="39"/>
        <v>144.41236807539775</v>
      </c>
      <c r="S17" s="86">
        <f t="shared" si="39"/>
        <v>147.25897145863902</v>
      </c>
      <c r="T17" s="86">
        <f t="shared" si="39"/>
        <v>150.16250690954516</v>
      </c>
      <c r="U17" s="86">
        <f t="shared" si="39"/>
        <v>153.21296125426713</v>
      </c>
      <c r="V17" s="86">
        <f t="shared" si="39"/>
        <v>156.41776858883205</v>
      </c>
      <c r="W17" s="86">
        <f t="shared" si="39"/>
        <v>159.78473917452595</v>
      </c>
      <c r="X17" s="86">
        <f t="shared" si="39"/>
        <v>162.92761932428684</v>
      </c>
      <c r="Y17" s="86">
        <f t="shared" si="39"/>
        <v>166.13335707704297</v>
      </c>
      <c r="Z17" s="86">
        <f t="shared" si="39"/>
        <v>169.40320958485421</v>
      </c>
      <c r="AA17" s="86">
        <f t="shared" si="39"/>
        <v>172.73845914282168</v>
      </c>
      <c r="AB17" s="77">
        <f t="shared" si="17"/>
        <v>1862.9590551752131</v>
      </c>
    </row>
    <row r="18" spans="2:32" ht="20" customHeight="1" outlineLevel="1">
      <c r="B18" s="147" t="s">
        <v>56</v>
      </c>
      <c r="C18" s="86">
        <f t="shared" ref="C18:N18" si="40">C34*C50/1000</f>
        <v>36.666666666666664</v>
      </c>
      <c r="D18" s="86">
        <f t="shared" si="40"/>
        <v>74.066666666666663</v>
      </c>
      <c r="E18" s="86">
        <f t="shared" si="40"/>
        <v>112.21466666666666</v>
      </c>
      <c r="F18" s="86">
        <f t="shared" si="40"/>
        <v>151.12562666666665</v>
      </c>
      <c r="G18" s="86">
        <f t="shared" si="40"/>
        <v>190.81480586666666</v>
      </c>
      <c r="H18" s="86">
        <f t="shared" si="40"/>
        <v>232.51225753418666</v>
      </c>
      <c r="I18" s="86">
        <f t="shared" si="40"/>
        <v>276.31960025608316</v>
      </c>
      <c r="J18" s="86">
        <f t="shared" si="40"/>
        <v>322.34359451970766</v>
      </c>
      <c r="K18" s="86">
        <f t="shared" si="40"/>
        <v>365.30443848979075</v>
      </c>
      <c r="L18" s="86">
        <f t="shared" si="40"/>
        <v>409.12449933927553</v>
      </c>
      <c r="M18" s="86">
        <f t="shared" si="40"/>
        <v>453.82096140574998</v>
      </c>
      <c r="N18" s="86">
        <f t="shared" si="40"/>
        <v>499.41135271355387</v>
      </c>
      <c r="O18" s="76">
        <f t="shared" si="15"/>
        <v>3123.7251367916811</v>
      </c>
      <c r="P18" s="86">
        <f t="shared" ref="P18:AA18" si="41">P34*P50/1000</f>
        <v>509.24688518084719</v>
      </c>
      <c r="Q18" s="86">
        <f t="shared" si="41"/>
        <v>519.27912829748641</v>
      </c>
      <c r="R18" s="86">
        <f t="shared" si="41"/>
        <v>529.51201627645844</v>
      </c>
      <c r="S18" s="86">
        <f t="shared" si="41"/>
        <v>539.94956201500986</v>
      </c>
      <c r="T18" s="86">
        <f t="shared" si="41"/>
        <v>550.59585866833231</v>
      </c>
      <c r="U18" s="86">
        <f t="shared" si="41"/>
        <v>561.78085793231287</v>
      </c>
      <c r="V18" s="86">
        <f t="shared" si="41"/>
        <v>573.53181815905077</v>
      </c>
      <c r="W18" s="86">
        <f t="shared" si="41"/>
        <v>585.87737697326168</v>
      </c>
      <c r="X18" s="86">
        <f t="shared" si="41"/>
        <v>597.40127085571828</v>
      </c>
      <c r="Y18" s="86">
        <f t="shared" si="41"/>
        <v>609.15564261582415</v>
      </c>
      <c r="Z18" s="86">
        <f t="shared" si="41"/>
        <v>621.14510181113178</v>
      </c>
      <c r="AA18" s="86">
        <f t="shared" si="41"/>
        <v>633.37435019034581</v>
      </c>
      <c r="AB18" s="77">
        <f t="shared" si="17"/>
        <v>6830.8498689757789</v>
      </c>
    </row>
    <row r="19" spans="2:32" ht="20" customHeight="1" outlineLevel="1">
      <c r="B19" s="147" t="s">
        <v>57</v>
      </c>
      <c r="C19" s="86">
        <f t="shared" ref="C19:N19" si="42">C35*C51/1000</f>
        <v>57</v>
      </c>
      <c r="D19" s="86">
        <f t="shared" si="42"/>
        <v>115.13999999999999</v>
      </c>
      <c r="E19" s="86">
        <f t="shared" si="42"/>
        <v>174.44280000000001</v>
      </c>
      <c r="F19" s="86">
        <f t="shared" si="42"/>
        <v>234.931656</v>
      </c>
      <c r="G19" s="86">
        <f t="shared" si="42"/>
        <v>296.63028912000004</v>
      </c>
      <c r="H19" s="86">
        <f t="shared" si="42"/>
        <v>361.4508730758721</v>
      </c>
      <c r="I19" s="86">
        <f t="shared" si="42"/>
        <v>429.55137857991122</v>
      </c>
      <c r="J19" s="86">
        <f t="shared" si="42"/>
        <v>501.09776966245471</v>
      </c>
      <c r="K19" s="86">
        <f t="shared" si="42"/>
        <v>567.88235437958383</v>
      </c>
      <c r="L19" s="86">
        <f t="shared" si="42"/>
        <v>636.00263079105559</v>
      </c>
      <c r="M19" s="86">
        <f t="shared" si="42"/>
        <v>705.48531273075685</v>
      </c>
      <c r="N19" s="86">
        <f t="shared" si="42"/>
        <v>776.357648309252</v>
      </c>
      <c r="O19" s="76">
        <f t="shared" si="15"/>
        <v>4855.972712648887</v>
      </c>
      <c r="P19" s="86">
        <f t="shared" ref="P19:AA19" si="43">P35*P51/1000</f>
        <v>791.6474305993172</v>
      </c>
      <c r="Q19" s="86">
        <f t="shared" si="43"/>
        <v>807.24300853518355</v>
      </c>
      <c r="R19" s="86">
        <f t="shared" si="43"/>
        <v>823.15049802976716</v>
      </c>
      <c r="S19" s="86">
        <f t="shared" si="43"/>
        <v>839.37613731424256</v>
      </c>
      <c r="T19" s="86">
        <f t="shared" si="43"/>
        <v>855.92628938440737</v>
      </c>
      <c r="U19" s="86">
        <f t="shared" si="43"/>
        <v>873.31387914932247</v>
      </c>
      <c r="V19" s="86">
        <f t="shared" si="43"/>
        <v>891.58128095634254</v>
      </c>
      <c r="W19" s="86">
        <f t="shared" si="43"/>
        <v>910.77301329479758</v>
      </c>
      <c r="X19" s="86">
        <f t="shared" si="43"/>
        <v>928.68743014843471</v>
      </c>
      <c r="Y19" s="86">
        <f t="shared" si="43"/>
        <v>946.96013533914447</v>
      </c>
      <c r="Z19" s="86">
        <f t="shared" si="43"/>
        <v>965.5982946336685</v>
      </c>
      <c r="AA19" s="86">
        <f t="shared" si="43"/>
        <v>984.60921711408298</v>
      </c>
      <c r="AB19" s="77">
        <f t="shared" si="17"/>
        <v>10618.866614498709</v>
      </c>
    </row>
    <row r="20" spans="2:32" ht="20" customHeight="1" outlineLevel="1">
      <c r="B20" s="119" t="s">
        <v>58</v>
      </c>
      <c r="C20" s="120">
        <f t="shared" ref="C20:N20" si="44">C36*C52/1000</f>
        <v>80</v>
      </c>
      <c r="D20" s="120">
        <f t="shared" si="44"/>
        <v>161.6</v>
      </c>
      <c r="E20" s="120">
        <f t="shared" si="44"/>
        <v>244.83199999999999</v>
      </c>
      <c r="F20" s="120">
        <f t="shared" si="44"/>
        <v>329.72864000000004</v>
      </c>
      <c r="G20" s="120">
        <f t="shared" si="44"/>
        <v>416.32321279999996</v>
      </c>
      <c r="H20" s="120">
        <f t="shared" si="44"/>
        <v>507.29947098368001</v>
      </c>
      <c r="I20" s="120">
        <f t="shared" si="44"/>
        <v>602.8791278314543</v>
      </c>
      <c r="J20" s="120">
        <f t="shared" si="44"/>
        <v>703.29511531572587</v>
      </c>
      <c r="K20" s="120">
        <f t="shared" si="44"/>
        <v>797.02786579590725</v>
      </c>
      <c r="L20" s="120">
        <f t="shared" si="44"/>
        <v>892.63527128569217</v>
      </c>
      <c r="M20" s="120">
        <f t="shared" si="44"/>
        <v>990.15482488527266</v>
      </c>
      <c r="N20" s="120">
        <f t="shared" si="44"/>
        <v>1089.6247695568447</v>
      </c>
      <c r="O20" s="121">
        <f t="shared" si="15"/>
        <v>6815.4002984545768</v>
      </c>
      <c r="P20" s="120">
        <f t="shared" ref="P20:AA20" si="45">P36*P52/1000</f>
        <v>1111.0841131218485</v>
      </c>
      <c r="Q20" s="120">
        <f t="shared" si="45"/>
        <v>1132.9726435581522</v>
      </c>
      <c r="R20" s="120">
        <f t="shared" si="45"/>
        <v>1155.2989446031822</v>
      </c>
      <c r="S20" s="120">
        <f t="shared" si="45"/>
        <v>1178.0717716691124</v>
      </c>
      <c r="T20" s="120">
        <f t="shared" si="45"/>
        <v>1201.3000552763615</v>
      </c>
      <c r="U20" s="120">
        <f t="shared" si="45"/>
        <v>1225.703690034137</v>
      </c>
      <c r="V20" s="120">
        <f t="shared" si="45"/>
        <v>1251.3421487106564</v>
      </c>
      <c r="W20" s="120">
        <f t="shared" si="45"/>
        <v>1278.2779133962074</v>
      </c>
      <c r="X20" s="120">
        <f t="shared" si="45"/>
        <v>1303.4209545942945</v>
      </c>
      <c r="Y20" s="120">
        <f t="shared" si="45"/>
        <v>1329.0668566163436</v>
      </c>
      <c r="Z20" s="120">
        <f t="shared" si="45"/>
        <v>1355.2256766788332</v>
      </c>
      <c r="AA20" s="120">
        <f t="shared" si="45"/>
        <v>1381.9076731425725</v>
      </c>
      <c r="AB20" s="122">
        <f t="shared" si="17"/>
        <v>14903.672441401703</v>
      </c>
    </row>
    <row r="21" spans="2:32" ht="20" customHeight="1">
      <c r="C21" s="11"/>
    </row>
    <row r="22" spans="2:32" ht="20" customHeight="1">
      <c r="B22" s="233" t="s">
        <v>166</v>
      </c>
      <c r="C22" s="230"/>
      <c r="D22" s="230"/>
      <c r="E22" s="230"/>
      <c r="F22" s="230"/>
      <c r="G22" s="231"/>
      <c r="H22" s="231"/>
      <c r="I22" s="231"/>
      <c r="J22" s="231"/>
      <c r="K22" s="232"/>
      <c r="L22" s="231"/>
      <c r="M22" s="231"/>
      <c r="N22" s="231"/>
      <c r="O22" s="231"/>
      <c r="P22" s="231"/>
      <c r="Q22" s="231"/>
      <c r="R22" s="231"/>
      <c r="S22" s="231"/>
      <c r="T22" s="231"/>
      <c r="U22" s="231"/>
      <c r="V22" s="231"/>
      <c r="W22" s="231"/>
      <c r="X22" s="231"/>
      <c r="Y22" s="231"/>
      <c r="Z22" s="231"/>
      <c r="AA22" s="231"/>
      <c r="AB22" s="231"/>
      <c r="AC22" s="12"/>
      <c r="AD22" s="343" t="s">
        <v>167</v>
      </c>
      <c r="AF22" s="13"/>
    </row>
    <row r="23" spans="2:32" ht="20" customHeight="1" thickBot="1">
      <c r="B23" s="113"/>
      <c r="C23" s="153" t="s">
        <v>186</v>
      </c>
      <c r="D23" s="153" t="s">
        <v>187</v>
      </c>
      <c r="E23" s="153" t="s">
        <v>188</v>
      </c>
      <c r="F23" s="153" t="s">
        <v>189</v>
      </c>
      <c r="G23" s="249">
        <v>46143</v>
      </c>
      <c r="H23" s="153" t="s">
        <v>190</v>
      </c>
      <c r="I23" s="153" t="s">
        <v>191</v>
      </c>
      <c r="J23" s="153" t="s">
        <v>192</v>
      </c>
      <c r="K23" s="153" t="s">
        <v>193</v>
      </c>
      <c r="L23" s="153" t="s">
        <v>194</v>
      </c>
      <c r="M23" s="153" t="s">
        <v>195</v>
      </c>
      <c r="N23" s="153" t="s">
        <v>196</v>
      </c>
      <c r="O23" s="250">
        <v>2026</v>
      </c>
      <c r="P23" s="153" t="s">
        <v>202</v>
      </c>
      <c r="Q23" s="153" t="s">
        <v>203</v>
      </c>
      <c r="R23" s="153" t="s">
        <v>204</v>
      </c>
      <c r="S23" s="153" t="s">
        <v>205</v>
      </c>
      <c r="T23" s="249">
        <v>46508</v>
      </c>
      <c r="U23" s="153" t="s">
        <v>206</v>
      </c>
      <c r="V23" s="153" t="s">
        <v>207</v>
      </c>
      <c r="W23" s="153" t="s">
        <v>208</v>
      </c>
      <c r="X23" s="153" t="s">
        <v>209</v>
      </c>
      <c r="Y23" s="153" t="s">
        <v>210</v>
      </c>
      <c r="Z23" s="153" t="s">
        <v>211</v>
      </c>
      <c r="AA23" s="153" t="s">
        <v>212</v>
      </c>
      <c r="AB23" s="250">
        <v>2027</v>
      </c>
      <c r="AD23" s="343"/>
      <c r="AF23" s="13"/>
    </row>
    <row r="24" spans="2:32" ht="10.25" customHeight="1">
      <c r="B24" s="123"/>
      <c r="C24" s="123"/>
      <c r="D24" s="123"/>
      <c r="E24" s="123"/>
      <c r="F24" s="123"/>
      <c r="G24" s="123"/>
      <c r="H24" s="123"/>
      <c r="I24" s="123"/>
      <c r="J24" s="123"/>
      <c r="K24" s="123"/>
      <c r="L24" s="123"/>
      <c r="M24" s="123"/>
      <c r="N24" s="123"/>
      <c r="O24" s="123"/>
      <c r="P24" s="123"/>
      <c r="Q24" s="123"/>
      <c r="R24" s="123"/>
      <c r="S24" s="123"/>
      <c r="T24" s="123"/>
      <c r="U24" s="123"/>
      <c r="V24" s="123"/>
      <c r="W24" s="123"/>
      <c r="X24" s="123"/>
      <c r="Y24" s="123"/>
      <c r="Z24" s="123"/>
      <c r="AA24" s="123"/>
      <c r="AB24" s="123"/>
      <c r="AD24" s="343"/>
      <c r="AF24" s="13"/>
    </row>
    <row r="25" spans="2:32" ht="20" customHeight="1">
      <c r="B25" s="125" t="s">
        <v>21</v>
      </c>
      <c r="C25" s="126"/>
      <c r="D25" s="126"/>
      <c r="E25" s="126"/>
      <c r="F25" s="126"/>
      <c r="G25" s="126"/>
      <c r="H25" s="126"/>
      <c r="I25" s="126"/>
      <c r="J25" s="126"/>
      <c r="K25" s="126"/>
      <c r="L25" s="126"/>
      <c r="M25" s="126"/>
      <c r="N25" s="126"/>
      <c r="O25" s="126"/>
      <c r="P25" s="126"/>
      <c r="Q25" s="126"/>
      <c r="R25" s="126"/>
      <c r="S25" s="126"/>
      <c r="T25" s="126"/>
      <c r="U25" s="126"/>
      <c r="V25" s="126"/>
      <c r="W25" s="126"/>
      <c r="X25" s="126"/>
      <c r="Y25" s="126"/>
      <c r="Z25" s="126"/>
      <c r="AA25" s="126"/>
      <c r="AB25" s="126"/>
      <c r="AD25" s="343"/>
      <c r="AF25" s="13"/>
    </row>
    <row r="26" spans="2:32" ht="20" customHeight="1" outlineLevel="1">
      <c r="B26" s="117" t="s">
        <v>49</v>
      </c>
      <c r="C26" s="118">
        <f>Аналитика!H4</f>
        <v>500</v>
      </c>
      <c r="D26" s="118">
        <f>C26*(1+Аналитика!$H$5)</f>
        <v>508.49999999999994</v>
      </c>
      <c r="E26" s="118">
        <f>D26*(1+Аналитика!$H$5)</f>
        <v>517.14449999999988</v>
      </c>
      <c r="F26" s="118">
        <f>E26*(1+Аналитика!$H$5)</f>
        <v>525.93595649999986</v>
      </c>
      <c r="G26" s="118">
        <f>F26*(1+Аналитика!$H$5)</f>
        <v>534.87686776049986</v>
      </c>
      <c r="H26" s="118">
        <f>G26*(1+Аналитика!$H$5)*(1+Аналитика!$H$7)</f>
        <v>560.28886774780119</v>
      </c>
      <c r="I26" s="118">
        <f>H26*(1+Аналитика!$H$5)*(1+Аналитика!$H$7)</f>
        <v>586.90819185449925</v>
      </c>
      <c r="J26" s="118">
        <f>I26*(1+Аналитика!$H$5)*(1+Аналитика!$H$7)</f>
        <v>614.7922000495065</v>
      </c>
      <c r="K26" s="118">
        <f>G26*(1+Аналитика!$H$5)*(1+Аналитика!$H$5)*(1+Аналитика!$H$5)*(1+Аналитика!$H$5)</f>
        <v>572.18652733056649</v>
      </c>
      <c r="L26" s="118">
        <f>K26*(1+Аналитика!$H$5)</f>
        <v>581.91369829518612</v>
      </c>
      <c r="M26" s="118">
        <f>L26*(1+Аналитика!$H$5)</f>
        <v>591.80623116620427</v>
      </c>
      <c r="N26" s="118">
        <f>M26*(1+Аналитика!$H$5)</f>
        <v>601.86693709602969</v>
      </c>
      <c r="O26" s="65"/>
      <c r="P26" s="118">
        <f>N26*(1+Аналитика!$H$5)</f>
        <v>612.09867502666214</v>
      </c>
      <c r="Q26" s="118">
        <f>P26*(1+Аналитика!$H$5)</f>
        <v>622.50435250211535</v>
      </c>
      <c r="R26" s="118">
        <f>Q26*(1+Аналитика!$H$5)</f>
        <v>633.08692649465127</v>
      </c>
      <c r="S26" s="118">
        <f>R26*(1+Аналитика!$H$5)</f>
        <v>643.84940424506033</v>
      </c>
      <c r="T26" s="118">
        <f>S26*(1+Аналитика!$H$5)</f>
        <v>654.79484411722626</v>
      </c>
      <c r="U26" s="118">
        <f>T26*(1+Аналитика!$H$5)*(1+Аналитика!$H$7)</f>
        <v>685.90414716123564</v>
      </c>
      <c r="V26" s="118">
        <f>U26*(1+Аналитика!$H$5)*(1+Аналитика!$H$7)</f>
        <v>718.49145319286583</v>
      </c>
      <c r="W26" s="118">
        <f>V26*(1+Аналитика!$H$5)*(1+Аналитика!$H$7)</f>
        <v>752.62698213405884</v>
      </c>
      <c r="X26" s="118">
        <f>T26*(1+Аналитика!$H$5)*(1+Аналитика!$H$5)*(1+Аналитика!$H$5)*(1+Аналитика!$H$5)</f>
        <v>700.46923049429336</v>
      </c>
      <c r="Y26" s="118">
        <f>X26*(1+Аналитика!$H$5)</f>
        <v>712.37720741269629</v>
      </c>
      <c r="Z26" s="118">
        <f>Y26*(1+Аналитика!$H$5)</f>
        <v>724.4876199387121</v>
      </c>
      <c r="AA26" s="118">
        <f>Z26*(1+Аналитика!$H$5)</f>
        <v>736.80390947767012</v>
      </c>
      <c r="AB26" s="66"/>
      <c r="AD26" s="343"/>
      <c r="AF26" s="13"/>
    </row>
    <row r="27" spans="2:32" ht="20" customHeight="1" outlineLevel="1">
      <c r="B27" s="147" t="s">
        <v>50</v>
      </c>
      <c r="C27" s="86">
        <v>0</v>
      </c>
      <c r="D27" s="86">
        <f>C$26*Аналитика!$H$11</f>
        <v>100</v>
      </c>
      <c r="E27" s="86">
        <f>D$26*Аналитика!$H$11+D27</f>
        <v>201.7</v>
      </c>
      <c r="F27" s="86">
        <f>E$26*Аналитика!$H$11+E27</f>
        <v>305.12889999999999</v>
      </c>
      <c r="G27" s="86">
        <f>F$26*Аналитика!$H$11+F27</f>
        <v>410.31609129999998</v>
      </c>
      <c r="H27" s="86">
        <f>G$26*Аналитика!$H$11+G27</f>
        <v>517.29146485209992</v>
      </c>
      <c r="I27" s="86">
        <f>H$26*Аналитика!$H$11+H27</f>
        <v>629.34923840166016</v>
      </c>
      <c r="J27" s="86">
        <f>I$26*Аналитика!$H$11+I27</f>
        <v>746.73087677256001</v>
      </c>
      <c r="K27" s="86">
        <f>J$26*Аналитика!$H$11+J27</f>
        <v>869.68931678246133</v>
      </c>
      <c r="L27" s="86">
        <f>K$26*Аналитика!$H$11+K27</f>
        <v>984.12662224857468</v>
      </c>
      <c r="M27" s="86">
        <f>L$26*Аналитика!$H$11+L27</f>
        <v>1100.5093619076119</v>
      </c>
      <c r="N27" s="86">
        <f>M$26*Аналитика!$H$11+M27</f>
        <v>1218.8706081408527</v>
      </c>
      <c r="O27" s="76"/>
      <c r="P27" s="86">
        <f>N$26*Аналитика!$H$11+N27</f>
        <v>1339.2439955600587</v>
      </c>
      <c r="Q27" s="86">
        <f>P$26*Аналитика!$H$11+P27</f>
        <v>1461.6637305653912</v>
      </c>
      <c r="R27" s="86">
        <f>Q$26*Аналитика!$H$11+Q27</f>
        <v>1586.1646010658144</v>
      </c>
      <c r="S27" s="86">
        <f>R$26*Аналитика!$H$11+R27</f>
        <v>1712.7819863647446</v>
      </c>
      <c r="T27" s="86">
        <f>S$26*Аналитика!$H$11+S27</f>
        <v>1841.5518672137566</v>
      </c>
      <c r="U27" s="86">
        <f>T$26*Аналитика!$H$11+T27</f>
        <v>1972.5108360372019</v>
      </c>
      <c r="V27" s="86">
        <f>U$26*Аналитика!$H$11+U27</f>
        <v>2109.6916654694492</v>
      </c>
      <c r="W27" s="86">
        <f>V$26*Аналитика!$H$11+V27</f>
        <v>2253.3899561080225</v>
      </c>
      <c r="X27" s="86">
        <f>W$26*Аналитика!$H$11+W27</f>
        <v>2403.9153525348343</v>
      </c>
      <c r="Y27" s="86">
        <f>X$26*Аналитика!$H$11+X27</f>
        <v>2544.0091986336929</v>
      </c>
      <c r="Z27" s="86">
        <f>Y$26*Аналитика!$H$11+Y27</f>
        <v>2686.4846401162322</v>
      </c>
      <c r="AA27" s="86">
        <f>Z$26*Аналитика!$H$11+Z27</f>
        <v>2831.3821641039744</v>
      </c>
      <c r="AB27" s="77"/>
      <c r="AD27" s="343"/>
      <c r="AF27" s="13"/>
    </row>
    <row r="28" spans="2:32" ht="20" customHeight="1" outlineLevel="1">
      <c r="B28" s="147" t="s">
        <v>51</v>
      </c>
      <c r="C28" s="86">
        <v>0</v>
      </c>
      <c r="D28" s="86">
        <f>C$26*Аналитика!$H$12</f>
        <v>75</v>
      </c>
      <c r="E28" s="86">
        <f>D$26*Аналитика!$H$12+D28</f>
        <v>151.27499999999998</v>
      </c>
      <c r="F28" s="86">
        <f>E$26*Аналитика!$H$12+E28</f>
        <v>228.84667499999995</v>
      </c>
      <c r="G28" s="86">
        <f>F$26*Аналитика!$H$12+F28</f>
        <v>307.73706847499994</v>
      </c>
      <c r="H28" s="86">
        <f>G$26*Аналитика!$H$12+G28</f>
        <v>387.96859863907491</v>
      </c>
      <c r="I28" s="86">
        <f>H$26*Аналитика!$H$12+H28</f>
        <v>472.01192880124506</v>
      </c>
      <c r="J28" s="86">
        <f>I$26*Аналитика!$H$12+I28</f>
        <v>560.04815757941992</v>
      </c>
      <c r="K28" s="86">
        <f>J$26*Аналитика!$H$12+J28</f>
        <v>652.26698758684586</v>
      </c>
      <c r="L28" s="86">
        <f>K$26*Аналитика!$H$12+K28</f>
        <v>738.09496668643078</v>
      </c>
      <c r="M28" s="86">
        <f>L$26*Аналитика!$H$12+L28</f>
        <v>825.38202143070873</v>
      </c>
      <c r="N28" s="86">
        <f>M$26*Аналитика!$H$12+M28</f>
        <v>914.15295610563942</v>
      </c>
      <c r="O28" s="76"/>
      <c r="P28" s="86">
        <f>N$26*Аналитика!$H$12+N28</f>
        <v>1004.4329966700438</v>
      </c>
      <c r="Q28" s="86">
        <f>P$26*Аналитика!$H$12+P28</f>
        <v>1096.2477979240432</v>
      </c>
      <c r="R28" s="86">
        <f>Q$26*Аналитика!$H$12+Q28</f>
        <v>1189.6234507993604</v>
      </c>
      <c r="S28" s="86">
        <f>R$26*Аналитика!$H$12+R28</f>
        <v>1284.586489773558</v>
      </c>
      <c r="T28" s="86">
        <f>S$26*Аналитика!$H$12+S28</f>
        <v>1381.163900410317</v>
      </c>
      <c r="U28" s="86">
        <f>T$26*Аналитика!$H$12+T28</f>
        <v>1479.3831270279009</v>
      </c>
      <c r="V28" s="86">
        <f>U$26*Аналитика!$H$12+U28</f>
        <v>1582.2687491020863</v>
      </c>
      <c r="W28" s="86">
        <f>V$26*Аналитика!$H$12+V28</f>
        <v>1690.0424670810162</v>
      </c>
      <c r="X28" s="86">
        <f>W$26*Аналитика!$H$12+W28</f>
        <v>1802.9365144011249</v>
      </c>
      <c r="Y28" s="86">
        <f>X$26*Аналитика!$H$12+X28</f>
        <v>1908.006898975269</v>
      </c>
      <c r="Z28" s="86">
        <f>Y$26*Аналитика!$H$12+Y28</f>
        <v>2014.8634800871735</v>
      </c>
      <c r="AA28" s="86">
        <f>Z$26*Аналитика!$H$12+Z28</f>
        <v>2123.53662307798</v>
      </c>
      <c r="AB28" s="77"/>
      <c r="AD28" s="343"/>
      <c r="AF28" s="13"/>
    </row>
    <row r="29" spans="2:32" ht="20" customHeight="1" outlineLevel="1">
      <c r="B29" s="147" t="s">
        <v>52</v>
      </c>
      <c r="C29" s="86">
        <v>0</v>
      </c>
      <c r="D29" s="86">
        <f>C$26*Аналитика!$H$13</f>
        <v>50</v>
      </c>
      <c r="E29" s="86">
        <f>D$26*Аналитика!$H$13+D29</f>
        <v>100.85</v>
      </c>
      <c r="F29" s="86">
        <f>E$26*Аналитика!$H$13+E29</f>
        <v>152.56444999999999</v>
      </c>
      <c r="G29" s="86">
        <f>F$26*Аналитика!$H$13+F29</f>
        <v>205.15804564999999</v>
      </c>
      <c r="H29" s="86">
        <f>G$26*Аналитика!$H$13+G29</f>
        <v>258.64573242604996</v>
      </c>
      <c r="I29" s="86">
        <f>H$26*Аналитика!$H$13+H29</f>
        <v>314.67461920083008</v>
      </c>
      <c r="J29" s="86">
        <f>I$26*Аналитика!$H$13+I29</f>
        <v>373.36543838628</v>
      </c>
      <c r="K29" s="86">
        <f>J$26*Аналитика!$H$13+J29</f>
        <v>434.84465839123067</v>
      </c>
      <c r="L29" s="86">
        <f>K$26*Аналитика!$H$13+K29</f>
        <v>492.06331112428734</v>
      </c>
      <c r="M29" s="86">
        <f>L$26*Аналитика!$H$13+L29</f>
        <v>550.25468095380597</v>
      </c>
      <c r="N29" s="86">
        <f>M$26*Аналитика!$H$13+M29</f>
        <v>609.43530407042635</v>
      </c>
      <c r="O29" s="76"/>
      <c r="P29" s="86">
        <f>N$26*Аналитика!$H$13+N29</f>
        <v>669.62199778002935</v>
      </c>
      <c r="Q29" s="86">
        <f>P$26*Аналитика!$H$13+P29</f>
        <v>730.83186528269562</v>
      </c>
      <c r="R29" s="86">
        <f>Q$26*Аналитика!$H$13+Q29</f>
        <v>793.0823005329072</v>
      </c>
      <c r="S29" s="86">
        <f>R$26*Аналитика!$H$13+R29</f>
        <v>856.39099318237231</v>
      </c>
      <c r="T29" s="86">
        <f>S$26*Аналитика!$H$13+S29</f>
        <v>920.77593360687831</v>
      </c>
      <c r="U29" s="86">
        <f>T$26*Аналитика!$H$13+T29</f>
        <v>986.25541801860095</v>
      </c>
      <c r="V29" s="86">
        <f>U$26*Аналитика!$H$13+U29</f>
        <v>1054.8458327347246</v>
      </c>
      <c r="W29" s="86">
        <f>V$26*Аналитика!$H$13+V29</f>
        <v>1126.6949780540112</v>
      </c>
      <c r="X29" s="86">
        <f>W$26*Аналитика!$H$13+W29</f>
        <v>1201.9576762674171</v>
      </c>
      <c r="Y29" s="86">
        <f>X$26*Аналитика!$H$13+X29</f>
        <v>1272.0045993168465</v>
      </c>
      <c r="Z29" s="86">
        <f>Y$26*Аналитика!$H$13+Y29</f>
        <v>1343.2423200581161</v>
      </c>
      <c r="AA29" s="86">
        <f>Z$26*Аналитика!$H$13+Z29</f>
        <v>1415.6910820519872</v>
      </c>
      <c r="AB29" s="77"/>
      <c r="AD29" s="343"/>
      <c r="AF29" s="13"/>
    </row>
    <row r="30" spans="2:32" ht="20" customHeight="1" outlineLevel="1">
      <c r="B30" s="119" t="s">
        <v>53</v>
      </c>
      <c r="C30" s="120">
        <v>0</v>
      </c>
      <c r="D30" s="120">
        <f>C$26*Аналитика!$H$14</f>
        <v>15</v>
      </c>
      <c r="E30" s="120">
        <f>D$26*Аналитика!$H$14+D30</f>
        <v>30.254999999999995</v>
      </c>
      <c r="F30" s="120">
        <f>E$26*Аналитика!$H$14+E30</f>
        <v>45.769334999999991</v>
      </c>
      <c r="G30" s="120">
        <f>F$26*Аналитика!$H$14+F30</f>
        <v>61.547413694999989</v>
      </c>
      <c r="H30" s="120">
        <f>G$26*Аналитика!$H$14+G30</f>
        <v>77.593719727814985</v>
      </c>
      <c r="I30" s="120">
        <f>H$26*Аналитика!$H$14+H30</f>
        <v>94.402385760249018</v>
      </c>
      <c r="J30" s="120">
        <f>I$26*Аналитика!$H$14+I30</f>
        <v>112.009631515884</v>
      </c>
      <c r="K30" s="120">
        <f>J$26*Аналитика!$H$14+J30</f>
        <v>130.45339751736918</v>
      </c>
      <c r="L30" s="120">
        <f>K$26*Аналитика!$H$14+K30</f>
        <v>147.61899333728618</v>
      </c>
      <c r="M30" s="120">
        <f>L$26*Аналитика!$H$14+L30</f>
        <v>165.07640428614178</v>
      </c>
      <c r="N30" s="120">
        <f>M$26*Аналитика!$H$14+M30</f>
        <v>182.83059122112792</v>
      </c>
      <c r="O30" s="121"/>
      <c r="P30" s="120">
        <f>N$26*Аналитика!$H$14+N30</f>
        <v>200.88659933400879</v>
      </c>
      <c r="Q30" s="120">
        <f>P$26*Аналитика!$H$14+P30</f>
        <v>219.24955958480865</v>
      </c>
      <c r="R30" s="120">
        <f>Q$26*Аналитика!$H$14+Q30</f>
        <v>237.92469015987211</v>
      </c>
      <c r="S30" s="120">
        <f>R$26*Аналитика!$H$14+R30</f>
        <v>256.91729795471167</v>
      </c>
      <c r="T30" s="120">
        <f>S$26*Аналитика!$H$14+S30</f>
        <v>276.23278008206347</v>
      </c>
      <c r="U30" s="120">
        <f>T$26*Аналитика!$H$14+T30</f>
        <v>295.87662540558028</v>
      </c>
      <c r="V30" s="120">
        <f>U$26*Аналитика!$H$14+U30</f>
        <v>316.45374982041733</v>
      </c>
      <c r="W30" s="120">
        <f>V$26*Аналитика!$H$14+V30</f>
        <v>338.00849341620329</v>
      </c>
      <c r="X30" s="120">
        <f>W$26*Аналитика!$H$14+W30</f>
        <v>360.58730288022508</v>
      </c>
      <c r="Y30" s="120">
        <f>X$26*Аналитика!$H$14+X30</f>
        <v>381.6013797950539</v>
      </c>
      <c r="Z30" s="120">
        <f>Y$26*Аналитика!$H$14+Y30</f>
        <v>402.97269601743477</v>
      </c>
      <c r="AA30" s="120">
        <f>Z$26*Аналитика!$H$14+Z30</f>
        <v>424.70732461559612</v>
      </c>
      <c r="AB30" s="122"/>
      <c r="AD30" s="343"/>
    </row>
    <row r="31" spans="2:32" ht="20" customHeight="1">
      <c r="B31" s="125" t="s">
        <v>22</v>
      </c>
      <c r="C31" s="126"/>
      <c r="D31" s="126"/>
      <c r="E31" s="126"/>
      <c r="F31" s="126"/>
      <c r="G31" s="126"/>
      <c r="H31" s="126"/>
      <c r="I31" s="126"/>
      <c r="J31" s="126"/>
      <c r="K31" s="126"/>
      <c r="L31" s="126"/>
      <c r="M31" s="126"/>
      <c r="N31" s="126"/>
      <c r="O31" s="126"/>
      <c r="P31" s="126"/>
      <c r="Q31" s="126"/>
      <c r="R31" s="126"/>
      <c r="S31" s="126"/>
      <c r="T31" s="126"/>
      <c r="U31" s="126"/>
      <c r="V31" s="126"/>
      <c r="W31" s="126"/>
      <c r="X31" s="126"/>
      <c r="Y31" s="126"/>
      <c r="Z31" s="126"/>
      <c r="AA31" s="126"/>
      <c r="AB31" s="126"/>
      <c r="AD31" s="343"/>
    </row>
    <row r="32" spans="2:32" ht="20" customHeight="1" outlineLevel="1">
      <c r="B32" s="117" t="s">
        <v>54</v>
      </c>
      <c r="C32" s="118">
        <f>Аналитика!I4</f>
        <v>40</v>
      </c>
      <c r="D32" s="118">
        <f>C32*(1+Аналитика!$I$5)</f>
        <v>40.799999999999997</v>
      </c>
      <c r="E32" s="118">
        <f>D32*(1+Аналитика!$I$5)</f>
        <v>41.616</v>
      </c>
      <c r="F32" s="118">
        <f>E32*(1+Аналитика!$I$5)</f>
        <v>42.448320000000002</v>
      </c>
      <c r="G32" s="118">
        <f>F32*(1+Аналитика!$I$5)</f>
        <v>43.297286400000004</v>
      </c>
      <c r="H32" s="118">
        <f>G32*(1+Аналитика!$I$5)*(1+Аналитика!$I$7)</f>
        <v>45.488129091840008</v>
      </c>
      <c r="I32" s="118">
        <f>H32*(1+Аналитика!$I$5)*(1+Аналитика!$I$7)</f>
        <v>47.789828423887116</v>
      </c>
      <c r="J32" s="118">
        <f>I32*(1+Аналитика!$I$5)*(1+Аналитика!$I$7)</f>
        <v>50.207993742135805</v>
      </c>
      <c r="K32" s="118">
        <f>G32*(1+Аналитика!$I$5)*(1+Аналитика!$I$5)*(1+Аналитика!$I$5)*(1+Аналитика!$I$5)</f>
        <v>46.866375240090626</v>
      </c>
      <c r="L32" s="118">
        <f>K32*(1+Аналитика!$I$5)</f>
        <v>47.803702744892441</v>
      </c>
      <c r="M32" s="118">
        <f>L32*(1+Аналитика!$I$5)</f>
        <v>48.759776799790288</v>
      </c>
      <c r="N32" s="118">
        <f>M32*(1+Аналитика!$I$5)</f>
        <v>49.734972335786097</v>
      </c>
      <c r="O32" s="65"/>
      <c r="P32" s="118">
        <f>N32*(1+Аналитика!$I$5)</f>
        <v>50.729671782501818</v>
      </c>
      <c r="Q32" s="118">
        <f>P32*(1+Аналитика!$I$5)</f>
        <v>51.744265218151853</v>
      </c>
      <c r="R32" s="118">
        <f>Q32*(1+Аналитика!$I$5)</f>
        <v>52.77915052251489</v>
      </c>
      <c r="S32" s="118">
        <f>R32*(1+Аналитика!$I$5)</f>
        <v>53.834733532965188</v>
      </c>
      <c r="T32" s="118">
        <f>S32*(1+Аналитика!$I$5)</f>
        <v>54.911428203624496</v>
      </c>
      <c r="U32" s="118">
        <f>T32*(1+Аналитика!$I$5)*(1+Аналитика!$I$7)</f>
        <v>57.689946470727897</v>
      </c>
      <c r="V32" s="118">
        <f>U32*(1+Аналитика!$I$5)*(1+Аналитика!$I$7)</f>
        <v>60.609057762146726</v>
      </c>
      <c r="W32" s="118">
        <f>V32*(1+Аналитика!$I$5)*(1+Аналитика!$I$7)</f>
        <v>63.675876084911359</v>
      </c>
      <c r="X32" s="118">
        <f>T32*(1+Аналитика!$I$5)*(1+Аналитика!$I$5)*(1+Аналитика!$I$5)*(1+Аналитика!$I$5)</f>
        <v>59.437895839134185</v>
      </c>
      <c r="Y32" s="118">
        <f>X32*(1+Аналитика!$I$5)</f>
        <v>60.62665375591687</v>
      </c>
      <c r="Z32" s="118">
        <f>Y32*(1+Аналитика!$I$5)</f>
        <v>61.839186831035207</v>
      </c>
      <c r="AA32" s="118">
        <f>Z32*(1+Аналитика!$I$5)</f>
        <v>63.075970567655915</v>
      </c>
      <c r="AB32" s="66"/>
      <c r="AD32" s="343"/>
    </row>
    <row r="33" spans="2:32" ht="20" customHeight="1" outlineLevel="1">
      <c r="B33" s="147" t="s">
        <v>55</v>
      </c>
      <c r="C33" s="86">
        <f>C$32*Аналитика!$J$11</f>
        <v>1.2</v>
      </c>
      <c r="D33" s="86">
        <f>D$32*Аналитика!$J$11+C33</f>
        <v>2.4239999999999999</v>
      </c>
      <c r="E33" s="86">
        <f>E$32*Аналитика!$J$11+D33</f>
        <v>3.6724800000000002</v>
      </c>
      <c r="F33" s="86">
        <f>F$32*Аналитика!$J$11+E33</f>
        <v>4.9459296000000004</v>
      </c>
      <c r="G33" s="86">
        <f>G$32*Аналитика!$J$11+F33</f>
        <v>6.244848192000001</v>
      </c>
      <c r="H33" s="86">
        <f>H$32*Аналитика!$J$11+G33</f>
        <v>7.6094920647552016</v>
      </c>
      <c r="I33" s="86">
        <f>I$32*Аналитика!$J$11+H33</f>
        <v>9.0431869174718145</v>
      </c>
      <c r="J33" s="86">
        <f>J$32*Аналитика!$J$11+I33</f>
        <v>10.549426729735888</v>
      </c>
      <c r="K33" s="86">
        <f>K$32*Аналитика!$J$11+J33</f>
        <v>11.955417986938606</v>
      </c>
      <c r="L33" s="86">
        <f>L$32*Аналитика!$J$11+K33</f>
        <v>13.389529069285379</v>
      </c>
      <c r="M33" s="86">
        <f>M$32*Аналитика!$J$11+L33</f>
        <v>14.852322373279087</v>
      </c>
      <c r="N33" s="86">
        <f>N$32*Аналитика!$J$11+M33</f>
        <v>16.344371543352668</v>
      </c>
      <c r="O33" s="76"/>
      <c r="P33" s="86">
        <f>P$32*Аналитика!$J$11+N33-C33</f>
        <v>16.666261696827725</v>
      </c>
      <c r="Q33" s="86">
        <f>Q$32*Аналитика!$J$11+P33-(D33-C33)</f>
        <v>16.99458965337228</v>
      </c>
      <c r="R33" s="86">
        <f>R$32*Аналитика!$J$11+Q33-(E33-D33)</f>
        <v>17.329484169047728</v>
      </c>
      <c r="S33" s="86">
        <f>S$32*Аналитика!$J$11+R33-(F33-E33)</f>
        <v>17.671076575036682</v>
      </c>
      <c r="T33" s="86">
        <f>T$32*Аналитика!$J$11+S33-(G33-F33)</f>
        <v>18.019500829145418</v>
      </c>
      <c r="U33" s="86">
        <f>U$32*Аналитика!$J$11+T33-(H33-G33)</f>
        <v>18.385555350512057</v>
      </c>
      <c r="V33" s="86">
        <f>V$32*Аналитика!$J$11+U33-(I33-H33)</f>
        <v>18.770132230659847</v>
      </c>
      <c r="W33" s="86">
        <f>W$32*Аналитика!$J$11+V33-(J33-I33)</f>
        <v>19.174168700943113</v>
      </c>
      <c r="X33" s="86">
        <f>X$32*Аналитика!$J$11+W33-(K33-J33)</f>
        <v>19.551314318914422</v>
      </c>
      <c r="Y33" s="86">
        <f>Y$32*Аналитика!$J$11+X33-(L33-K33)</f>
        <v>19.936002849245156</v>
      </c>
      <c r="Z33" s="86">
        <f>Z$32*Аналитика!$J$11+Y33-(M33-L33)</f>
        <v>20.328385150182505</v>
      </c>
      <c r="AA33" s="86">
        <f>AA$32*Аналитика!$J$11+Z33-(N33-M33)</f>
        <v>20.728615097138601</v>
      </c>
      <c r="AB33" s="77"/>
      <c r="AD33" s="343"/>
    </row>
    <row r="34" spans="2:32" ht="20" customHeight="1" outlineLevel="1">
      <c r="B34" s="147" t="s">
        <v>56</v>
      </c>
      <c r="C34" s="86">
        <f>C$32*Аналитика!$J$12</f>
        <v>4</v>
      </c>
      <c r="D34" s="86">
        <f>D$32*Аналитика!$J$12+C34</f>
        <v>8.08</v>
      </c>
      <c r="E34" s="86">
        <f>E$32*Аналитика!$J$12+D34</f>
        <v>12.2416</v>
      </c>
      <c r="F34" s="86">
        <f>F$32*Аналитика!$J$12+E34</f>
        <v>16.486432000000001</v>
      </c>
      <c r="G34" s="86">
        <f>G$32*Аналитика!$J$12+F34</f>
        <v>20.81616064</v>
      </c>
      <c r="H34" s="86">
        <f>H$32*Аналитика!$J$12+G34</f>
        <v>25.364973549184</v>
      </c>
      <c r="I34" s="86">
        <f>I$32*Аналитика!$J$12+H34</f>
        <v>30.143956391572711</v>
      </c>
      <c r="J34" s="86">
        <f>J$32*Аналитика!$J$12+I34</f>
        <v>35.164755765786296</v>
      </c>
      <c r="K34" s="86">
        <f>K$32*Аналитика!$J$12+J34</f>
        <v>39.851393289795361</v>
      </c>
      <c r="L34" s="86">
        <f>L$32*Аналитика!$J$12+K34</f>
        <v>44.631763564284604</v>
      </c>
      <c r="M34" s="86">
        <f>M$32*Аналитика!$J$12+L34</f>
        <v>49.507741244263634</v>
      </c>
      <c r="N34" s="86">
        <f>N$32*Аналитика!$J$12+M34</f>
        <v>54.481238477842247</v>
      </c>
      <c r="O34" s="76"/>
      <c r="P34" s="86">
        <f>P$32*Аналитика!$J$12+N34-C34</f>
        <v>55.554205656092428</v>
      </c>
      <c r="Q34" s="86">
        <f>Q$32*Аналитика!$J$12+P34-(D34-C34)</f>
        <v>56.648632177907615</v>
      </c>
      <c r="R34" s="86">
        <f>R$32*Аналитика!$J$12+Q34-(E34-D34)</f>
        <v>57.764947230159102</v>
      </c>
      <c r="S34" s="86">
        <f>S$32*Аналитика!$J$12+R34-(F34-E34)</f>
        <v>58.903588583455615</v>
      </c>
      <c r="T34" s="86">
        <f>T$32*Аналитика!$J$12+S34-(G34-F34)</f>
        <v>60.065002763818072</v>
      </c>
      <c r="U34" s="86">
        <f>U$32*Аналитика!$J$12+T34-(H34-G34)</f>
        <v>61.285184501706858</v>
      </c>
      <c r="V34" s="86">
        <f>V$32*Аналитика!$J$12+U34-(I34-H34)</f>
        <v>62.567107435532819</v>
      </c>
      <c r="W34" s="86">
        <f>W$32*Аналитика!$J$12+V34-(J34-I34)</f>
        <v>63.913895669810373</v>
      </c>
      <c r="X34" s="86">
        <f>X$32*Аналитика!$J$12+W34-(K34-J34)</f>
        <v>65.171047729714729</v>
      </c>
      <c r="Y34" s="86">
        <f>Y$32*Аналитика!$J$12+X34-(L34-K34)</f>
        <v>66.453342830817178</v>
      </c>
      <c r="Z34" s="86">
        <f>Z$32*Аналитика!$J$12+Y34-(M34-L34)</f>
        <v>67.761283833941661</v>
      </c>
      <c r="AA34" s="86">
        <f>AA$32*Аналитика!$J$12+Z34-(N34-M34)</f>
        <v>69.095383657128636</v>
      </c>
      <c r="AB34" s="77"/>
      <c r="AD34" s="343"/>
    </row>
    <row r="35" spans="2:32" ht="20" customHeight="1" outlineLevel="1">
      <c r="B35" s="147" t="s">
        <v>57</v>
      </c>
      <c r="C35" s="86">
        <f>C$32*Аналитика!$J$13</f>
        <v>6</v>
      </c>
      <c r="D35" s="86">
        <f>D$32*Аналитика!$J$13+C35</f>
        <v>12.12</v>
      </c>
      <c r="E35" s="86">
        <f>E$32*Аналитика!$J$13+D35</f>
        <v>18.362400000000001</v>
      </c>
      <c r="F35" s="86">
        <f>F$32*Аналитика!$J$13+E35</f>
        <v>24.729648000000001</v>
      </c>
      <c r="G35" s="86">
        <f>G$32*Аналитика!$J$13+F35</f>
        <v>31.224240960000003</v>
      </c>
      <c r="H35" s="86">
        <f>H$32*Аналитика!$J$13+G35</f>
        <v>38.047460323776008</v>
      </c>
      <c r="I35" s="86">
        <f>I$32*Аналитика!$J$13+H35</f>
        <v>45.215934587359072</v>
      </c>
      <c r="J35" s="86">
        <f>J$32*Аналитика!$J$13+I35</f>
        <v>52.747133648679444</v>
      </c>
      <c r="K35" s="86">
        <f>K$32*Аналитика!$J$13+J35</f>
        <v>59.777089934693038</v>
      </c>
      <c r="L35" s="86">
        <f>L$32*Аналитика!$J$13+K35</f>
        <v>66.94764534642691</v>
      </c>
      <c r="M35" s="86">
        <f>M$32*Аналитика!$J$13+L35</f>
        <v>74.261611866395455</v>
      </c>
      <c r="N35" s="86">
        <f>N$32*Аналитика!$J$13+M35</f>
        <v>81.721857716763367</v>
      </c>
      <c r="O35" s="76"/>
      <c r="P35" s="86">
        <f>P$32*Аналитика!$J$13+N35-C35</f>
        <v>83.331308484138646</v>
      </c>
      <c r="Q35" s="86">
        <f>Q$32*Аналитика!$J$13+P35-(D35-C35)</f>
        <v>84.972948266861422</v>
      </c>
      <c r="R35" s="86">
        <f>R$32*Аналитика!$J$13+Q35-(E35-D35)</f>
        <v>86.647420845238656</v>
      </c>
      <c r="S35" s="86">
        <f>S$32*Аналитика!$J$13+R35-(F35-E35)</f>
        <v>88.355382875183423</v>
      </c>
      <c r="T35" s="86">
        <f>T$32*Аналитика!$J$13+S35-(G35-F35)</f>
        <v>90.097504145727086</v>
      </c>
      <c r="U35" s="86">
        <f>U$32*Аналитика!$J$13+T35-(H35-G35)</f>
        <v>91.927776752560263</v>
      </c>
      <c r="V35" s="86">
        <f>V$32*Аналитика!$J$13+U35-(I35-H35)</f>
        <v>93.850661153299214</v>
      </c>
      <c r="W35" s="86">
        <f>W$32*Аналитика!$J$13+V35-(J35-I35)</f>
        <v>95.870843504715538</v>
      </c>
      <c r="X35" s="86">
        <f>X$32*Аналитика!$J$13+W35-(K35-J35)</f>
        <v>97.75657159457208</v>
      </c>
      <c r="Y35" s="86">
        <f>Y$32*Аналитика!$J$13+X35-(L35-K35)</f>
        <v>99.680014246225738</v>
      </c>
      <c r="Z35" s="86">
        <f>Z$32*Аналитика!$J$13+Y35-(M35-L35)</f>
        <v>101.64192575091248</v>
      </c>
      <c r="AA35" s="86">
        <f>AA$32*Аналитика!$J$13+Z35-(N35-M35)</f>
        <v>103.64307548569295</v>
      </c>
      <c r="AB35" s="77"/>
      <c r="AD35" s="343"/>
    </row>
    <row r="36" spans="2:32" ht="20" customHeight="1" outlineLevel="1">
      <c r="B36" s="119" t="s">
        <v>58</v>
      </c>
      <c r="C36" s="120">
        <f>C$32*Аналитика!$J$14</f>
        <v>8</v>
      </c>
      <c r="D36" s="120">
        <f>D$32*Аналитика!$J$14+C36</f>
        <v>16.16</v>
      </c>
      <c r="E36" s="120">
        <f>E$32*Аналитика!$J$14+D36</f>
        <v>24.4832</v>
      </c>
      <c r="F36" s="120">
        <f>F$32*Аналитика!$J$14+E36</f>
        <v>32.972864000000001</v>
      </c>
      <c r="G36" s="120">
        <f>G$32*Аналитика!$J$14+F36</f>
        <v>41.632321279999999</v>
      </c>
      <c r="H36" s="120">
        <f>H$32*Аналитика!$J$14+G36</f>
        <v>50.729947098368001</v>
      </c>
      <c r="I36" s="120">
        <f>I$32*Аналитика!$J$14+H36</f>
        <v>60.287912783145423</v>
      </c>
      <c r="J36" s="120">
        <f>J$32*Аналитика!$J$14+I36</f>
        <v>70.329511531572592</v>
      </c>
      <c r="K36" s="120">
        <f>K$32*Аналитика!$J$14+J36</f>
        <v>79.702786579590722</v>
      </c>
      <c r="L36" s="120">
        <f>L$32*Аналитика!$J$14+K36</f>
        <v>89.263527128569208</v>
      </c>
      <c r="M36" s="120">
        <f>M$32*Аналитика!$J$14+L36</f>
        <v>99.015482488527269</v>
      </c>
      <c r="N36" s="120">
        <f>N$32*Аналитика!$J$14+M36</f>
        <v>108.96247695568449</v>
      </c>
      <c r="O36" s="121"/>
      <c r="P36" s="120">
        <f>P$32*Аналитика!$J$14+N36-C36</f>
        <v>111.10841131218486</v>
      </c>
      <c r="Q36" s="120">
        <f>Q$32*Аналитика!$J$14+P36-(D36-C36)</f>
        <v>113.29726435581523</v>
      </c>
      <c r="R36" s="120">
        <f>R$32*Аналитика!$J$14+Q36-(E36-D36)</f>
        <v>115.5298944603182</v>
      </c>
      <c r="S36" s="120">
        <f>S$32*Аналитика!$J$14+R36-(F36-E36)</f>
        <v>117.80717716691123</v>
      </c>
      <c r="T36" s="120">
        <f>T$32*Аналитика!$J$14+S36-(G36-F36)</f>
        <v>120.13000552763614</v>
      </c>
      <c r="U36" s="120">
        <f>U$32*Аналитика!$J$14+T36-(H36-G36)</f>
        <v>122.57036900341372</v>
      </c>
      <c r="V36" s="120">
        <f>V$32*Аналитика!$J$14+U36-(I36-H36)</f>
        <v>125.13421487106564</v>
      </c>
      <c r="W36" s="120">
        <f>W$32*Аналитика!$J$14+V36-(J36-I36)</f>
        <v>127.82779133962075</v>
      </c>
      <c r="X36" s="120">
        <f>X$32*Аналитика!$J$14+W36-(K36-J36)</f>
        <v>130.34209545942946</v>
      </c>
      <c r="Y36" s="120">
        <f>Y$32*Аналитика!$J$14+X36-(L36-K36)</f>
        <v>132.90668566163436</v>
      </c>
      <c r="Z36" s="120">
        <f>Z$32*Аналитика!$J$14+Y36-(M36-L36)</f>
        <v>135.52256766788332</v>
      </c>
      <c r="AA36" s="120">
        <f>AA$32*Аналитика!$J$14+Z36-(N36-M36)</f>
        <v>138.19076731425727</v>
      </c>
      <c r="AB36" s="122"/>
      <c r="AD36" s="343"/>
    </row>
    <row r="37" spans="2:32" ht="20" customHeight="1">
      <c r="O37" s="7"/>
      <c r="AB37" s="7"/>
    </row>
    <row r="38" spans="2:32" ht="20" customHeight="1">
      <c r="B38" s="233" t="s">
        <v>168</v>
      </c>
      <c r="C38" s="230"/>
      <c r="D38" s="230"/>
      <c r="E38" s="230"/>
      <c r="F38" s="230"/>
      <c r="G38" s="231"/>
      <c r="H38" s="231"/>
      <c r="I38" s="231"/>
      <c r="J38" s="231"/>
      <c r="K38" s="231"/>
      <c r="L38" s="231"/>
      <c r="M38" s="231"/>
      <c r="N38" s="231"/>
      <c r="O38" s="231"/>
      <c r="P38" s="231"/>
      <c r="Q38" s="231"/>
      <c r="R38" s="231"/>
      <c r="S38" s="231"/>
      <c r="T38" s="231"/>
      <c r="U38" s="231"/>
      <c r="V38" s="231"/>
      <c r="W38" s="231"/>
      <c r="X38" s="231"/>
      <c r="Y38" s="231"/>
      <c r="Z38" s="231"/>
      <c r="AA38" s="231"/>
      <c r="AB38" s="231"/>
      <c r="AF38" s="13"/>
    </row>
    <row r="39" spans="2:32" ht="20" customHeight="1" thickBot="1">
      <c r="B39" s="113"/>
      <c r="C39" s="153" t="s">
        <v>186</v>
      </c>
      <c r="D39" s="153" t="s">
        <v>187</v>
      </c>
      <c r="E39" s="153" t="s">
        <v>188</v>
      </c>
      <c r="F39" s="153" t="s">
        <v>189</v>
      </c>
      <c r="G39" s="249">
        <v>46143</v>
      </c>
      <c r="H39" s="153" t="s">
        <v>190</v>
      </c>
      <c r="I39" s="153" t="s">
        <v>191</v>
      </c>
      <c r="J39" s="153" t="s">
        <v>192</v>
      </c>
      <c r="K39" s="153" t="s">
        <v>193</v>
      </c>
      <c r="L39" s="153" t="s">
        <v>194</v>
      </c>
      <c r="M39" s="153" t="s">
        <v>195</v>
      </c>
      <c r="N39" s="153" t="s">
        <v>196</v>
      </c>
      <c r="O39" s="250">
        <v>2026</v>
      </c>
      <c r="P39" s="153" t="s">
        <v>202</v>
      </c>
      <c r="Q39" s="153" t="s">
        <v>203</v>
      </c>
      <c r="R39" s="153" t="s">
        <v>204</v>
      </c>
      <c r="S39" s="153" t="s">
        <v>205</v>
      </c>
      <c r="T39" s="249">
        <v>46508</v>
      </c>
      <c r="U39" s="153" t="s">
        <v>206</v>
      </c>
      <c r="V39" s="153" t="s">
        <v>207</v>
      </c>
      <c r="W39" s="153" t="s">
        <v>208</v>
      </c>
      <c r="X39" s="153" t="s">
        <v>209</v>
      </c>
      <c r="Y39" s="153" t="s">
        <v>210</v>
      </c>
      <c r="Z39" s="153" t="s">
        <v>211</v>
      </c>
      <c r="AA39" s="153" t="s">
        <v>212</v>
      </c>
      <c r="AB39" s="250">
        <v>2027</v>
      </c>
    </row>
    <row r="40" spans="2:32" ht="10.25" customHeight="1">
      <c r="B40" s="123"/>
      <c r="C40" s="123"/>
      <c r="D40" s="123"/>
      <c r="E40" s="123"/>
      <c r="F40" s="123"/>
      <c r="G40" s="123"/>
      <c r="H40" s="123"/>
      <c r="I40" s="123"/>
      <c r="J40" s="123"/>
      <c r="K40" s="123"/>
      <c r="L40" s="123"/>
      <c r="M40" s="123"/>
      <c r="N40" s="123"/>
      <c r="O40" s="123"/>
      <c r="P40" s="123"/>
      <c r="Q40" s="123"/>
      <c r="R40" s="123"/>
      <c r="S40" s="123"/>
      <c r="T40" s="123"/>
      <c r="U40" s="123"/>
      <c r="V40" s="123"/>
      <c r="W40" s="123"/>
      <c r="X40" s="123"/>
      <c r="Y40" s="123"/>
      <c r="Z40" s="123"/>
      <c r="AA40" s="123"/>
      <c r="AB40" s="123"/>
    </row>
    <row r="41" spans="2:32" ht="20" customHeight="1">
      <c r="B41" s="125" t="s">
        <v>21</v>
      </c>
      <c r="C41" s="126"/>
      <c r="D41" s="126"/>
      <c r="E41" s="126"/>
      <c r="F41" s="126"/>
      <c r="G41" s="126"/>
      <c r="H41" s="126"/>
      <c r="I41" s="126"/>
      <c r="J41" s="126"/>
      <c r="K41" s="126"/>
      <c r="L41" s="126"/>
      <c r="M41" s="126"/>
      <c r="N41" s="126"/>
      <c r="O41" s="126"/>
      <c r="P41" s="126"/>
      <c r="Q41" s="126"/>
      <c r="R41" s="126"/>
      <c r="S41" s="126"/>
      <c r="T41" s="126"/>
      <c r="U41" s="126"/>
      <c r="V41" s="126"/>
      <c r="W41" s="126"/>
      <c r="X41" s="126"/>
      <c r="Y41" s="126"/>
      <c r="Z41" s="126"/>
      <c r="AA41" s="126"/>
      <c r="AB41" s="126"/>
    </row>
    <row r="42" spans="2:32" ht="20" customHeight="1" outlineLevel="1">
      <c r="B42" s="117" t="s">
        <v>49</v>
      </c>
      <c r="C42" s="118">
        <f>Аналитика!C4</f>
        <v>0</v>
      </c>
      <c r="D42" s="118">
        <f>C42</f>
        <v>0</v>
      </c>
      <c r="E42" s="118">
        <f t="shared" ref="E42:AA46" si="46">D42</f>
        <v>0</v>
      </c>
      <c r="F42" s="118">
        <f t="shared" si="46"/>
        <v>0</v>
      </c>
      <c r="G42" s="118">
        <f t="shared" si="46"/>
        <v>0</v>
      </c>
      <c r="H42" s="118">
        <f t="shared" si="46"/>
        <v>0</v>
      </c>
      <c r="I42" s="118">
        <f t="shared" si="46"/>
        <v>0</v>
      </c>
      <c r="J42" s="118">
        <f t="shared" si="46"/>
        <v>0</v>
      </c>
      <c r="K42" s="118">
        <f t="shared" si="46"/>
        <v>0</v>
      </c>
      <c r="L42" s="118">
        <f t="shared" si="46"/>
        <v>0</v>
      </c>
      <c r="M42" s="118">
        <f t="shared" si="46"/>
        <v>0</v>
      </c>
      <c r="N42" s="118">
        <f t="shared" si="46"/>
        <v>0</v>
      </c>
      <c r="O42" s="65"/>
      <c r="P42" s="118">
        <f>N42</f>
        <v>0</v>
      </c>
      <c r="Q42" s="118">
        <f t="shared" si="46"/>
        <v>0</v>
      </c>
      <c r="R42" s="118">
        <f t="shared" si="46"/>
        <v>0</v>
      </c>
      <c r="S42" s="118">
        <f t="shared" si="46"/>
        <v>0</v>
      </c>
      <c r="T42" s="118">
        <f t="shared" si="46"/>
        <v>0</v>
      </c>
      <c r="U42" s="118">
        <f t="shared" si="46"/>
        <v>0</v>
      </c>
      <c r="V42" s="118">
        <f t="shared" si="46"/>
        <v>0</v>
      </c>
      <c r="W42" s="118">
        <f t="shared" si="46"/>
        <v>0</v>
      </c>
      <c r="X42" s="118">
        <f t="shared" si="46"/>
        <v>0</v>
      </c>
      <c r="Y42" s="118">
        <f t="shared" si="46"/>
        <v>0</v>
      </c>
      <c r="Z42" s="118">
        <f t="shared" si="46"/>
        <v>0</v>
      </c>
      <c r="AA42" s="118">
        <f t="shared" si="46"/>
        <v>0</v>
      </c>
      <c r="AB42" s="66"/>
    </row>
    <row r="43" spans="2:32" ht="20" customHeight="1" outlineLevel="1">
      <c r="B43" s="147" t="s">
        <v>50</v>
      </c>
      <c r="C43" s="86">
        <f>Аналитика!C5</f>
        <v>300</v>
      </c>
      <c r="D43" s="86">
        <f t="shared" ref="D43:S46" si="47">C43</f>
        <v>300</v>
      </c>
      <c r="E43" s="86">
        <f t="shared" si="47"/>
        <v>300</v>
      </c>
      <c r="F43" s="86">
        <f t="shared" si="47"/>
        <v>300</v>
      </c>
      <c r="G43" s="86">
        <f t="shared" si="47"/>
        <v>300</v>
      </c>
      <c r="H43" s="86">
        <f t="shared" si="47"/>
        <v>300</v>
      </c>
      <c r="I43" s="86">
        <f t="shared" si="47"/>
        <v>300</v>
      </c>
      <c r="J43" s="86">
        <f t="shared" si="47"/>
        <v>300</v>
      </c>
      <c r="K43" s="86">
        <f t="shared" si="47"/>
        <v>300</v>
      </c>
      <c r="L43" s="86">
        <f t="shared" si="47"/>
        <v>300</v>
      </c>
      <c r="M43" s="86">
        <f t="shared" si="47"/>
        <v>300</v>
      </c>
      <c r="N43" s="86">
        <f t="shared" si="47"/>
        <v>300</v>
      </c>
      <c r="O43" s="76"/>
      <c r="P43" s="86">
        <f t="shared" ref="P43:P46" si="48">N43</f>
        <v>300</v>
      </c>
      <c r="Q43" s="86">
        <f t="shared" si="47"/>
        <v>300</v>
      </c>
      <c r="R43" s="86">
        <f t="shared" si="47"/>
        <v>300</v>
      </c>
      <c r="S43" s="86">
        <f t="shared" si="47"/>
        <v>300</v>
      </c>
      <c r="T43" s="86">
        <f t="shared" si="46"/>
        <v>300</v>
      </c>
      <c r="U43" s="86">
        <f t="shared" si="46"/>
        <v>300</v>
      </c>
      <c r="V43" s="86">
        <f t="shared" si="46"/>
        <v>300</v>
      </c>
      <c r="W43" s="86">
        <f t="shared" si="46"/>
        <v>300</v>
      </c>
      <c r="X43" s="86">
        <f t="shared" si="46"/>
        <v>300</v>
      </c>
      <c r="Y43" s="86">
        <f t="shared" si="46"/>
        <v>300</v>
      </c>
      <c r="Z43" s="86">
        <f t="shared" si="46"/>
        <v>300</v>
      </c>
      <c r="AA43" s="86">
        <f t="shared" si="46"/>
        <v>300</v>
      </c>
      <c r="AB43" s="77"/>
    </row>
    <row r="44" spans="2:32" ht="20" customHeight="1" outlineLevel="1">
      <c r="B44" s="147" t="s">
        <v>51</v>
      </c>
      <c r="C44" s="86">
        <f>Аналитика!C6/3</f>
        <v>283.33333333333331</v>
      </c>
      <c r="D44" s="86">
        <f t="shared" si="47"/>
        <v>283.33333333333331</v>
      </c>
      <c r="E44" s="86">
        <f t="shared" si="46"/>
        <v>283.33333333333331</v>
      </c>
      <c r="F44" s="86">
        <f t="shared" si="46"/>
        <v>283.33333333333331</v>
      </c>
      <c r="G44" s="86">
        <f t="shared" si="46"/>
        <v>283.33333333333331</v>
      </c>
      <c r="H44" s="86">
        <f t="shared" si="46"/>
        <v>283.33333333333331</v>
      </c>
      <c r="I44" s="86">
        <f t="shared" si="46"/>
        <v>283.33333333333331</v>
      </c>
      <c r="J44" s="86">
        <f t="shared" si="46"/>
        <v>283.33333333333331</v>
      </c>
      <c r="K44" s="86">
        <f t="shared" si="46"/>
        <v>283.33333333333331</v>
      </c>
      <c r="L44" s="86">
        <f t="shared" si="46"/>
        <v>283.33333333333331</v>
      </c>
      <c r="M44" s="86">
        <f t="shared" si="46"/>
        <v>283.33333333333331</v>
      </c>
      <c r="N44" s="86">
        <f t="shared" si="46"/>
        <v>283.33333333333331</v>
      </c>
      <c r="O44" s="76"/>
      <c r="P44" s="86">
        <f t="shared" si="48"/>
        <v>283.33333333333331</v>
      </c>
      <c r="Q44" s="86">
        <f t="shared" si="46"/>
        <v>283.33333333333331</v>
      </c>
      <c r="R44" s="86">
        <f t="shared" si="46"/>
        <v>283.33333333333331</v>
      </c>
      <c r="S44" s="86">
        <f t="shared" si="46"/>
        <v>283.33333333333331</v>
      </c>
      <c r="T44" s="86">
        <f t="shared" si="46"/>
        <v>283.33333333333331</v>
      </c>
      <c r="U44" s="86">
        <f t="shared" si="46"/>
        <v>283.33333333333331</v>
      </c>
      <c r="V44" s="86">
        <f t="shared" si="46"/>
        <v>283.33333333333331</v>
      </c>
      <c r="W44" s="86">
        <f t="shared" si="46"/>
        <v>283.33333333333331</v>
      </c>
      <c r="X44" s="86">
        <f t="shared" si="46"/>
        <v>283.33333333333331</v>
      </c>
      <c r="Y44" s="86">
        <f t="shared" si="46"/>
        <v>283.33333333333331</v>
      </c>
      <c r="Z44" s="86">
        <f t="shared" si="46"/>
        <v>283.33333333333331</v>
      </c>
      <c r="AA44" s="86">
        <f t="shared" si="46"/>
        <v>283.33333333333331</v>
      </c>
      <c r="AB44" s="77"/>
    </row>
    <row r="45" spans="2:32" ht="20" customHeight="1" outlineLevel="1">
      <c r="B45" s="147" t="s">
        <v>52</v>
      </c>
      <c r="C45" s="86">
        <f>Аналитика!C7/6</f>
        <v>266.66666666666669</v>
      </c>
      <c r="D45" s="86">
        <f t="shared" si="47"/>
        <v>266.66666666666669</v>
      </c>
      <c r="E45" s="86">
        <f t="shared" si="46"/>
        <v>266.66666666666669</v>
      </c>
      <c r="F45" s="86">
        <f t="shared" si="46"/>
        <v>266.66666666666669</v>
      </c>
      <c r="G45" s="86">
        <f t="shared" si="46"/>
        <v>266.66666666666669</v>
      </c>
      <c r="H45" s="86">
        <f t="shared" si="46"/>
        <v>266.66666666666669</v>
      </c>
      <c r="I45" s="86">
        <f t="shared" si="46"/>
        <v>266.66666666666669</v>
      </c>
      <c r="J45" s="86">
        <f t="shared" si="46"/>
        <v>266.66666666666669</v>
      </c>
      <c r="K45" s="86">
        <f t="shared" si="46"/>
        <v>266.66666666666669</v>
      </c>
      <c r="L45" s="86">
        <f t="shared" si="46"/>
        <v>266.66666666666669</v>
      </c>
      <c r="M45" s="86">
        <f t="shared" si="46"/>
        <v>266.66666666666669</v>
      </c>
      <c r="N45" s="86">
        <f t="shared" si="46"/>
        <v>266.66666666666669</v>
      </c>
      <c r="O45" s="76"/>
      <c r="P45" s="86">
        <f t="shared" si="48"/>
        <v>266.66666666666669</v>
      </c>
      <c r="Q45" s="86">
        <f t="shared" si="46"/>
        <v>266.66666666666669</v>
      </c>
      <c r="R45" s="86">
        <f t="shared" si="46"/>
        <v>266.66666666666669</v>
      </c>
      <c r="S45" s="86">
        <f t="shared" si="46"/>
        <v>266.66666666666669</v>
      </c>
      <c r="T45" s="86">
        <f t="shared" si="46"/>
        <v>266.66666666666669</v>
      </c>
      <c r="U45" s="86">
        <f t="shared" si="46"/>
        <v>266.66666666666669</v>
      </c>
      <c r="V45" s="86">
        <f t="shared" si="46"/>
        <v>266.66666666666669</v>
      </c>
      <c r="W45" s="86">
        <f t="shared" si="46"/>
        <v>266.66666666666669</v>
      </c>
      <c r="X45" s="86">
        <f t="shared" si="46"/>
        <v>266.66666666666669</v>
      </c>
      <c r="Y45" s="86">
        <f t="shared" si="46"/>
        <v>266.66666666666669</v>
      </c>
      <c r="Z45" s="86">
        <f t="shared" si="46"/>
        <v>266.66666666666669</v>
      </c>
      <c r="AA45" s="86">
        <f t="shared" si="46"/>
        <v>266.66666666666669</v>
      </c>
      <c r="AB45" s="77"/>
    </row>
    <row r="46" spans="2:32" ht="20" customHeight="1" outlineLevel="1">
      <c r="B46" s="119" t="s">
        <v>53</v>
      </c>
      <c r="C46" s="120">
        <f>Аналитика!C8/12</f>
        <v>250</v>
      </c>
      <c r="D46" s="120">
        <f t="shared" si="47"/>
        <v>250</v>
      </c>
      <c r="E46" s="120">
        <f t="shared" si="46"/>
        <v>250</v>
      </c>
      <c r="F46" s="120">
        <f t="shared" si="46"/>
        <v>250</v>
      </c>
      <c r="G46" s="120">
        <f t="shared" si="46"/>
        <v>250</v>
      </c>
      <c r="H46" s="120">
        <f t="shared" si="46"/>
        <v>250</v>
      </c>
      <c r="I46" s="120">
        <f t="shared" si="46"/>
        <v>250</v>
      </c>
      <c r="J46" s="120">
        <f t="shared" si="46"/>
        <v>250</v>
      </c>
      <c r="K46" s="120">
        <f t="shared" si="46"/>
        <v>250</v>
      </c>
      <c r="L46" s="120">
        <f t="shared" si="46"/>
        <v>250</v>
      </c>
      <c r="M46" s="120">
        <f t="shared" si="46"/>
        <v>250</v>
      </c>
      <c r="N46" s="120">
        <f t="shared" si="46"/>
        <v>250</v>
      </c>
      <c r="O46" s="121"/>
      <c r="P46" s="120">
        <f t="shared" si="48"/>
        <v>250</v>
      </c>
      <c r="Q46" s="120">
        <f t="shared" si="46"/>
        <v>250</v>
      </c>
      <c r="R46" s="120">
        <f t="shared" si="46"/>
        <v>250</v>
      </c>
      <c r="S46" s="120">
        <f t="shared" si="46"/>
        <v>250</v>
      </c>
      <c r="T46" s="120">
        <f t="shared" si="46"/>
        <v>250</v>
      </c>
      <c r="U46" s="120">
        <f t="shared" si="46"/>
        <v>250</v>
      </c>
      <c r="V46" s="120">
        <f t="shared" si="46"/>
        <v>250</v>
      </c>
      <c r="W46" s="120">
        <f t="shared" si="46"/>
        <v>250</v>
      </c>
      <c r="X46" s="120">
        <f t="shared" si="46"/>
        <v>250</v>
      </c>
      <c r="Y46" s="120">
        <f t="shared" si="46"/>
        <v>250</v>
      </c>
      <c r="Z46" s="120">
        <f t="shared" si="46"/>
        <v>250</v>
      </c>
      <c r="AA46" s="120">
        <f t="shared" si="46"/>
        <v>250</v>
      </c>
      <c r="AB46" s="122"/>
    </row>
    <row r="47" spans="2:32" ht="20" customHeight="1">
      <c r="B47" s="125" t="s">
        <v>22</v>
      </c>
      <c r="C47" s="126"/>
      <c r="D47" s="126"/>
      <c r="E47" s="126"/>
      <c r="F47" s="126"/>
      <c r="G47" s="126"/>
      <c r="H47" s="126"/>
      <c r="I47" s="126"/>
      <c r="J47" s="126"/>
      <c r="K47" s="126"/>
      <c r="L47" s="126"/>
      <c r="M47" s="126"/>
      <c r="N47" s="126"/>
      <c r="O47" s="126"/>
      <c r="P47" s="126"/>
      <c r="Q47" s="126"/>
      <c r="R47" s="126"/>
      <c r="S47" s="126"/>
      <c r="T47" s="126"/>
      <c r="U47" s="126"/>
      <c r="V47" s="126"/>
      <c r="W47" s="126"/>
      <c r="X47" s="126"/>
      <c r="Y47" s="126"/>
      <c r="Z47" s="126"/>
      <c r="AA47" s="126"/>
      <c r="AB47" s="126"/>
    </row>
    <row r="48" spans="2:32" ht="20" customHeight="1" outlineLevel="1">
      <c r="B48" s="117" t="s">
        <v>54</v>
      </c>
      <c r="C48" s="118">
        <f>Аналитика!E4</f>
        <v>0</v>
      </c>
      <c r="D48" s="118">
        <f>C48</f>
        <v>0</v>
      </c>
      <c r="E48" s="118">
        <f t="shared" ref="E48:AA52" si="49">D48</f>
        <v>0</v>
      </c>
      <c r="F48" s="118">
        <f t="shared" si="49"/>
        <v>0</v>
      </c>
      <c r="G48" s="118">
        <f t="shared" si="49"/>
        <v>0</v>
      </c>
      <c r="H48" s="118">
        <f t="shared" si="49"/>
        <v>0</v>
      </c>
      <c r="I48" s="118">
        <f t="shared" si="49"/>
        <v>0</v>
      </c>
      <c r="J48" s="118">
        <f t="shared" si="49"/>
        <v>0</v>
      </c>
      <c r="K48" s="118">
        <f t="shared" si="49"/>
        <v>0</v>
      </c>
      <c r="L48" s="118">
        <f t="shared" si="49"/>
        <v>0</v>
      </c>
      <c r="M48" s="118">
        <f t="shared" si="49"/>
        <v>0</v>
      </c>
      <c r="N48" s="118">
        <f t="shared" si="49"/>
        <v>0</v>
      </c>
      <c r="O48" s="65"/>
      <c r="P48" s="118">
        <f>N48</f>
        <v>0</v>
      </c>
      <c r="Q48" s="118">
        <f t="shared" si="49"/>
        <v>0</v>
      </c>
      <c r="R48" s="118">
        <f t="shared" si="49"/>
        <v>0</v>
      </c>
      <c r="S48" s="118">
        <f t="shared" si="49"/>
        <v>0</v>
      </c>
      <c r="T48" s="118">
        <f t="shared" si="49"/>
        <v>0</v>
      </c>
      <c r="U48" s="118">
        <f t="shared" si="49"/>
        <v>0</v>
      </c>
      <c r="V48" s="118">
        <f t="shared" si="49"/>
        <v>0</v>
      </c>
      <c r="W48" s="118">
        <f t="shared" si="49"/>
        <v>0</v>
      </c>
      <c r="X48" s="118">
        <f t="shared" si="49"/>
        <v>0</v>
      </c>
      <c r="Y48" s="118">
        <f t="shared" si="49"/>
        <v>0</v>
      </c>
      <c r="Z48" s="118">
        <f t="shared" si="49"/>
        <v>0</v>
      </c>
      <c r="AA48" s="118">
        <f t="shared" si="49"/>
        <v>0</v>
      </c>
      <c r="AB48" s="66"/>
    </row>
    <row r="49" spans="2:32" ht="20" customHeight="1" outlineLevel="1">
      <c r="B49" s="147" t="s">
        <v>55</v>
      </c>
      <c r="C49" s="86">
        <f>Аналитика!E5/12</f>
        <v>8333.3333333333339</v>
      </c>
      <c r="D49" s="86">
        <f t="shared" ref="D49:S52" si="50">C49</f>
        <v>8333.3333333333339</v>
      </c>
      <c r="E49" s="86">
        <f t="shared" si="50"/>
        <v>8333.3333333333339</v>
      </c>
      <c r="F49" s="86">
        <f t="shared" si="50"/>
        <v>8333.3333333333339</v>
      </c>
      <c r="G49" s="86">
        <f t="shared" si="50"/>
        <v>8333.3333333333339</v>
      </c>
      <c r="H49" s="86">
        <f t="shared" si="50"/>
        <v>8333.3333333333339</v>
      </c>
      <c r="I49" s="86">
        <f t="shared" si="50"/>
        <v>8333.3333333333339</v>
      </c>
      <c r="J49" s="86">
        <f t="shared" si="50"/>
        <v>8333.3333333333339</v>
      </c>
      <c r="K49" s="86">
        <f t="shared" si="50"/>
        <v>8333.3333333333339</v>
      </c>
      <c r="L49" s="86">
        <f t="shared" si="50"/>
        <v>8333.3333333333339</v>
      </c>
      <c r="M49" s="86">
        <f t="shared" si="50"/>
        <v>8333.3333333333339</v>
      </c>
      <c r="N49" s="86">
        <f t="shared" si="50"/>
        <v>8333.3333333333339</v>
      </c>
      <c r="O49" s="76"/>
      <c r="P49" s="86">
        <f t="shared" ref="P49:P52" si="51">N49</f>
        <v>8333.3333333333339</v>
      </c>
      <c r="Q49" s="86">
        <f t="shared" si="50"/>
        <v>8333.3333333333339</v>
      </c>
      <c r="R49" s="86">
        <f t="shared" si="50"/>
        <v>8333.3333333333339</v>
      </c>
      <c r="S49" s="86">
        <f t="shared" si="50"/>
        <v>8333.3333333333339</v>
      </c>
      <c r="T49" s="86">
        <f t="shared" si="49"/>
        <v>8333.3333333333339</v>
      </c>
      <c r="U49" s="86">
        <f t="shared" si="49"/>
        <v>8333.3333333333339</v>
      </c>
      <c r="V49" s="86">
        <f t="shared" si="49"/>
        <v>8333.3333333333339</v>
      </c>
      <c r="W49" s="86">
        <f t="shared" si="49"/>
        <v>8333.3333333333339</v>
      </c>
      <c r="X49" s="86">
        <f t="shared" si="49"/>
        <v>8333.3333333333339</v>
      </c>
      <c r="Y49" s="86">
        <f t="shared" si="49"/>
        <v>8333.3333333333339</v>
      </c>
      <c r="Z49" s="86">
        <f t="shared" si="49"/>
        <v>8333.3333333333339</v>
      </c>
      <c r="AA49" s="86">
        <f t="shared" si="49"/>
        <v>8333.3333333333339</v>
      </c>
      <c r="AB49" s="77"/>
    </row>
    <row r="50" spans="2:32" ht="20" customHeight="1" outlineLevel="1">
      <c r="B50" s="147" t="s">
        <v>56</v>
      </c>
      <c r="C50" s="86">
        <f>Аналитика!E6/12</f>
        <v>9166.6666666666661</v>
      </c>
      <c r="D50" s="86">
        <f t="shared" si="50"/>
        <v>9166.6666666666661</v>
      </c>
      <c r="E50" s="86">
        <f t="shared" si="49"/>
        <v>9166.6666666666661</v>
      </c>
      <c r="F50" s="86">
        <f t="shared" si="49"/>
        <v>9166.6666666666661</v>
      </c>
      <c r="G50" s="86">
        <f t="shared" si="49"/>
        <v>9166.6666666666661</v>
      </c>
      <c r="H50" s="86">
        <f t="shared" si="49"/>
        <v>9166.6666666666661</v>
      </c>
      <c r="I50" s="86">
        <f t="shared" si="49"/>
        <v>9166.6666666666661</v>
      </c>
      <c r="J50" s="86">
        <f t="shared" si="49"/>
        <v>9166.6666666666661</v>
      </c>
      <c r="K50" s="86">
        <f t="shared" si="49"/>
        <v>9166.6666666666661</v>
      </c>
      <c r="L50" s="86">
        <f t="shared" si="49"/>
        <v>9166.6666666666661</v>
      </c>
      <c r="M50" s="86">
        <f t="shared" si="49"/>
        <v>9166.6666666666661</v>
      </c>
      <c r="N50" s="86">
        <f t="shared" si="49"/>
        <v>9166.6666666666661</v>
      </c>
      <c r="O50" s="76"/>
      <c r="P50" s="86">
        <f t="shared" si="51"/>
        <v>9166.6666666666661</v>
      </c>
      <c r="Q50" s="86">
        <f t="shared" si="49"/>
        <v>9166.6666666666661</v>
      </c>
      <c r="R50" s="86">
        <f t="shared" si="49"/>
        <v>9166.6666666666661</v>
      </c>
      <c r="S50" s="86">
        <f t="shared" si="49"/>
        <v>9166.6666666666661</v>
      </c>
      <c r="T50" s="86">
        <f t="shared" si="49"/>
        <v>9166.6666666666661</v>
      </c>
      <c r="U50" s="86">
        <f t="shared" si="49"/>
        <v>9166.6666666666661</v>
      </c>
      <c r="V50" s="86">
        <f t="shared" si="49"/>
        <v>9166.6666666666661</v>
      </c>
      <c r="W50" s="86">
        <f t="shared" si="49"/>
        <v>9166.6666666666661</v>
      </c>
      <c r="X50" s="86">
        <f t="shared" si="49"/>
        <v>9166.6666666666661</v>
      </c>
      <c r="Y50" s="86">
        <f t="shared" si="49"/>
        <v>9166.6666666666661</v>
      </c>
      <c r="Z50" s="86">
        <f t="shared" si="49"/>
        <v>9166.6666666666661</v>
      </c>
      <c r="AA50" s="86">
        <f t="shared" si="49"/>
        <v>9166.6666666666661</v>
      </c>
      <c r="AB50" s="77"/>
    </row>
    <row r="51" spans="2:32" ht="20" customHeight="1" outlineLevel="1">
      <c r="B51" s="147" t="s">
        <v>57</v>
      </c>
      <c r="C51" s="86">
        <f>Аналитика!E7/12</f>
        <v>9500</v>
      </c>
      <c r="D51" s="86">
        <f t="shared" si="50"/>
        <v>9500</v>
      </c>
      <c r="E51" s="86">
        <f t="shared" si="49"/>
        <v>9500</v>
      </c>
      <c r="F51" s="86">
        <f t="shared" si="49"/>
        <v>9500</v>
      </c>
      <c r="G51" s="86">
        <f t="shared" si="49"/>
        <v>9500</v>
      </c>
      <c r="H51" s="86">
        <f t="shared" si="49"/>
        <v>9500</v>
      </c>
      <c r="I51" s="86">
        <f t="shared" si="49"/>
        <v>9500</v>
      </c>
      <c r="J51" s="86">
        <f t="shared" si="49"/>
        <v>9500</v>
      </c>
      <c r="K51" s="86">
        <f t="shared" si="49"/>
        <v>9500</v>
      </c>
      <c r="L51" s="86">
        <f t="shared" si="49"/>
        <v>9500</v>
      </c>
      <c r="M51" s="86">
        <f t="shared" si="49"/>
        <v>9500</v>
      </c>
      <c r="N51" s="86">
        <f t="shared" si="49"/>
        <v>9500</v>
      </c>
      <c r="O51" s="76"/>
      <c r="P51" s="86">
        <f t="shared" si="51"/>
        <v>9500</v>
      </c>
      <c r="Q51" s="86">
        <f t="shared" si="49"/>
        <v>9500</v>
      </c>
      <c r="R51" s="86">
        <f t="shared" si="49"/>
        <v>9500</v>
      </c>
      <c r="S51" s="86">
        <f t="shared" si="49"/>
        <v>9500</v>
      </c>
      <c r="T51" s="86">
        <f t="shared" si="49"/>
        <v>9500</v>
      </c>
      <c r="U51" s="86">
        <f t="shared" si="49"/>
        <v>9500</v>
      </c>
      <c r="V51" s="86">
        <f t="shared" si="49"/>
        <v>9500</v>
      </c>
      <c r="W51" s="86">
        <f t="shared" si="49"/>
        <v>9500</v>
      </c>
      <c r="X51" s="86">
        <f t="shared" si="49"/>
        <v>9500</v>
      </c>
      <c r="Y51" s="86">
        <f t="shared" si="49"/>
        <v>9500</v>
      </c>
      <c r="Z51" s="86">
        <f t="shared" si="49"/>
        <v>9500</v>
      </c>
      <c r="AA51" s="86">
        <f t="shared" si="49"/>
        <v>9500</v>
      </c>
      <c r="AB51" s="77"/>
    </row>
    <row r="52" spans="2:32" ht="20" customHeight="1" outlineLevel="1">
      <c r="B52" s="119" t="s">
        <v>58</v>
      </c>
      <c r="C52" s="120">
        <f>Аналитика!E8/12</f>
        <v>10000</v>
      </c>
      <c r="D52" s="120">
        <f t="shared" si="50"/>
        <v>10000</v>
      </c>
      <c r="E52" s="120">
        <f t="shared" si="49"/>
        <v>10000</v>
      </c>
      <c r="F52" s="120">
        <f t="shared" si="49"/>
        <v>10000</v>
      </c>
      <c r="G52" s="120">
        <f t="shared" si="49"/>
        <v>10000</v>
      </c>
      <c r="H52" s="120">
        <f t="shared" si="49"/>
        <v>10000</v>
      </c>
      <c r="I52" s="120">
        <f t="shared" si="49"/>
        <v>10000</v>
      </c>
      <c r="J52" s="120">
        <f t="shared" si="49"/>
        <v>10000</v>
      </c>
      <c r="K52" s="120">
        <f t="shared" si="49"/>
        <v>10000</v>
      </c>
      <c r="L52" s="120">
        <f t="shared" si="49"/>
        <v>10000</v>
      </c>
      <c r="M52" s="120">
        <f t="shared" si="49"/>
        <v>10000</v>
      </c>
      <c r="N52" s="120">
        <f t="shared" si="49"/>
        <v>10000</v>
      </c>
      <c r="O52" s="121"/>
      <c r="P52" s="120">
        <f t="shared" si="51"/>
        <v>10000</v>
      </c>
      <c r="Q52" s="120">
        <f t="shared" si="49"/>
        <v>10000</v>
      </c>
      <c r="R52" s="120">
        <f t="shared" si="49"/>
        <v>10000</v>
      </c>
      <c r="S52" s="120">
        <f t="shared" si="49"/>
        <v>10000</v>
      </c>
      <c r="T52" s="120">
        <f t="shared" si="49"/>
        <v>10000</v>
      </c>
      <c r="U52" s="120">
        <f t="shared" si="49"/>
        <v>10000</v>
      </c>
      <c r="V52" s="120">
        <f t="shared" si="49"/>
        <v>10000</v>
      </c>
      <c r="W52" s="120">
        <f t="shared" si="49"/>
        <v>10000</v>
      </c>
      <c r="X52" s="120">
        <f t="shared" si="49"/>
        <v>10000</v>
      </c>
      <c r="Y52" s="120">
        <f t="shared" si="49"/>
        <v>10000</v>
      </c>
      <c r="Z52" s="120">
        <f t="shared" si="49"/>
        <v>10000</v>
      </c>
      <c r="AA52" s="120">
        <f t="shared" si="49"/>
        <v>10000</v>
      </c>
      <c r="AB52" s="122"/>
    </row>
    <row r="53" spans="2:32" ht="20" customHeight="1"/>
    <row r="54" spans="2:32" ht="41.25" customHeight="1">
      <c r="B54" s="111" t="s">
        <v>169</v>
      </c>
      <c r="C54" s="189"/>
      <c r="D54" s="189"/>
      <c r="E54" s="189"/>
      <c r="F54" s="189"/>
      <c r="G54" s="225"/>
      <c r="H54" s="225"/>
      <c r="I54" s="225"/>
      <c r="J54" s="225"/>
      <c r="K54" s="225"/>
      <c r="L54" s="225"/>
      <c r="M54" s="225"/>
      <c r="N54" s="225"/>
      <c r="O54" s="225"/>
      <c r="P54" s="225"/>
      <c r="Q54" s="225"/>
      <c r="R54" s="225"/>
      <c r="S54" s="225"/>
      <c r="T54" s="225"/>
      <c r="U54" s="225"/>
      <c r="V54" s="225"/>
      <c r="W54" s="225"/>
      <c r="X54" s="225"/>
      <c r="Y54" s="225"/>
      <c r="Z54" s="225"/>
      <c r="AA54" s="225"/>
      <c r="AB54" s="225"/>
      <c r="AD54" s="341" t="s">
        <v>170</v>
      </c>
      <c r="AF54" s="13"/>
    </row>
    <row r="55" spans="2:32" ht="20" customHeight="1" thickBot="1">
      <c r="B55" s="113"/>
      <c r="C55" s="153" t="s">
        <v>186</v>
      </c>
      <c r="D55" s="153" t="s">
        <v>187</v>
      </c>
      <c r="E55" s="153" t="s">
        <v>188</v>
      </c>
      <c r="F55" s="153" t="s">
        <v>189</v>
      </c>
      <c r="G55" s="249">
        <v>46143</v>
      </c>
      <c r="H55" s="153" t="s">
        <v>190</v>
      </c>
      <c r="I55" s="153" t="s">
        <v>191</v>
      </c>
      <c r="J55" s="153" t="s">
        <v>192</v>
      </c>
      <c r="K55" s="153" t="s">
        <v>193</v>
      </c>
      <c r="L55" s="153" t="s">
        <v>194</v>
      </c>
      <c r="M55" s="153" t="s">
        <v>195</v>
      </c>
      <c r="N55" s="153" t="s">
        <v>196</v>
      </c>
      <c r="O55" s="250">
        <v>2026</v>
      </c>
      <c r="P55" s="153" t="s">
        <v>202</v>
      </c>
      <c r="Q55" s="153" t="s">
        <v>203</v>
      </c>
      <c r="R55" s="153" t="s">
        <v>204</v>
      </c>
      <c r="S55" s="153" t="s">
        <v>205</v>
      </c>
      <c r="T55" s="249">
        <v>46508</v>
      </c>
      <c r="U55" s="153" t="s">
        <v>206</v>
      </c>
      <c r="V55" s="153" t="s">
        <v>207</v>
      </c>
      <c r="W55" s="153" t="s">
        <v>208</v>
      </c>
      <c r="X55" s="153" t="s">
        <v>209</v>
      </c>
      <c r="Y55" s="153" t="s">
        <v>210</v>
      </c>
      <c r="Z55" s="153" t="s">
        <v>211</v>
      </c>
      <c r="AA55" s="153" t="s">
        <v>212</v>
      </c>
      <c r="AB55" s="250">
        <v>2027</v>
      </c>
      <c r="AD55" s="342"/>
    </row>
    <row r="56" spans="2:32" ht="10.25" customHeight="1">
      <c r="B56" s="123"/>
      <c r="C56" s="123"/>
      <c r="D56" s="123"/>
      <c r="E56" s="123"/>
      <c r="F56" s="123"/>
      <c r="G56" s="123"/>
      <c r="H56" s="123"/>
      <c r="I56" s="123"/>
      <c r="J56" s="123"/>
      <c r="K56" s="123"/>
      <c r="L56" s="123"/>
      <c r="M56" s="123"/>
      <c r="N56" s="123"/>
      <c r="O56" s="123"/>
      <c r="P56" s="123"/>
      <c r="Q56" s="123"/>
      <c r="R56" s="123"/>
      <c r="S56" s="123"/>
      <c r="T56" s="123"/>
      <c r="U56" s="123"/>
      <c r="V56" s="123"/>
      <c r="W56" s="123"/>
      <c r="X56" s="123"/>
      <c r="Y56" s="123"/>
      <c r="Z56" s="123"/>
      <c r="AA56" s="123"/>
      <c r="AB56" s="123"/>
      <c r="AD56" s="342"/>
    </row>
    <row r="57" spans="2:32" ht="20" customHeight="1">
      <c r="B57" s="125" t="s">
        <v>21</v>
      </c>
      <c r="C57" s="126">
        <f>Аналитика!$C$12/24</f>
        <v>333.33333333333331</v>
      </c>
      <c r="D57" s="126">
        <f>Аналитика!$C$12/24</f>
        <v>333.33333333333331</v>
      </c>
      <c r="E57" s="126">
        <f>Аналитика!$C$12/24</f>
        <v>333.33333333333331</v>
      </c>
      <c r="F57" s="126">
        <f>Аналитика!$C$12/24</f>
        <v>333.33333333333331</v>
      </c>
      <c r="G57" s="126">
        <f>Аналитика!$C$12/24</f>
        <v>333.33333333333331</v>
      </c>
      <c r="H57" s="126">
        <f>Аналитика!$C$12/24</f>
        <v>333.33333333333331</v>
      </c>
      <c r="I57" s="126">
        <f>Аналитика!$C$12/24</f>
        <v>333.33333333333331</v>
      </c>
      <c r="J57" s="126">
        <f>Аналитика!$C$12/24</f>
        <v>333.33333333333331</v>
      </c>
      <c r="K57" s="126">
        <f>Аналитика!$C$12/24</f>
        <v>333.33333333333331</v>
      </c>
      <c r="L57" s="126">
        <f>Аналитика!$C$12/24</f>
        <v>333.33333333333331</v>
      </c>
      <c r="M57" s="126">
        <f>Аналитика!$C$12/24</f>
        <v>333.33333333333331</v>
      </c>
      <c r="N57" s="126">
        <f>Аналитика!$C$12/24</f>
        <v>333.33333333333331</v>
      </c>
      <c r="O57" s="126">
        <f>SUM(C57:N57)</f>
        <v>4000.0000000000005</v>
      </c>
      <c r="P57" s="126">
        <f>Аналитика!$C$12/24</f>
        <v>333.33333333333331</v>
      </c>
      <c r="Q57" s="126">
        <f>Аналитика!$C$12/24</f>
        <v>333.33333333333331</v>
      </c>
      <c r="R57" s="126">
        <f>Аналитика!$C$12/24</f>
        <v>333.33333333333331</v>
      </c>
      <c r="S57" s="126">
        <f>Аналитика!$C$12/24</f>
        <v>333.33333333333331</v>
      </c>
      <c r="T57" s="126">
        <f>Аналитика!$C$12/24</f>
        <v>333.33333333333331</v>
      </c>
      <c r="U57" s="126">
        <f>Аналитика!$C$12/24</f>
        <v>333.33333333333331</v>
      </c>
      <c r="V57" s="126">
        <f>Аналитика!$C$12/24</f>
        <v>333.33333333333331</v>
      </c>
      <c r="W57" s="126">
        <f>Аналитика!$C$12/24</f>
        <v>333.33333333333331</v>
      </c>
      <c r="X57" s="126">
        <f>Аналитика!$C$12/24</f>
        <v>333.33333333333331</v>
      </c>
      <c r="Y57" s="126">
        <f>Аналитика!$C$12/24</f>
        <v>333.33333333333331</v>
      </c>
      <c r="Z57" s="126">
        <f>Аналитика!$C$12/24</f>
        <v>333.33333333333331</v>
      </c>
      <c r="AA57" s="126">
        <f>Аналитика!$C$12/24</f>
        <v>333.33333333333331</v>
      </c>
      <c r="AB57" s="126">
        <f>SUM(P57:AA57)</f>
        <v>4000.0000000000005</v>
      </c>
      <c r="AD57" s="342"/>
    </row>
    <row r="58" spans="2:32" ht="20" customHeight="1">
      <c r="B58" s="125" t="s">
        <v>22</v>
      </c>
      <c r="C58" s="126">
        <f>Аналитика!$C$13/24</f>
        <v>250</v>
      </c>
      <c r="D58" s="126">
        <f>Аналитика!$C$13/24</f>
        <v>250</v>
      </c>
      <c r="E58" s="126">
        <f>Аналитика!$C$13/24</f>
        <v>250</v>
      </c>
      <c r="F58" s="126">
        <f>Аналитика!$C$13/24</f>
        <v>250</v>
      </c>
      <c r="G58" s="126">
        <f>Аналитика!$C$13/24</f>
        <v>250</v>
      </c>
      <c r="H58" s="126">
        <f>Аналитика!$C$13/24</f>
        <v>250</v>
      </c>
      <c r="I58" s="126">
        <f>Аналитика!$C$13/24</f>
        <v>250</v>
      </c>
      <c r="J58" s="126">
        <f>Аналитика!$C$13/24</f>
        <v>250</v>
      </c>
      <c r="K58" s="126">
        <f>Аналитика!$C$13/24</f>
        <v>250</v>
      </c>
      <c r="L58" s="126">
        <f>Аналитика!$C$13/24</f>
        <v>250</v>
      </c>
      <c r="M58" s="126">
        <f>Аналитика!$C$13/24</f>
        <v>250</v>
      </c>
      <c r="N58" s="126">
        <f>Аналитика!$C$13/24</f>
        <v>250</v>
      </c>
      <c r="O58" s="126">
        <f>SUM(C58:N58)</f>
        <v>3000</v>
      </c>
      <c r="P58" s="126">
        <f>Аналитика!$C$13/24</f>
        <v>250</v>
      </c>
      <c r="Q58" s="126">
        <f>Аналитика!$C$13/24</f>
        <v>250</v>
      </c>
      <c r="R58" s="126">
        <f>Аналитика!$C$13/24</f>
        <v>250</v>
      </c>
      <c r="S58" s="126">
        <f>Аналитика!$C$13/24</f>
        <v>250</v>
      </c>
      <c r="T58" s="126">
        <f>Аналитика!$C$13/24</f>
        <v>250</v>
      </c>
      <c r="U58" s="126">
        <f>Аналитика!$C$13/24</f>
        <v>250</v>
      </c>
      <c r="V58" s="126">
        <f>Аналитика!$C$13/24</f>
        <v>250</v>
      </c>
      <c r="W58" s="126">
        <f>Аналитика!$C$13/24</f>
        <v>250</v>
      </c>
      <c r="X58" s="126">
        <f>Аналитика!$C$13/24</f>
        <v>250</v>
      </c>
      <c r="Y58" s="126">
        <f>Аналитика!$C$13/24</f>
        <v>250</v>
      </c>
      <c r="Z58" s="126">
        <f>Аналитика!$C$13/24</f>
        <v>250</v>
      </c>
      <c r="AA58" s="126">
        <f>Аналитика!$C$13/24</f>
        <v>250</v>
      </c>
      <c r="AB58" s="126">
        <f>SUM(P58:AA58)</f>
        <v>3000</v>
      </c>
      <c r="AD58" s="342"/>
    </row>
    <row r="59" spans="2:32" ht="20" customHeight="1">
      <c r="B59" s="62"/>
      <c r="C59" s="62"/>
      <c r="D59" s="62"/>
      <c r="E59" s="62"/>
      <c r="F59" s="62"/>
      <c r="G59" s="62"/>
      <c r="H59" s="62"/>
      <c r="I59" s="62"/>
      <c r="J59" s="62"/>
      <c r="K59" s="62"/>
      <c r="L59" s="62"/>
      <c r="M59" s="62"/>
      <c r="N59" s="62"/>
      <c r="O59" s="62"/>
      <c r="P59" s="62"/>
      <c r="Q59" s="62"/>
      <c r="R59" s="62"/>
      <c r="S59" s="62"/>
      <c r="T59" s="62"/>
      <c r="U59" s="62"/>
      <c r="V59" s="62"/>
      <c r="W59" s="62"/>
      <c r="X59" s="62"/>
      <c r="Y59" s="62"/>
      <c r="Z59" s="62"/>
      <c r="AA59" s="62"/>
      <c r="AB59" s="62"/>
    </row>
    <row r="60" spans="2:32" ht="39" customHeight="1">
      <c r="B60" s="111" t="s">
        <v>171</v>
      </c>
      <c r="C60" s="189"/>
      <c r="D60" s="189"/>
      <c r="E60" s="189"/>
      <c r="F60" s="189"/>
      <c r="G60" s="225"/>
      <c r="H60" s="225"/>
      <c r="I60" s="225"/>
      <c r="J60" s="225"/>
      <c r="K60" s="225"/>
      <c r="L60" s="225"/>
      <c r="M60" s="225"/>
      <c r="N60" s="225"/>
      <c r="O60" s="225"/>
      <c r="P60" s="225"/>
      <c r="Q60" s="225"/>
      <c r="R60" s="225"/>
      <c r="S60" s="225"/>
      <c r="T60" s="225"/>
      <c r="U60" s="225"/>
      <c r="V60" s="225"/>
      <c r="W60" s="225"/>
      <c r="X60" s="225"/>
      <c r="Y60" s="225"/>
      <c r="Z60" s="225"/>
      <c r="AA60" s="225"/>
      <c r="AB60" s="225"/>
      <c r="AD60" s="341" t="s">
        <v>172</v>
      </c>
      <c r="AF60" s="13"/>
    </row>
    <row r="61" spans="2:32" ht="20" customHeight="1" thickBot="1">
      <c r="B61" s="113"/>
      <c r="C61" s="153" t="s">
        <v>186</v>
      </c>
      <c r="D61" s="153" t="s">
        <v>187</v>
      </c>
      <c r="E61" s="153" t="s">
        <v>188</v>
      </c>
      <c r="F61" s="153" t="s">
        <v>189</v>
      </c>
      <c r="G61" s="249">
        <v>46143</v>
      </c>
      <c r="H61" s="153" t="s">
        <v>190</v>
      </c>
      <c r="I61" s="153" t="s">
        <v>191</v>
      </c>
      <c r="J61" s="153" t="s">
        <v>192</v>
      </c>
      <c r="K61" s="153" t="s">
        <v>193</v>
      </c>
      <c r="L61" s="153" t="s">
        <v>194</v>
      </c>
      <c r="M61" s="153" t="s">
        <v>195</v>
      </c>
      <c r="N61" s="153" t="s">
        <v>196</v>
      </c>
      <c r="O61" s="250">
        <v>2026</v>
      </c>
      <c r="P61" s="153" t="s">
        <v>202</v>
      </c>
      <c r="Q61" s="153" t="s">
        <v>203</v>
      </c>
      <c r="R61" s="153" t="s">
        <v>204</v>
      </c>
      <c r="S61" s="153" t="s">
        <v>205</v>
      </c>
      <c r="T61" s="249">
        <v>46508</v>
      </c>
      <c r="U61" s="153" t="s">
        <v>206</v>
      </c>
      <c r="V61" s="153" t="s">
        <v>207</v>
      </c>
      <c r="W61" s="153" t="s">
        <v>208</v>
      </c>
      <c r="X61" s="153" t="s">
        <v>209</v>
      </c>
      <c r="Y61" s="153" t="s">
        <v>210</v>
      </c>
      <c r="Z61" s="153" t="s">
        <v>211</v>
      </c>
      <c r="AA61" s="153" t="s">
        <v>212</v>
      </c>
      <c r="AB61" s="250">
        <v>2027</v>
      </c>
      <c r="AD61" s="342"/>
    </row>
    <row r="62" spans="2:32" ht="10.25" customHeight="1">
      <c r="B62" s="123"/>
      <c r="C62" s="123"/>
      <c r="D62" s="123"/>
      <c r="E62" s="123"/>
      <c r="F62" s="123"/>
      <c r="G62" s="123"/>
      <c r="H62" s="123"/>
      <c r="I62" s="123"/>
      <c r="J62" s="123"/>
      <c r="K62" s="123"/>
      <c r="L62" s="123"/>
      <c r="M62" s="123"/>
      <c r="N62" s="123"/>
      <c r="O62" s="123"/>
      <c r="P62" s="123"/>
      <c r="Q62" s="123"/>
      <c r="R62" s="123"/>
      <c r="S62" s="123"/>
      <c r="T62" s="123"/>
      <c r="U62" s="123"/>
      <c r="V62" s="123"/>
      <c r="W62" s="123"/>
      <c r="X62" s="123"/>
      <c r="Y62" s="123"/>
      <c r="Z62" s="123"/>
      <c r="AA62" s="123"/>
      <c r="AB62" s="123"/>
      <c r="AD62" s="342"/>
    </row>
    <row r="63" spans="2:32" ht="20" customHeight="1">
      <c r="B63" s="125" t="s">
        <v>21</v>
      </c>
      <c r="C63" s="126">
        <f t="shared" ref="C63:N63" si="52">SUM(C64:C68)</f>
        <v>504</v>
      </c>
      <c r="D63" s="126">
        <f t="shared" si="52"/>
        <v>504</v>
      </c>
      <c r="E63" s="126">
        <f t="shared" si="52"/>
        <v>504</v>
      </c>
      <c r="F63" s="126">
        <f t="shared" si="52"/>
        <v>504</v>
      </c>
      <c r="G63" s="126">
        <f t="shared" si="52"/>
        <v>504</v>
      </c>
      <c r="H63" s="126">
        <f t="shared" si="52"/>
        <v>504</v>
      </c>
      <c r="I63" s="126">
        <f t="shared" si="52"/>
        <v>504</v>
      </c>
      <c r="J63" s="126">
        <f t="shared" si="52"/>
        <v>504</v>
      </c>
      <c r="K63" s="126">
        <f t="shared" si="52"/>
        <v>504</v>
      </c>
      <c r="L63" s="126">
        <f t="shared" si="52"/>
        <v>504</v>
      </c>
      <c r="M63" s="126">
        <f t="shared" si="52"/>
        <v>504</v>
      </c>
      <c r="N63" s="126">
        <f t="shared" si="52"/>
        <v>504</v>
      </c>
      <c r="O63" s="126">
        <f>SUM(C63:N63)</f>
        <v>6048</v>
      </c>
      <c r="P63" s="126">
        <f t="shared" ref="P63:AA63" si="53">SUM(P64:P68)</f>
        <v>543.52</v>
      </c>
      <c r="Q63" s="126">
        <f t="shared" si="53"/>
        <v>543.52</v>
      </c>
      <c r="R63" s="126">
        <f t="shared" si="53"/>
        <v>543.52</v>
      </c>
      <c r="S63" s="126">
        <f t="shared" si="53"/>
        <v>543.52</v>
      </c>
      <c r="T63" s="126">
        <f t="shared" si="53"/>
        <v>543.52</v>
      </c>
      <c r="U63" s="126">
        <f t="shared" si="53"/>
        <v>543.52</v>
      </c>
      <c r="V63" s="126">
        <f t="shared" si="53"/>
        <v>543.52</v>
      </c>
      <c r="W63" s="126">
        <f t="shared" si="53"/>
        <v>543.52</v>
      </c>
      <c r="X63" s="126">
        <f t="shared" si="53"/>
        <v>543.52</v>
      </c>
      <c r="Y63" s="126">
        <f t="shared" si="53"/>
        <v>543.52</v>
      </c>
      <c r="Z63" s="126">
        <f t="shared" si="53"/>
        <v>543.52</v>
      </c>
      <c r="AA63" s="126">
        <f t="shared" si="53"/>
        <v>543.52</v>
      </c>
      <c r="AB63" s="126">
        <f>SUM(P63:AA63)</f>
        <v>6522.2400000000016</v>
      </c>
      <c r="AD63" s="342"/>
    </row>
    <row r="64" spans="2:32" ht="20" customHeight="1" outlineLevel="1">
      <c r="B64" s="117" t="s">
        <v>65</v>
      </c>
      <c r="C64" s="118">
        <f>(C80+C112+C144)*C96</f>
        <v>132</v>
      </c>
      <c r="D64" s="118">
        <f t="shared" ref="D64:N64" si="54">(D80+D112+D144)*D96</f>
        <v>132</v>
      </c>
      <c r="E64" s="118">
        <f t="shared" si="54"/>
        <v>132</v>
      </c>
      <c r="F64" s="118">
        <f t="shared" si="54"/>
        <v>132</v>
      </c>
      <c r="G64" s="118">
        <f t="shared" si="54"/>
        <v>132</v>
      </c>
      <c r="H64" s="118">
        <f t="shared" si="54"/>
        <v>132</v>
      </c>
      <c r="I64" s="118">
        <f t="shared" si="54"/>
        <v>132</v>
      </c>
      <c r="J64" s="118">
        <f t="shared" si="54"/>
        <v>132</v>
      </c>
      <c r="K64" s="118">
        <f t="shared" si="54"/>
        <v>132</v>
      </c>
      <c r="L64" s="118">
        <f t="shared" si="54"/>
        <v>132</v>
      </c>
      <c r="M64" s="118">
        <f t="shared" si="54"/>
        <v>132</v>
      </c>
      <c r="N64" s="118">
        <f t="shared" si="54"/>
        <v>132</v>
      </c>
      <c r="O64" s="65">
        <f>SUM(C64:N64)</f>
        <v>1584</v>
      </c>
      <c r="P64" s="118">
        <f>(P80+P112+P144)*P96</f>
        <v>142.4</v>
      </c>
      <c r="Q64" s="118">
        <f t="shared" ref="Q64:AA64" si="55">(Q80+Q112+Q144)*Q96</f>
        <v>142.4</v>
      </c>
      <c r="R64" s="118">
        <f t="shared" si="55"/>
        <v>142.4</v>
      </c>
      <c r="S64" s="118">
        <f t="shared" si="55"/>
        <v>142.4</v>
      </c>
      <c r="T64" s="118">
        <f t="shared" si="55"/>
        <v>142.4</v>
      </c>
      <c r="U64" s="118">
        <f t="shared" si="55"/>
        <v>142.4</v>
      </c>
      <c r="V64" s="118">
        <f t="shared" si="55"/>
        <v>142.4</v>
      </c>
      <c r="W64" s="118">
        <f t="shared" si="55"/>
        <v>142.4</v>
      </c>
      <c r="X64" s="118">
        <f t="shared" si="55"/>
        <v>142.4</v>
      </c>
      <c r="Y64" s="118">
        <f t="shared" si="55"/>
        <v>142.4</v>
      </c>
      <c r="Z64" s="118">
        <f t="shared" si="55"/>
        <v>142.4</v>
      </c>
      <c r="AA64" s="118">
        <f t="shared" si="55"/>
        <v>142.4</v>
      </c>
      <c r="AB64" s="66">
        <f>SUM(P64:AA64)</f>
        <v>1708.8000000000004</v>
      </c>
      <c r="AD64" s="342"/>
    </row>
    <row r="65" spans="2:32" ht="20" customHeight="1" outlineLevel="1">
      <c r="B65" s="147" t="s">
        <v>66</v>
      </c>
      <c r="C65" s="86">
        <f t="shared" ref="C65:N68" si="56">(C81+C113+C145)*C97</f>
        <v>80</v>
      </c>
      <c r="D65" s="86">
        <f t="shared" si="56"/>
        <v>80</v>
      </c>
      <c r="E65" s="86">
        <f t="shared" si="56"/>
        <v>80</v>
      </c>
      <c r="F65" s="86">
        <f t="shared" si="56"/>
        <v>80</v>
      </c>
      <c r="G65" s="86">
        <f t="shared" si="56"/>
        <v>80</v>
      </c>
      <c r="H65" s="86">
        <f t="shared" si="56"/>
        <v>80</v>
      </c>
      <c r="I65" s="86">
        <f t="shared" si="56"/>
        <v>80</v>
      </c>
      <c r="J65" s="86">
        <f t="shared" si="56"/>
        <v>80</v>
      </c>
      <c r="K65" s="86">
        <f t="shared" si="56"/>
        <v>80</v>
      </c>
      <c r="L65" s="86">
        <f t="shared" si="56"/>
        <v>80</v>
      </c>
      <c r="M65" s="86">
        <f t="shared" si="56"/>
        <v>80</v>
      </c>
      <c r="N65" s="86">
        <f t="shared" si="56"/>
        <v>80</v>
      </c>
      <c r="O65" s="76">
        <f>SUM(C65:N65)</f>
        <v>960</v>
      </c>
      <c r="P65" s="86">
        <f t="shared" ref="P65:AA68" si="57">(P81+P113+P145)*P97</f>
        <v>86.240000000000009</v>
      </c>
      <c r="Q65" s="86">
        <f t="shared" si="57"/>
        <v>86.240000000000009</v>
      </c>
      <c r="R65" s="86">
        <f t="shared" si="57"/>
        <v>86.240000000000009</v>
      </c>
      <c r="S65" s="86">
        <f t="shared" si="57"/>
        <v>86.240000000000009</v>
      </c>
      <c r="T65" s="86">
        <f t="shared" si="57"/>
        <v>86.240000000000009</v>
      </c>
      <c r="U65" s="86">
        <f t="shared" si="57"/>
        <v>86.240000000000009</v>
      </c>
      <c r="V65" s="86">
        <f t="shared" si="57"/>
        <v>86.240000000000009</v>
      </c>
      <c r="W65" s="86">
        <f t="shared" si="57"/>
        <v>86.240000000000009</v>
      </c>
      <c r="X65" s="86">
        <f t="shared" si="57"/>
        <v>86.240000000000009</v>
      </c>
      <c r="Y65" s="86">
        <f t="shared" si="57"/>
        <v>86.240000000000009</v>
      </c>
      <c r="Z65" s="86">
        <f t="shared" si="57"/>
        <v>86.240000000000009</v>
      </c>
      <c r="AA65" s="86">
        <f t="shared" si="57"/>
        <v>86.240000000000009</v>
      </c>
      <c r="AB65" s="77">
        <f t="shared" ref="AB65:AB68" si="58">SUM(P65:AA65)</f>
        <v>1034.8800000000001</v>
      </c>
      <c r="AD65" s="342"/>
    </row>
    <row r="66" spans="2:32" ht="20" customHeight="1" outlineLevel="1">
      <c r="B66" s="147" t="s">
        <v>67</v>
      </c>
      <c r="C66" s="86">
        <f t="shared" si="56"/>
        <v>80</v>
      </c>
      <c r="D66" s="86">
        <f t="shared" si="56"/>
        <v>80</v>
      </c>
      <c r="E66" s="86">
        <f t="shared" si="56"/>
        <v>80</v>
      </c>
      <c r="F66" s="86">
        <f t="shared" si="56"/>
        <v>80</v>
      </c>
      <c r="G66" s="86">
        <f t="shared" si="56"/>
        <v>80</v>
      </c>
      <c r="H66" s="86">
        <f t="shared" si="56"/>
        <v>80</v>
      </c>
      <c r="I66" s="86">
        <f t="shared" si="56"/>
        <v>80</v>
      </c>
      <c r="J66" s="86">
        <f t="shared" si="56"/>
        <v>80</v>
      </c>
      <c r="K66" s="86">
        <f t="shared" si="56"/>
        <v>80</v>
      </c>
      <c r="L66" s="86">
        <f t="shared" si="56"/>
        <v>80</v>
      </c>
      <c r="M66" s="86">
        <f t="shared" si="56"/>
        <v>80</v>
      </c>
      <c r="N66" s="86">
        <f t="shared" si="56"/>
        <v>80</v>
      </c>
      <c r="O66" s="76">
        <f t="shared" ref="O66:O68" si="59">SUM(C66:N66)</f>
        <v>960</v>
      </c>
      <c r="P66" s="86">
        <f t="shared" si="57"/>
        <v>86.240000000000009</v>
      </c>
      <c r="Q66" s="86">
        <f t="shared" si="57"/>
        <v>86.240000000000009</v>
      </c>
      <c r="R66" s="86">
        <f t="shared" si="57"/>
        <v>86.240000000000009</v>
      </c>
      <c r="S66" s="86">
        <f t="shared" si="57"/>
        <v>86.240000000000009</v>
      </c>
      <c r="T66" s="86">
        <f t="shared" si="57"/>
        <v>86.240000000000009</v>
      </c>
      <c r="U66" s="86">
        <f t="shared" si="57"/>
        <v>86.240000000000009</v>
      </c>
      <c r="V66" s="86">
        <f t="shared" si="57"/>
        <v>86.240000000000009</v>
      </c>
      <c r="W66" s="86">
        <f t="shared" si="57"/>
        <v>86.240000000000009</v>
      </c>
      <c r="X66" s="86">
        <f t="shared" si="57"/>
        <v>86.240000000000009</v>
      </c>
      <c r="Y66" s="86">
        <f t="shared" si="57"/>
        <v>86.240000000000009</v>
      </c>
      <c r="Z66" s="86">
        <f t="shared" si="57"/>
        <v>86.240000000000009</v>
      </c>
      <c r="AA66" s="86">
        <f t="shared" si="57"/>
        <v>86.240000000000009</v>
      </c>
      <c r="AB66" s="77">
        <f t="shared" si="58"/>
        <v>1034.8800000000001</v>
      </c>
      <c r="AD66" s="342"/>
    </row>
    <row r="67" spans="2:32" ht="20" customHeight="1" outlineLevel="1">
      <c r="B67" s="147" t="s">
        <v>68</v>
      </c>
      <c r="C67" s="86">
        <f t="shared" si="56"/>
        <v>106</v>
      </c>
      <c r="D67" s="86">
        <f t="shared" si="56"/>
        <v>106</v>
      </c>
      <c r="E67" s="86">
        <f t="shared" si="56"/>
        <v>106</v>
      </c>
      <c r="F67" s="86">
        <f t="shared" si="56"/>
        <v>106</v>
      </c>
      <c r="G67" s="86">
        <f t="shared" si="56"/>
        <v>106</v>
      </c>
      <c r="H67" s="86">
        <f t="shared" si="56"/>
        <v>106</v>
      </c>
      <c r="I67" s="86">
        <f t="shared" si="56"/>
        <v>106</v>
      </c>
      <c r="J67" s="86">
        <f t="shared" si="56"/>
        <v>106</v>
      </c>
      <c r="K67" s="86">
        <f t="shared" si="56"/>
        <v>106</v>
      </c>
      <c r="L67" s="86">
        <f t="shared" si="56"/>
        <v>106</v>
      </c>
      <c r="M67" s="86">
        <f t="shared" si="56"/>
        <v>106</v>
      </c>
      <c r="N67" s="86">
        <f t="shared" si="56"/>
        <v>106</v>
      </c>
      <c r="O67" s="76">
        <f t="shared" si="59"/>
        <v>1272</v>
      </c>
      <c r="P67" s="86">
        <f t="shared" si="57"/>
        <v>114.32000000000001</v>
      </c>
      <c r="Q67" s="86">
        <f t="shared" si="57"/>
        <v>114.32000000000001</v>
      </c>
      <c r="R67" s="86">
        <f t="shared" si="57"/>
        <v>114.32000000000001</v>
      </c>
      <c r="S67" s="86">
        <f t="shared" si="57"/>
        <v>114.32000000000001</v>
      </c>
      <c r="T67" s="86">
        <f t="shared" si="57"/>
        <v>114.32000000000001</v>
      </c>
      <c r="U67" s="86">
        <f t="shared" si="57"/>
        <v>114.32000000000001</v>
      </c>
      <c r="V67" s="86">
        <f t="shared" si="57"/>
        <v>114.32000000000001</v>
      </c>
      <c r="W67" s="86">
        <f t="shared" si="57"/>
        <v>114.32000000000001</v>
      </c>
      <c r="X67" s="86">
        <f t="shared" si="57"/>
        <v>114.32000000000001</v>
      </c>
      <c r="Y67" s="86">
        <f t="shared" si="57"/>
        <v>114.32000000000001</v>
      </c>
      <c r="Z67" s="86">
        <f t="shared" si="57"/>
        <v>114.32000000000001</v>
      </c>
      <c r="AA67" s="86">
        <f t="shared" si="57"/>
        <v>114.32000000000001</v>
      </c>
      <c r="AB67" s="77">
        <f t="shared" si="58"/>
        <v>1371.84</v>
      </c>
      <c r="AD67" s="342"/>
    </row>
    <row r="68" spans="2:32" ht="20" customHeight="1" outlineLevel="1">
      <c r="B68" s="119" t="s">
        <v>69</v>
      </c>
      <c r="C68" s="120">
        <f t="shared" si="56"/>
        <v>106</v>
      </c>
      <c r="D68" s="120">
        <f t="shared" si="56"/>
        <v>106</v>
      </c>
      <c r="E68" s="120">
        <f t="shared" si="56"/>
        <v>106</v>
      </c>
      <c r="F68" s="120">
        <f t="shared" si="56"/>
        <v>106</v>
      </c>
      <c r="G68" s="120">
        <f t="shared" si="56"/>
        <v>106</v>
      </c>
      <c r="H68" s="120">
        <f t="shared" si="56"/>
        <v>106</v>
      </c>
      <c r="I68" s="120">
        <f t="shared" si="56"/>
        <v>106</v>
      </c>
      <c r="J68" s="120">
        <f t="shared" si="56"/>
        <v>106</v>
      </c>
      <c r="K68" s="120">
        <f t="shared" si="56"/>
        <v>106</v>
      </c>
      <c r="L68" s="120">
        <f t="shared" si="56"/>
        <v>106</v>
      </c>
      <c r="M68" s="120">
        <f t="shared" si="56"/>
        <v>106</v>
      </c>
      <c r="N68" s="120">
        <f t="shared" si="56"/>
        <v>106</v>
      </c>
      <c r="O68" s="121">
        <f t="shared" si="59"/>
        <v>1272</v>
      </c>
      <c r="P68" s="120">
        <f t="shared" si="57"/>
        <v>114.32000000000001</v>
      </c>
      <c r="Q68" s="120">
        <f t="shared" si="57"/>
        <v>114.32000000000001</v>
      </c>
      <c r="R68" s="120">
        <f t="shared" si="57"/>
        <v>114.32000000000001</v>
      </c>
      <c r="S68" s="120">
        <f t="shared" si="57"/>
        <v>114.32000000000001</v>
      </c>
      <c r="T68" s="120">
        <f t="shared" si="57"/>
        <v>114.32000000000001</v>
      </c>
      <c r="U68" s="120">
        <f t="shared" si="57"/>
        <v>114.32000000000001</v>
      </c>
      <c r="V68" s="120">
        <f t="shared" si="57"/>
        <v>114.32000000000001</v>
      </c>
      <c r="W68" s="120">
        <f t="shared" si="57"/>
        <v>114.32000000000001</v>
      </c>
      <c r="X68" s="120">
        <f t="shared" si="57"/>
        <v>114.32000000000001</v>
      </c>
      <c r="Y68" s="120">
        <f t="shared" si="57"/>
        <v>114.32000000000001</v>
      </c>
      <c r="Z68" s="120">
        <f t="shared" si="57"/>
        <v>114.32000000000001</v>
      </c>
      <c r="AA68" s="120">
        <f t="shared" si="57"/>
        <v>114.32000000000001</v>
      </c>
      <c r="AB68" s="122">
        <f t="shared" si="58"/>
        <v>1371.84</v>
      </c>
      <c r="AD68" s="342"/>
    </row>
    <row r="69" spans="2:32" ht="20" customHeight="1">
      <c r="B69" s="125" t="s">
        <v>22</v>
      </c>
      <c r="C69" s="126">
        <f>SUM(C70:C73)</f>
        <v>463</v>
      </c>
      <c r="D69" s="126">
        <f t="shared" ref="D69:N69" si="60">SUM(D70:D73)</f>
        <v>595</v>
      </c>
      <c r="E69" s="126">
        <f t="shared" si="60"/>
        <v>595</v>
      </c>
      <c r="F69" s="126">
        <f t="shared" si="60"/>
        <v>727</v>
      </c>
      <c r="G69" s="126">
        <f t="shared" si="60"/>
        <v>859</v>
      </c>
      <c r="H69" s="126">
        <f t="shared" si="60"/>
        <v>991</v>
      </c>
      <c r="I69" s="126">
        <f t="shared" si="60"/>
        <v>991</v>
      </c>
      <c r="J69" s="126">
        <f t="shared" si="60"/>
        <v>1123</v>
      </c>
      <c r="K69" s="126">
        <f t="shared" si="60"/>
        <v>1255</v>
      </c>
      <c r="L69" s="126">
        <f t="shared" si="60"/>
        <v>1387</v>
      </c>
      <c r="M69" s="126">
        <f t="shared" si="60"/>
        <v>1387</v>
      </c>
      <c r="N69" s="126">
        <f t="shared" si="60"/>
        <v>1519</v>
      </c>
      <c r="O69" s="126">
        <f>SUM(C69:N69)</f>
        <v>11892</v>
      </c>
      <c r="P69" s="126">
        <f>SUM(P70:P73)</f>
        <v>1638.6000000000001</v>
      </c>
      <c r="Q69" s="126">
        <f t="shared" ref="Q69:AA69" si="61">SUM(Q70:Q73)</f>
        <v>1781</v>
      </c>
      <c r="R69" s="126">
        <f t="shared" si="61"/>
        <v>1781</v>
      </c>
      <c r="S69" s="126">
        <f t="shared" si="61"/>
        <v>1781</v>
      </c>
      <c r="T69" s="126">
        <f t="shared" si="61"/>
        <v>1781</v>
      </c>
      <c r="U69" s="126">
        <f t="shared" si="61"/>
        <v>1781</v>
      </c>
      <c r="V69" s="126">
        <f t="shared" si="61"/>
        <v>1923.4</v>
      </c>
      <c r="W69" s="126">
        <f t="shared" si="61"/>
        <v>1923.4</v>
      </c>
      <c r="X69" s="126">
        <f t="shared" si="61"/>
        <v>1923.4</v>
      </c>
      <c r="Y69" s="126">
        <f t="shared" si="61"/>
        <v>1923.4</v>
      </c>
      <c r="Z69" s="126">
        <f t="shared" si="61"/>
        <v>1923.4</v>
      </c>
      <c r="AA69" s="126">
        <f t="shared" si="61"/>
        <v>2065.8000000000002</v>
      </c>
      <c r="AB69" s="126">
        <f>SUM(P69:AA69)</f>
        <v>22226.400000000001</v>
      </c>
      <c r="AD69" s="342"/>
    </row>
    <row r="70" spans="2:32" ht="20" customHeight="1" outlineLevel="1">
      <c r="B70" s="117" t="s">
        <v>65</v>
      </c>
      <c r="C70" s="118">
        <f t="shared" ref="C70:N74" si="62">(C86+C118+C150)*C102</f>
        <v>132</v>
      </c>
      <c r="D70" s="118">
        <f t="shared" si="62"/>
        <v>132</v>
      </c>
      <c r="E70" s="118">
        <f t="shared" si="62"/>
        <v>132</v>
      </c>
      <c r="F70" s="118">
        <f t="shared" si="62"/>
        <v>132</v>
      </c>
      <c r="G70" s="118">
        <f t="shared" si="62"/>
        <v>132</v>
      </c>
      <c r="H70" s="118">
        <f t="shared" si="62"/>
        <v>132</v>
      </c>
      <c r="I70" s="118">
        <f t="shared" si="62"/>
        <v>132</v>
      </c>
      <c r="J70" s="118">
        <f t="shared" si="62"/>
        <v>132</v>
      </c>
      <c r="K70" s="118">
        <f t="shared" si="62"/>
        <v>132</v>
      </c>
      <c r="L70" s="118">
        <f t="shared" si="62"/>
        <v>132</v>
      </c>
      <c r="M70" s="118">
        <f t="shared" si="62"/>
        <v>132</v>
      </c>
      <c r="N70" s="118">
        <f t="shared" si="62"/>
        <v>132</v>
      </c>
      <c r="O70" s="65">
        <f t="shared" ref="O70:O74" si="63">SUM(C70:N70)</f>
        <v>1584</v>
      </c>
      <c r="P70" s="118">
        <f t="shared" ref="P70:AA74" si="64">(P86+P118+P150)*P102</f>
        <v>142.4</v>
      </c>
      <c r="Q70" s="118">
        <f t="shared" si="64"/>
        <v>142.4</v>
      </c>
      <c r="R70" s="118">
        <f t="shared" si="64"/>
        <v>142.4</v>
      </c>
      <c r="S70" s="118">
        <f t="shared" si="64"/>
        <v>142.4</v>
      </c>
      <c r="T70" s="118">
        <f t="shared" si="64"/>
        <v>142.4</v>
      </c>
      <c r="U70" s="118">
        <f t="shared" si="64"/>
        <v>142.4</v>
      </c>
      <c r="V70" s="118">
        <f t="shared" si="64"/>
        <v>142.4</v>
      </c>
      <c r="W70" s="118">
        <f t="shared" si="64"/>
        <v>142.4</v>
      </c>
      <c r="X70" s="118">
        <f t="shared" si="64"/>
        <v>142.4</v>
      </c>
      <c r="Y70" s="118">
        <f t="shared" si="64"/>
        <v>142.4</v>
      </c>
      <c r="Z70" s="118">
        <f t="shared" si="64"/>
        <v>142.4</v>
      </c>
      <c r="AA70" s="118">
        <f t="shared" si="64"/>
        <v>142.4</v>
      </c>
      <c r="AB70" s="66">
        <f t="shared" ref="AB70:AB74" si="65">SUM(P70:AA70)</f>
        <v>1708.8000000000004</v>
      </c>
      <c r="AD70" s="342"/>
    </row>
    <row r="71" spans="2:32" ht="20" customHeight="1" outlineLevel="1">
      <c r="B71" s="147" t="s">
        <v>70</v>
      </c>
      <c r="C71" s="86">
        <f t="shared" si="62"/>
        <v>132</v>
      </c>
      <c r="D71" s="86">
        <f t="shared" si="62"/>
        <v>264</v>
      </c>
      <c r="E71" s="86">
        <f t="shared" si="62"/>
        <v>264</v>
      </c>
      <c r="F71" s="86">
        <f t="shared" si="62"/>
        <v>396</v>
      </c>
      <c r="G71" s="86">
        <f t="shared" si="62"/>
        <v>528</v>
      </c>
      <c r="H71" s="86">
        <f t="shared" si="62"/>
        <v>660</v>
      </c>
      <c r="I71" s="86">
        <f t="shared" si="62"/>
        <v>660</v>
      </c>
      <c r="J71" s="86">
        <f t="shared" si="62"/>
        <v>792</v>
      </c>
      <c r="K71" s="86">
        <f t="shared" si="62"/>
        <v>924</v>
      </c>
      <c r="L71" s="86">
        <f t="shared" si="62"/>
        <v>1056</v>
      </c>
      <c r="M71" s="86">
        <f t="shared" si="62"/>
        <v>1056</v>
      </c>
      <c r="N71" s="86">
        <f t="shared" si="62"/>
        <v>1188</v>
      </c>
      <c r="O71" s="76">
        <f t="shared" si="63"/>
        <v>7920</v>
      </c>
      <c r="P71" s="86">
        <f t="shared" si="64"/>
        <v>1281.6000000000001</v>
      </c>
      <c r="Q71" s="86">
        <f t="shared" si="64"/>
        <v>1424</v>
      </c>
      <c r="R71" s="86">
        <f t="shared" si="64"/>
        <v>1424</v>
      </c>
      <c r="S71" s="86">
        <f t="shared" si="64"/>
        <v>1424</v>
      </c>
      <c r="T71" s="86">
        <f t="shared" si="64"/>
        <v>1424</v>
      </c>
      <c r="U71" s="86">
        <f t="shared" si="64"/>
        <v>1424</v>
      </c>
      <c r="V71" s="86">
        <f t="shared" si="64"/>
        <v>1566.4</v>
      </c>
      <c r="W71" s="86">
        <f t="shared" si="64"/>
        <v>1566.4</v>
      </c>
      <c r="X71" s="86">
        <f t="shared" si="64"/>
        <v>1566.4</v>
      </c>
      <c r="Y71" s="86">
        <f t="shared" si="64"/>
        <v>1566.4</v>
      </c>
      <c r="Z71" s="86">
        <f t="shared" si="64"/>
        <v>1566.4</v>
      </c>
      <c r="AA71" s="86">
        <f t="shared" si="64"/>
        <v>1708.8000000000002</v>
      </c>
      <c r="AB71" s="77">
        <f t="shared" si="65"/>
        <v>17942.399999999998</v>
      </c>
      <c r="AD71" s="342"/>
    </row>
    <row r="72" spans="2:32" ht="20" customHeight="1" outlineLevel="1">
      <c r="B72" s="147" t="s">
        <v>67</v>
      </c>
      <c r="C72" s="86">
        <f t="shared" si="62"/>
        <v>93</v>
      </c>
      <c r="D72" s="86">
        <f t="shared" si="62"/>
        <v>93</v>
      </c>
      <c r="E72" s="86">
        <f t="shared" si="62"/>
        <v>93</v>
      </c>
      <c r="F72" s="86">
        <f t="shared" si="62"/>
        <v>93</v>
      </c>
      <c r="G72" s="86">
        <f t="shared" si="62"/>
        <v>93</v>
      </c>
      <c r="H72" s="86">
        <f t="shared" si="62"/>
        <v>93</v>
      </c>
      <c r="I72" s="86">
        <f t="shared" si="62"/>
        <v>93</v>
      </c>
      <c r="J72" s="86">
        <f t="shared" si="62"/>
        <v>93</v>
      </c>
      <c r="K72" s="86">
        <f t="shared" si="62"/>
        <v>93</v>
      </c>
      <c r="L72" s="86">
        <f t="shared" si="62"/>
        <v>93</v>
      </c>
      <c r="M72" s="86">
        <f t="shared" si="62"/>
        <v>93</v>
      </c>
      <c r="N72" s="86">
        <f t="shared" si="62"/>
        <v>93</v>
      </c>
      <c r="O72" s="76">
        <f t="shared" si="63"/>
        <v>1116</v>
      </c>
      <c r="P72" s="86">
        <f t="shared" si="64"/>
        <v>100.28000000000002</v>
      </c>
      <c r="Q72" s="86">
        <f t="shared" si="64"/>
        <v>100.28000000000002</v>
      </c>
      <c r="R72" s="86">
        <f t="shared" si="64"/>
        <v>100.28000000000002</v>
      </c>
      <c r="S72" s="86">
        <f t="shared" si="64"/>
        <v>100.28000000000002</v>
      </c>
      <c r="T72" s="86">
        <f t="shared" si="64"/>
        <v>100.28000000000002</v>
      </c>
      <c r="U72" s="86">
        <f t="shared" si="64"/>
        <v>100.28000000000002</v>
      </c>
      <c r="V72" s="86">
        <f t="shared" si="64"/>
        <v>100.28000000000002</v>
      </c>
      <c r="W72" s="86">
        <f t="shared" si="64"/>
        <v>100.28000000000002</v>
      </c>
      <c r="X72" s="86">
        <f t="shared" si="64"/>
        <v>100.28000000000002</v>
      </c>
      <c r="Y72" s="86">
        <f t="shared" si="64"/>
        <v>100.28000000000002</v>
      </c>
      <c r="Z72" s="86">
        <f t="shared" si="64"/>
        <v>100.28000000000002</v>
      </c>
      <c r="AA72" s="86">
        <f t="shared" si="64"/>
        <v>100.28000000000002</v>
      </c>
      <c r="AB72" s="77">
        <f t="shared" si="65"/>
        <v>1203.3599999999999</v>
      </c>
      <c r="AD72" s="342"/>
    </row>
    <row r="73" spans="2:32" ht="20" customHeight="1" outlineLevel="1">
      <c r="B73" s="119" t="s">
        <v>69</v>
      </c>
      <c r="C73" s="120">
        <f t="shared" si="62"/>
        <v>106</v>
      </c>
      <c r="D73" s="120">
        <f t="shared" si="62"/>
        <v>106</v>
      </c>
      <c r="E73" s="120">
        <f t="shared" si="62"/>
        <v>106</v>
      </c>
      <c r="F73" s="120">
        <f t="shared" si="62"/>
        <v>106</v>
      </c>
      <c r="G73" s="120">
        <f t="shared" si="62"/>
        <v>106</v>
      </c>
      <c r="H73" s="120">
        <f t="shared" si="62"/>
        <v>106</v>
      </c>
      <c r="I73" s="120">
        <f t="shared" si="62"/>
        <v>106</v>
      </c>
      <c r="J73" s="120">
        <f t="shared" si="62"/>
        <v>106</v>
      </c>
      <c r="K73" s="120">
        <f t="shared" si="62"/>
        <v>106</v>
      </c>
      <c r="L73" s="120">
        <f t="shared" si="62"/>
        <v>106</v>
      </c>
      <c r="M73" s="120">
        <f t="shared" si="62"/>
        <v>106</v>
      </c>
      <c r="N73" s="120">
        <f t="shared" si="62"/>
        <v>106</v>
      </c>
      <c r="O73" s="121">
        <f t="shared" si="63"/>
        <v>1272</v>
      </c>
      <c r="P73" s="120">
        <f t="shared" si="64"/>
        <v>114.32000000000001</v>
      </c>
      <c r="Q73" s="120">
        <f t="shared" si="64"/>
        <v>114.32000000000001</v>
      </c>
      <c r="R73" s="120">
        <f t="shared" si="64"/>
        <v>114.32000000000001</v>
      </c>
      <c r="S73" s="120">
        <f t="shared" si="64"/>
        <v>114.32000000000001</v>
      </c>
      <c r="T73" s="120">
        <f t="shared" si="64"/>
        <v>114.32000000000001</v>
      </c>
      <c r="U73" s="120">
        <f t="shared" si="64"/>
        <v>114.32000000000001</v>
      </c>
      <c r="V73" s="120">
        <f t="shared" si="64"/>
        <v>114.32000000000001</v>
      </c>
      <c r="W73" s="120">
        <f t="shared" si="64"/>
        <v>114.32000000000001</v>
      </c>
      <c r="X73" s="120">
        <f t="shared" si="64"/>
        <v>114.32000000000001</v>
      </c>
      <c r="Y73" s="120">
        <f t="shared" si="64"/>
        <v>114.32000000000001</v>
      </c>
      <c r="Z73" s="120">
        <f t="shared" si="64"/>
        <v>114.32000000000001</v>
      </c>
      <c r="AA73" s="120">
        <f t="shared" si="64"/>
        <v>114.32000000000001</v>
      </c>
      <c r="AB73" s="122">
        <f t="shared" si="65"/>
        <v>1371.84</v>
      </c>
      <c r="AD73" s="342"/>
    </row>
    <row r="74" spans="2:32" ht="20" customHeight="1">
      <c r="B74" s="125" t="s">
        <v>71</v>
      </c>
      <c r="C74" s="126">
        <f t="shared" si="62"/>
        <v>54</v>
      </c>
      <c r="D74" s="126">
        <f t="shared" si="62"/>
        <v>54</v>
      </c>
      <c r="E74" s="126">
        <f t="shared" si="62"/>
        <v>54</v>
      </c>
      <c r="F74" s="126">
        <f t="shared" si="62"/>
        <v>54</v>
      </c>
      <c r="G74" s="126">
        <f t="shared" si="62"/>
        <v>54</v>
      </c>
      <c r="H74" s="126">
        <f t="shared" si="62"/>
        <v>54</v>
      </c>
      <c r="I74" s="126">
        <f t="shared" si="62"/>
        <v>54</v>
      </c>
      <c r="J74" s="126">
        <f t="shared" si="62"/>
        <v>54</v>
      </c>
      <c r="K74" s="126">
        <f t="shared" si="62"/>
        <v>54</v>
      </c>
      <c r="L74" s="126">
        <f t="shared" si="62"/>
        <v>54</v>
      </c>
      <c r="M74" s="126">
        <f t="shared" si="62"/>
        <v>54</v>
      </c>
      <c r="N74" s="126">
        <f t="shared" si="62"/>
        <v>54</v>
      </c>
      <c r="O74" s="126">
        <f t="shared" si="63"/>
        <v>648</v>
      </c>
      <c r="P74" s="126">
        <f t="shared" si="64"/>
        <v>58.160000000000004</v>
      </c>
      <c r="Q74" s="126">
        <f t="shared" si="64"/>
        <v>58.160000000000004</v>
      </c>
      <c r="R74" s="126">
        <f t="shared" si="64"/>
        <v>58.160000000000004</v>
      </c>
      <c r="S74" s="126">
        <f t="shared" si="64"/>
        <v>58.160000000000004</v>
      </c>
      <c r="T74" s="126">
        <f t="shared" si="64"/>
        <v>58.160000000000004</v>
      </c>
      <c r="U74" s="126">
        <f t="shared" si="64"/>
        <v>58.160000000000004</v>
      </c>
      <c r="V74" s="126">
        <f t="shared" si="64"/>
        <v>58.160000000000004</v>
      </c>
      <c r="W74" s="126">
        <f t="shared" si="64"/>
        <v>58.160000000000004</v>
      </c>
      <c r="X74" s="126">
        <f t="shared" si="64"/>
        <v>58.160000000000004</v>
      </c>
      <c r="Y74" s="126">
        <f t="shared" si="64"/>
        <v>58.160000000000004</v>
      </c>
      <c r="Z74" s="126">
        <f t="shared" si="64"/>
        <v>58.160000000000004</v>
      </c>
      <c r="AA74" s="126">
        <f t="shared" si="64"/>
        <v>58.160000000000004</v>
      </c>
      <c r="AB74" s="126">
        <f t="shared" si="65"/>
        <v>697.92</v>
      </c>
      <c r="AD74" s="342"/>
    </row>
    <row r="75" spans="2:32" ht="20" customHeight="1"/>
    <row r="76" spans="2:32" ht="20" customHeight="1">
      <c r="B76" s="233" t="s">
        <v>173</v>
      </c>
      <c r="C76" s="230"/>
      <c r="D76" s="230"/>
      <c r="E76" s="230"/>
      <c r="F76" s="230"/>
      <c r="G76" s="231"/>
      <c r="H76" s="231"/>
      <c r="I76" s="231"/>
      <c r="J76" s="231"/>
      <c r="K76" s="231"/>
      <c r="L76" s="231"/>
      <c r="M76" s="231"/>
      <c r="N76" s="231"/>
      <c r="O76" s="231"/>
      <c r="P76" s="231"/>
      <c r="Q76" s="231"/>
      <c r="R76" s="231"/>
      <c r="S76" s="231"/>
      <c r="T76" s="231"/>
      <c r="U76" s="231"/>
      <c r="V76" s="231"/>
      <c r="W76" s="231"/>
      <c r="X76" s="231"/>
      <c r="Y76" s="231"/>
      <c r="Z76" s="231"/>
      <c r="AA76" s="231"/>
      <c r="AB76" s="231"/>
      <c r="AF76" s="13"/>
    </row>
    <row r="77" spans="2:32" ht="20" customHeight="1" thickBot="1">
      <c r="B77" s="113"/>
      <c r="C77" s="153" t="s">
        <v>186</v>
      </c>
      <c r="D77" s="153" t="s">
        <v>187</v>
      </c>
      <c r="E77" s="153" t="s">
        <v>188</v>
      </c>
      <c r="F77" s="153" t="s">
        <v>189</v>
      </c>
      <c r="G77" s="249">
        <v>46143</v>
      </c>
      <c r="H77" s="153" t="s">
        <v>190</v>
      </c>
      <c r="I77" s="153" t="s">
        <v>191</v>
      </c>
      <c r="J77" s="153" t="s">
        <v>192</v>
      </c>
      <c r="K77" s="153" t="s">
        <v>193</v>
      </c>
      <c r="L77" s="153" t="s">
        <v>194</v>
      </c>
      <c r="M77" s="153" t="s">
        <v>195</v>
      </c>
      <c r="N77" s="153" t="s">
        <v>196</v>
      </c>
      <c r="O77" s="250">
        <v>2026</v>
      </c>
      <c r="P77" s="153" t="s">
        <v>202</v>
      </c>
      <c r="Q77" s="153" t="s">
        <v>203</v>
      </c>
      <c r="R77" s="153" t="s">
        <v>204</v>
      </c>
      <c r="S77" s="153" t="s">
        <v>205</v>
      </c>
      <c r="T77" s="249">
        <v>46508</v>
      </c>
      <c r="U77" s="153" t="s">
        <v>206</v>
      </c>
      <c r="V77" s="153" t="s">
        <v>207</v>
      </c>
      <c r="W77" s="153" t="s">
        <v>208</v>
      </c>
      <c r="X77" s="153" t="s">
        <v>209</v>
      </c>
      <c r="Y77" s="153" t="s">
        <v>210</v>
      </c>
      <c r="Z77" s="153" t="s">
        <v>211</v>
      </c>
      <c r="AA77" s="153" t="s">
        <v>212</v>
      </c>
      <c r="AB77" s="250">
        <v>2027</v>
      </c>
    </row>
    <row r="78" spans="2:32" ht="10.25" customHeight="1">
      <c r="B78" s="123"/>
      <c r="C78" s="123"/>
      <c r="D78" s="123"/>
      <c r="E78" s="123"/>
      <c r="F78" s="123"/>
      <c r="G78" s="123"/>
      <c r="H78" s="123"/>
      <c r="I78" s="123"/>
      <c r="J78" s="123"/>
      <c r="K78" s="123"/>
      <c r="L78" s="123"/>
      <c r="M78" s="123"/>
      <c r="N78" s="123"/>
      <c r="O78" s="123"/>
      <c r="P78" s="123"/>
      <c r="Q78" s="123"/>
      <c r="R78" s="123"/>
      <c r="S78" s="123"/>
      <c r="T78" s="123"/>
      <c r="U78" s="123"/>
      <c r="V78" s="123"/>
      <c r="W78" s="123"/>
      <c r="X78" s="123"/>
      <c r="Y78" s="123"/>
      <c r="Z78" s="123"/>
      <c r="AA78" s="123"/>
      <c r="AB78" s="123"/>
    </row>
    <row r="79" spans="2:32" ht="20" customHeight="1">
      <c r="B79" s="125" t="s">
        <v>21</v>
      </c>
      <c r="C79" s="126">
        <f t="shared" ref="C79:N79" si="66">SUM(C80:C84)</f>
        <v>380</v>
      </c>
      <c r="D79" s="126">
        <f t="shared" si="66"/>
        <v>380</v>
      </c>
      <c r="E79" s="126">
        <f t="shared" si="66"/>
        <v>380</v>
      </c>
      <c r="F79" s="126">
        <f t="shared" si="66"/>
        <v>380</v>
      </c>
      <c r="G79" s="126">
        <f t="shared" si="66"/>
        <v>380</v>
      </c>
      <c r="H79" s="126">
        <f t="shared" si="66"/>
        <v>380</v>
      </c>
      <c r="I79" s="126">
        <f t="shared" si="66"/>
        <v>380</v>
      </c>
      <c r="J79" s="126">
        <f t="shared" si="66"/>
        <v>380</v>
      </c>
      <c r="K79" s="126">
        <f t="shared" si="66"/>
        <v>380</v>
      </c>
      <c r="L79" s="126">
        <f t="shared" si="66"/>
        <v>380</v>
      </c>
      <c r="M79" s="126">
        <f t="shared" si="66"/>
        <v>380</v>
      </c>
      <c r="N79" s="126">
        <f t="shared" si="66"/>
        <v>380</v>
      </c>
      <c r="O79" s="126">
        <f>SUM(C79:N79)</f>
        <v>4560</v>
      </c>
      <c r="P79" s="126">
        <f t="shared" ref="P79:AA79" si="67">SUM(P80:P84)</f>
        <v>410.4</v>
      </c>
      <c r="Q79" s="126">
        <f t="shared" si="67"/>
        <v>410.4</v>
      </c>
      <c r="R79" s="126">
        <f t="shared" si="67"/>
        <v>410.4</v>
      </c>
      <c r="S79" s="126">
        <f t="shared" si="67"/>
        <v>410.4</v>
      </c>
      <c r="T79" s="126">
        <f t="shared" si="67"/>
        <v>410.4</v>
      </c>
      <c r="U79" s="126">
        <f t="shared" si="67"/>
        <v>410.4</v>
      </c>
      <c r="V79" s="126">
        <f t="shared" si="67"/>
        <v>410.4</v>
      </c>
      <c r="W79" s="126">
        <f t="shared" si="67"/>
        <v>410.4</v>
      </c>
      <c r="X79" s="126">
        <f t="shared" si="67"/>
        <v>410.4</v>
      </c>
      <c r="Y79" s="126">
        <f t="shared" si="67"/>
        <v>410.4</v>
      </c>
      <c r="Z79" s="126">
        <f t="shared" si="67"/>
        <v>410.4</v>
      </c>
      <c r="AA79" s="126">
        <f t="shared" si="67"/>
        <v>410.4</v>
      </c>
      <c r="AB79" s="126">
        <f>SUM(P79:AA79)</f>
        <v>4924.7999999999993</v>
      </c>
    </row>
    <row r="80" spans="2:32" ht="20" customHeight="1" outlineLevel="1">
      <c r="B80" s="117" t="s">
        <v>65</v>
      </c>
      <c r="C80" s="118">
        <f>Аналитика!$C$26</f>
        <v>100</v>
      </c>
      <c r="D80" s="118">
        <f>C80</f>
        <v>100</v>
      </c>
      <c r="E80" s="118">
        <f t="shared" ref="E80:N80" si="68">D80</f>
        <v>100</v>
      </c>
      <c r="F80" s="118">
        <f t="shared" si="68"/>
        <v>100</v>
      </c>
      <c r="G80" s="118">
        <f t="shared" si="68"/>
        <v>100</v>
      </c>
      <c r="H80" s="118">
        <f t="shared" si="68"/>
        <v>100</v>
      </c>
      <c r="I80" s="118">
        <f t="shared" si="68"/>
        <v>100</v>
      </c>
      <c r="J80" s="118">
        <f t="shared" si="68"/>
        <v>100</v>
      </c>
      <c r="K80" s="118">
        <f t="shared" si="68"/>
        <v>100</v>
      </c>
      <c r="L80" s="118">
        <f t="shared" si="68"/>
        <v>100</v>
      </c>
      <c r="M80" s="118">
        <f t="shared" si="68"/>
        <v>100</v>
      </c>
      <c r="N80" s="118">
        <f t="shared" si="68"/>
        <v>100</v>
      </c>
      <c r="O80" s="65">
        <f>SUM(C80:N80)</f>
        <v>1200</v>
      </c>
      <c r="P80" s="118">
        <f>N80*(1+Аналитика!$M$3)</f>
        <v>108</v>
      </c>
      <c r="Q80" s="118">
        <f>P80</f>
        <v>108</v>
      </c>
      <c r="R80" s="118">
        <f t="shared" ref="R80:AA80" si="69">Q80</f>
        <v>108</v>
      </c>
      <c r="S80" s="118">
        <f t="shared" si="69"/>
        <v>108</v>
      </c>
      <c r="T80" s="118">
        <f t="shared" si="69"/>
        <v>108</v>
      </c>
      <c r="U80" s="118">
        <f t="shared" si="69"/>
        <v>108</v>
      </c>
      <c r="V80" s="118">
        <f t="shared" si="69"/>
        <v>108</v>
      </c>
      <c r="W80" s="118">
        <f t="shared" si="69"/>
        <v>108</v>
      </c>
      <c r="X80" s="118">
        <f t="shared" si="69"/>
        <v>108</v>
      </c>
      <c r="Y80" s="118">
        <f t="shared" si="69"/>
        <v>108</v>
      </c>
      <c r="Z80" s="118">
        <f t="shared" si="69"/>
        <v>108</v>
      </c>
      <c r="AA80" s="118">
        <f t="shared" si="69"/>
        <v>108</v>
      </c>
      <c r="AB80" s="66">
        <f>SUM(P80:AA80)</f>
        <v>1296</v>
      </c>
    </row>
    <row r="81" spans="2:33" ht="20" customHeight="1" outlineLevel="1">
      <c r="B81" s="147" t="s">
        <v>66</v>
      </c>
      <c r="C81" s="86">
        <f>Аналитика!$C$27</f>
        <v>60</v>
      </c>
      <c r="D81" s="86">
        <f t="shared" ref="D81:N84" si="70">C81</f>
        <v>60</v>
      </c>
      <c r="E81" s="86">
        <f t="shared" si="70"/>
        <v>60</v>
      </c>
      <c r="F81" s="86">
        <f t="shared" si="70"/>
        <v>60</v>
      </c>
      <c r="G81" s="86">
        <f t="shared" si="70"/>
        <v>60</v>
      </c>
      <c r="H81" s="86">
        <f t="shared" si="70"/>
        <v>60</v>
      </c>
      <c r="I81" s="86">
        <f t="shared" si="70"/>
        <v>60</v>
      </c>
      <c r="J81" s="86">
        <f t="shared" si="70"/>
        <v>60</v>
      </c>
      <c r="K81" s="86">
        <f t="shared" si="70"/>
        <v>60</v>
      </c>
      <c r="L81" s="86">
        <f t="shared" si="70"/>
        <v>60</v>
      </c>
      <c r="M81" s="86">
        <f t="shared" si="70"/>
        <v>60</v>
      </c>
      <c r="N81" s="86">
        <f t="shared" si="70"/>
        <v>60</v>
      </c>
      <c r="O81" s="76">
        <f>SUM(C81:N81)</f>
        <v>720</v>
      </c>
      <c r="P81" s="86">
        <f>N81*(1+Аналитика!$M$3)</f>
        <v>64.800000000000011</v>
      </c>
      <c r="Q81" s="86">
        <f t="shared" ref="Q81:AA84" si="71">P81</f>
        <v>64.800000000000011</v>
      </c>
      <c r="R81" s="86">
        <f t="shared" si="71"/>
        <v>64.800000000000011</v>
      </c>
      <c r="S81" s="86">
        <f t="shared" si="71"/>
        <v>64.800000000000011</v>
      </c>
      <c r="T81" s="86">
        <f t="shared" si="71"/>
        <v>64.800000000000011</v>
      </c>
      <c r="U81" s="86">
        <f t="shared" si="71"/>
        <v>64.800000000000011</v>
      </c>
      <c r="V81" s="86">
        <f t="shared" si="71"/>
        <v>64.800000000000011</v>
      </c>
      <c r="W81" s="86">
        <f t="shared" si="71"/>
        <v>64.800000000000011</v>
      </c>
      <c r="X81" s="86">
        <f t="shared" si="71"/>
        <v>64.800000000000011</v>
      </c>
      <c r="Y81" s="86">
        <f t="shared" si="71"/>
        <v>64.800000000000011</v>
      </c>
      <c r="Z81" s="86">
        <f t="shared" si="71"/>
        <v>64.800000000000011</v>
      </c>
      <c r="AA81" s="86">
        <f t="shared" si="71"/>
        <v>64.800000000000011</v>
      </c>
      <c r="AB81" s="77">
        <f>SUM(P81:AA81)</f>
        <v>777.59999999999991</v>
      </c>
    </row>
    <row r="82" spans="2:33" ht="20" customHeight="1" outlineLevel="1">
      <c r="B82" s="147" t="s">
        <v>67</v>
      </c>
      <c r="C82" s="86">
        <f>Аналитика!$C$28</f>
        <v>60</v>
      </c>
      <c r="D82" s="86">
        <f t="shared" si="70"/>
        <v>60</v>
      </c>
      <c r="E82" s="86">
        <f t="shared" si="70"/>
        <v>60</v>
      </c>
      <c r="F82" s="86">
        <f t="shared" si="70"/>
        <v>60</v>
      </c>
      <c r="G82" s="86">
        <f t="shared" si="70"/>
        <v>60</v>
      </c>
      <c r="H82" s="86">
        <f t="shared" si="70"/>
        <v>60</v>
      </c>
      <c r="I82" s="86">
        <f t="shared" si="70"/>
        <v>60</v>
      </c>
      <c r="J82" s="86">
        <f t="shared" si="70"/>
        <v>60</v>
      </c>
      <c r="K82" s="86">
        <f t="shared" si="70"/>
        <v>60</v>
      </c>
      <c r="L82" s="86">
        <f t="shared" si="70"/>
        <v>60</v>
      </c>
      <c r="M82" s="86">
        <f t="shared" si="70"/>
        <v>60</v>
      </c>
      <c r="N82" s="86">
        <f t="shared" si="70"/>
        <v>60</v>
      </c>
      <c r="O82" s="76">
        <f t="shared" ref="O82:O84" si="72">SUM(C82:N82)</f>
        <v>720</v>
      </c>
      <c r="P82" s="86">
        <f>N82*(1+Аналитика!$M$3)</f>
        <v>64.800000000000011</v>
      </c>
      <c r="Q82" s="86">
        <f t="shared" si="71"/>
        <v>64.800000000000011</v>
      </c>
      <c r="R82" s="86">
        <f t="shared" si="71"/>
        <v>64.800000000000011</v>
      </c>
      <c r="S82" s="86">
        <f t="shared" si="71"/>
        <v>64.800000000000011</v>
      </c>
      <c r="T82" s="86">
        <f t="shared" si="71"/>
        <v>64.800000000000011</v>
      </c>
      <c r="U82" s="86">
        <f t="shared" si="71"/>
        <v>64.800000000000011</v>
      </c>
      <c r="V82" s="86">
        <f t="shared" si="71"/>
        <v>64.800000000000011</v>
      </c>
      <c r="W82" s="86">
        <f t="shared" si="71"/>
        <v>64.800000000000011</v>
      </c>
      <c r="X82" s="86">
        <f t="shared" si="71"/>
        <v>64.800000000000011</v>
      </c>
      <c r="Y82" s="86">
        <f t="shared" si="71"/>
        <v>64.800000000000011</v>
      </c>
      <c r="Z82" s="86">
        <f t="shared" si="71"/>
        <v>64.800000000000011</v>
      </c>
      <c r="AA82" s="86">
        <f t="shared" si="71"/>
        <v>64.800000000000011</v>
      </c>
      <c r="AB82" s="77">
        <f t="shared" ref="AB82:AB84" si="73">SUM(P82:AA82)</f>
        <v>777.59999999999991</v>
      </c>
    </row>
    <row r="83" spans="2:33" ht="20" customHeight="1" outlineLevel="1">
      <c r="B83" s="147" t="s">
        <v>68</v>
      </c>
      <c r="C83" s="86">
        <f>Аналитика!$C$29</f>
        <v>80</v>
      </c>
      <c r="D83" s="86">
        <f t="shared" si="70"/>
        <v>80</v>
      </c>
      <c r="E83" s="86">
        <f t="shared" si="70"/>
        <v>80</v>
      </c>
      <c r="F83" s="86">
        <f t="shared" si="70"/>
        <v>80</v>
      </c>
      <c r="G83" s="86">
        <f t="shared" si="70"/>
        <v>80</v>
      </c>
      <c r="H83" s="86">
        <f t="shared" si="70"/>
        <v>80</v>
      </c>
      <c r="I83" s="86">
        <f t="shared" si="70"/>
        <v>80</v>
      </c>
      <c r="J83" s="86">
        <f t="shared" si="70"/>
        <v>80</v>
      </c>
      <c r="K83" s="86">
        <f t="shared" si="70"/>
        <v>80</v>
      </c>
      <c r="L83" s="86">
        <f t="shared" si="70"/>
        <v>80</v>
      </c>
      <c r="M83" s="86">
        <f t="shared" si="70"/>
        <v>80</v>
      </c>
      <c r="N83" s="86">
        <f t="shared" si="70"/>
        <v>80</v>
      </c>
      <c r="O83" s="76">
        <f t="shared" si="72"/>
        <v>960</v>
      </c>
      <c r="P83" s="86">
        <f>N83*(1+Аналитика!$M$3)</f>
        <v>86.4</v>
      </c>
      <c r="Q83" s="86">
        <f t="shared" si="71"/>
        <v>86.4</v>
      </c>
      <c r="R83" s="86">
        <f t="shared" si="71"/>
        <v>86.4</v>
      </c>
      <c r="S83" s="86">
        <f t="shared" si="71"/>
        <v>86.4</v>
      </c>
      <c r="T83" s="86">
        <f t="shared" si="71"/>
        <v>86.4</v>
      </c>
      <c r="U83" s="86">
        <f t="shared" si="71"/>
        <v>86.4</v>
      </c>
      <c r="V83" s="86">
        <f t="shared" si="71"/>
        <v>86.4</v>
      </c>
      <c r="W83" s="86">
        <f t="shared" si="71"/>
        <v>86.4</v>
      </c>
      <c r="X83" s="86">
        <f t="shared" si="71"/>
        <v>86.4</v>
      </c>
      <c r="Y83" s="86">
        <f t="shared" si="71"/>
        <v>86.4</v>
      </c>
      <c r="Z83" s="86">
        <f t="shared" si="71"/>
        <v>86.4</v>
      </c>
      <c r="AA83" s="86">
        <f t="shared" si="71"/>
        <v>86.4</v>
      </c>
      <c r="AB83" s="77">
        <f t="shared" si="73"/>
        <v>1036.8</v>
      </c>
    </row>
    <row r="84" spans="2:33" ht="20" customHeight="1" outlineLevel="1">
      <c r="B84" s="119" t="s">
        <v>69</v>
      </c>
      <c r="C84" s="120">
        <f>Аналитика!$C$30</f>
        <v>80</v>
      </c>
      <c r="D84" s="120">
        <f t="shared" si="70"/>
        <v>80</v>
      </c>
      <c r="E84" s="120">
        <f t="shared" si="70"/>
        <v>80</v>
      </c>
      <c r="F84" s="120">
        <f t="shared" si="70"/>
        <v>80</v>
      </c>
      <c r="G84" s="120">
        <f t="shared" si="70"/>
        <v>80</v>
      </c>
      <c r="H84" s="120">
        <f t="shared" si="70"/>
        <v>80</v>
      </c>
      <c r="I84" s="120">
        <f t="shared" si="70"/>
        <v>80</v>
      </c>
      <c r="J84" s="120">
        <f t="shared" si="70"/>
        <v>80</v>
      </c>
      <c r="K84" s="120">
        <f t="shared" si="70"/>
        <v>80</v>
      </c>
      <c r="L84" s="120">
        <f t="shared" si="70"/>
        <v>80</v>
      </c>
      <c r="M84" s="120">
        <f t="shared" si="70"/>
        <v>80</v>
      </c>
      <c r="N84" s="120">
        <f t="shared" si="70"/>
        <v>80</v>
      </c>
      <c r="O84" s="121">
        <f t="shared" si="72"/>
        <v>960</v>
      </c>
      <c r="P84" s="120">
        <f>N84*(1+Аналитика!$M$3)</f>
        <v>86.4</v>
      </c>
      <c r="Q84" s="120">
        <f t="shared" si="71"/>
        <v>86.4</v>
      </c>
      <c r="R84" s="120">
        <f t="shared" si="71"/>
        <v>86.4</v>
      </c>
      <c r="S84" s="120">
        <f t="shared" si="71"/>
        <v>86.4</v>
      </c>
      <c r="T84" s="120">
        <f t="shared" si="71"/>
        <v>86.4</v>
      </c>
      <c r="U84" s="120">
        <f t="shared" si="71"/>
        <v>86.4</v>
      </c>
      <c r="V84" s="120">
        <f t="shared" si="71"/>
        <v>86.4</v>
      </c>
      <c r="W84" s="120">
        <f t="shared" si="71"/>
        <v>86.4</v>
      </c>
      <c r="X84" s="120">
        <f t="shared" si="71"/>
        <v>86.4</v>
      </c>
      <c r="Y84" s="120">
        <f t="shared" si="71"/>
        <v>86.4</v>
      </c>
      <c r="Z84" s="120">
        <f t="shared" si="71"/>
        <v>86.4</v>
      </c>
      <c r="AA84" s="120">
        <f t="shared" si="71"/>
        <v>86.4</v>
      </c>
      <c r="AB84" s="122">
        <f t="shared" si="73"/>
        <v>1036.8</v>
      </c>
    </row>
    <row r="85" spans="2:33" ht="20" customHeight="1">
      <c r="B85" s="125" t="s">
        <v>22</v>
      </c>
      <c r="C85" s="126">
        <f>SUM(C86:C89)</f>
        <v>350</v>
      </c>
      <c r="D85" s="126">
        <f t="shared" ref="D85:N85" si="74">SUM(D86:D89)</f>
        <v>350</v>
      </c>
      <c r="E85" s="126">
        <f t="shared" si="74"/>
        <v>350</v>
      </c>
      <c r="F85" s="126">
        <f t="shared" si="74"/>
        <v>350</v>
      </c>
      <c r="G85" s="126">
        <f t="shared" si="74"/>
        <v>350</v>
      </c>
      <c r="H85" s="126">
        <f t="shared" si="74"/>
        <v>350</v>
      </c>
      <c r="I85" s="126">
        <f t="shared" si="74"/>
        <v>350</v>
      </c>
      <c r="J85" s="126">
        <f t="shared" si="74"/>
        <v>350</v>
      </c>
      <c r="K85" s="126">
        <f t="shared" si="74"/>
        <v>350</v>
      </c>
      <c r="L85" s="126">
        <f t="shared" si="74"/>
        <v>350</v>
      </c>
      <c r="M85" s="126">
        <f t="shared" si="74"/>
        <v>350</v>
      </c>
      <c r="N85" s="126">
        <f t="shared" si="74"/>
        <v>350</v>
      </c>
      <c r="O85" s="126">
        <f>SUM(C85:N85)</f>
        <v>4200</v>
      </c>
      <c r="P85" s="126">
        <f>SUM(P86:P89)</f>
        <v>378</v>
      </c>
      <c r="Q85" s="126">
        <f t="shared" ref="Q85" si="75">SUM(Q86:Q89)</f>
        <v>378</v>
      </c>
      <c r="R85" s="126">
        <f t="shared" ref="R85" si="76">SUM(R86:R89)</f>
        <v>378</v>
      </c>
      <c r="S85" s="126">
        <f t="shared" ref="S85" si="77">SUM(S86:S89)</f>
        <v>378</v>
      </c>
      <c r="T85" s="126">
        <f t="shared" ref="T85" si="78">SUM(T86:T89)</f>
        <v>378</v>
      </c>
      <c r="U85" s="126">
        <f t="shared" ref="U85" si="79">SUM(U86:U89)</f>
        <v>378</v>
      </c>
      <c r="V85" s="126">
        <f t="shared" ref="V85" si="80">SUM(V86:V89)</f>
        <v>378</v>
      </c>
      <c r="W85" s="126">
        <f t="shared" ref="W85" si="81">SUM(W86:W89)</f>
        <v>378</v>
      </c>
      <c r="X85" s="126">
        <f t="shared" ref="X85" si="82">SUM(X86:X89)</f>
        <v>378</v>
      </c>
      <c r="Y85" s="126">
        <f t="shared" ref="Y85" si="83">SUM(Y86:Y89)</f>
        <v>378</v>
      </c>
      <c r="Z85" s="126">
        <f t="shared" ref="Z85" si="84">SUM(Z86:Z89)</f>
        <v>378</v>
      </c>
      <c r="AA85" s="126">
        <f t="shared" ref="AA85" si="85">SUM(AA86:AA89)</f>
        <v>378</v>
      </c>
      <c r="AB85" s="126">
        <f>SUM(P85:AA85)</f>
        <v>4536</v>
      </c>
    </row>
    <row r="86" spans="2:33" ht="20" customHeight="1" outlineLevel="1">
      <c r="B86" s="117" t="s">
        <v>65</v>
      </c>
      <c r="C86" s="118">
        <f>Аналитика!$E$26</f>
        <v>100</v>
      </c>
      <c r="D86" s="118">
        <f>C86</f>
        <v>100</v>
      </c>
      <c r="E86" s="118">
        <f t="shared" ref="E86:N86" si="86">D86</f>
        <v>100</v>
      </c>
      <c r="F86" s="118">
        <f t="shared" si="86"/>
        <v>100</v>
      </c>
      <c r="G86" s="118">
        <f t="shared" si="86"/>
        <v>100</v>
      </c>
      <c r="H86" s="118">
        <f t="shared" si="86"/>
        <v>100</v>
      </c>
      <c r="I86" s="118">
        <f t="shared" si="86"/>
        <v>100</v>
      </c>
      <c r="J86" s="118">
        <f t="shared" si="86"/>
        <v>100</v>
      </c>
      <c r="K86" s="118">
        <f t="shared" si="86"/>
        <v>100</v>
      </c>
      <c r="L86" s="118">
        <f t="shared" si="86"/>
        <v>100</v>
      </c>
      <c r="M86" s="118">
        <f t="shared" si="86"/>
        <v>100</v>
      </c>
      <c r="N86" s="118">
        <f t="shared" si="86"/>
        <v>100</v>
      </c>
      <c r="O86" s="65">
        <f t="shared" ref="O86:O90" si="87">SUM(C86:N86)</f>
        <v>1200</v>
      </c>
      <c r="P86" s="118">
        <f>N86*(1+Аналитика!$M$3)</f>
        <v>108</v>
      </c>
      <c r="Q86" s="118">
        <f>P86</f>
        <v>108</v>
      </c>
      <c r="R86" s="118">
        <f t="shared" ref="R86:AA86" si="88">Q86</f>
        <v>108</v>
      </c>
      <c r="S86" s="118">
        <f t="shared" si="88"/>
        <v>108</v>
      </c>
      <c r="T86" s="118">
        <f t="shared" si="88"/>
        <v>108</v>
      </c>
      <c r="U86" s="118">
        <f t="shared" si="88"/>
        <v>108</v>
      </c>
      <c r="V86" s="118">
        <f t="shared" si="88"/>
        <v>108</v>
      </c>
      <c r="W86" s="118">
        <f t="shared" si="88"/>
        <v>108</v>
      </c>
      <c r="X86" s="118">
        <f t="shared" si="88"/>
        <v>108</v>
      </c>
      <c r="Y86" s="118">
        <f t="shared" si="88"/>
        <v>108</v>
      </c>
      <c r="Z86" s="118">
        <f t="shared" si="88"/>
        <v>108</v>
      </c>
      <c r="AA86" s="118">
        <f t="shared" si="88"/>
        <v>108</v>
      </c>
      <c r="AB86" s="66">
        <f t="shared" ref="AB86:AB90" si="89">SUM(P86:AA86)</f>
        <v>1296</v>
      </c>
    </row>
    <row r="87" spans="2:33" ht="20" customHeight="1" outlineLevel="1">
      <c r="B87" s="147" t="s">
        <v>70</v>
      </c>
      <c r="C87" s="86">
        <f>Аналитика!$E$27</f>
        <v>100</v>
      </c>
      <c r="D87" s="86">
        <f t="shared" ref="D87:N90" si="90">C87</f>
        <v>100</v>
      </c>
      <c r="E87" s="86">
        <f t="shared" si="90"/>
        <v>100</v>
      </c>
      <c r="F87" s="86">
        <f t="shared" si="90"/>
        <v>100</v>
      </c>
      <c r="G87" s="86">
        <f t="shared" si="90"/>
        <v>100</v>
      </c>
      <c r="H87" s="86">
        <f t="shared" si="90"/>
        <v>100</v>
      </c>
      <c r="I87" s="86">
        <f t="shared" si="90"/>
        <v>100</v>
      </c>
      <c r="J87" s="86">
        <f t="shared" si="90"/>
        <v>100</v>
      </c>
      <c r="K87" s="86">
        <f t="shared" si="90"/>
        <v>100</v>
      </c>
      <c r="L87" s="86">
        <f t="shared" si="90"/>
        <v>100</v>
      </c>
      <c r="M87" s="86">
        <f t="shared" si="90"/>
        <v>100</v>
      </c>
      <c r="N87" s="86">
        <f t="shared" si="90"/>
        <v>100</v>
      </c>
      <c r="O87" s="76">
        <f t="shared" si="87"/>
        <v>1200</v>
      </c>
      <c r="P87" s="86">
        <f>N87*(1+Аналитика!$M$3)</f>
        <v>108</v>
      </c>
      <c r="Q87" s="86">
        <f t="shared" ref="Q87:AA90" si="91">P87</f>
        <v>108</v>
      </c>
      <c r="R87" s="86">
        <f t="shared" si="91"/>
        <v>108</v>
      </c>
      <c r="S87" s="86">
        <f t="shared" si="91"/>
        <v>108</v>
      </c>
      <c r="T87" s="86">
        <f t="shared" si="91"/>
        <v>108</v>
      </c>
      <c r="U87" s="86">
        <f t="shared" si="91"/>
        <v>108</v>
      </c>
      <c r="V87" s="86">
        <f t="shared" si="91"/>
        <v>108</v>
      </c>
      <c r="W87" s="86">
        <f t="shared" si="91"/>
        <v>108</v>
      </c>
      <c r="X87" s="86">
        <f t="shared" si="91"/>
        <v>108</v>
      </c>
      <c r="Y87" s="86">
        <f t="shared" si="91"/>
        <v>108</v>
      </c>
      <c r="Z87" s="86">
        <f t="shared" si="91"/>
        <v>108</v>
      </c>
      <c r="AA87" s="86">
        <f t="shared" si="91"/>
        <v>108</v>
      </c>
      <c r="AB87" s="77">
        <f t="shared" si="89"/>
        <v>1296</v>
      </c>
    </row>
    <row r="88" spans="2:33" ht="20" customHeight="1" outlineLevel="1">
      <c r="B88" s="147" t="s">
        <v>67</v>
      </c>
      <c r="C88" s="86">
        <f>Аналитика!$E$28</f>
        <v>70</v>
      </c>
      <c r="D88" s="86">
        <f t="shared" si="90"/>
        <v>70</v>
      </c>
      <c r="E88" s="86">
        <f t="shared" si="90"/>
        <v>70</v>
      </c>
      <c r="F88" s="86">
        <f t="shared" si="90"/>
        <v>70</v>
      </c>
      <c r="G88" s="86">
        <f t="shared" si="90"/>
        <v>70</v>
      </c>
      <c r="H88" s="86">
        <f t="shared" si="90"/>
        <v>70</v>
      </c>
      <c r="I88" s="86">
        <f t="shared" si="90"/>
        <v>70</v>
      </c>
      <c r="J88" s="86">
        <f t="shared" si="90"/>
        <v>70</v>
      </c>
      <c r="K88" s="86">
        <f t="shared" si="90"/>
        <v>70</v>
      </c>
      <c r="L88" s="86">
        <f t="shared" si="90"/>
        <v>70</v>
      </c>
      <c r="M88" s="86">
        <f t="shared" si="90"/>
        <v>70</v>
      </c>
      <c r="N88" s="86">
        <f t="shared" si="90"/>
        <v>70</v>
      </c>
      <c r="O88" s="76">
        <f t="shared" si="87"/>
        <v>840</v>
      </c>
      <c r="P88" s="86">
        <f>N88*(1+Аналитика!$M$3)</f>
        <v>75.600000000000009</v>
      </c>
      <c r="Q88" s="86">
        <f t="shared" si="91"/>
        <v>75.600000000000009</v>
      </c>
      <c r="R88" s="86">
        <f t="shared" si="91"/>
        <v>75.600000000000009</v>
      </c>
      <c r="S88" s="86">
        <f t="shared" si="91"/>
        <v>75.600000000000009</v>
      </c>
      <c r="T88" s="86">
        <f t="shared" si="91"/>
        <v>75.600000000000009</v>
      </c>
      <c r="U88" s="86">
        <f t="shared" si="91"/>
        <v>75.600000000000009</v>
      </c>
      <c r="V88" s="86">
        <f t="shared" si="91"/>
        <v>75.600000000000009</v>
      </c>
      <c r="W88" s="86">
        <f t="shared" si="91"/>
        <v>75.600000000000009</v>
      </c>
      <c r="X88" s="86">
        <f t="shared" si="91"/>
        <v>75.600000000000009</v>
      </c>
      <c r="Y88" s="86">
        <f t="shared" si="91"/>
        <v>75.600000000000009</v>
      </c>
      <c r="Z88" s="86">
        <f t="shared" si="91"/>
        <v>75.600000000000009</v>
      </c>
      <c r="AA88" s="86">
        <f t="shared" si="91"/>
        <v>75.600000000000009</v>
      </c>
      <c r="AB88" s="77">
        <f t="shared" si="89"/>
        <v>907.20000000000016</v>
      </c>
    </row>
    <row r="89" spans="2:33" ht="20" customHeight="1" outlineLevel="1">
      <c r="B89" s="119" t="s">
        <v>69</v>
      </c>
      <c r="C89" s="120">
        <f>Аналитика!$E$29</f>
        <v>80</v>
      </c>
      <c r="D89" s="120">
        <f t="shared" si="90"/>
        <v>80</v>
      </c>
      <c r="E89" s="120">
        <f t="shared" si="90"/>
        <v>80</v>
      </c>
      <c r="F89" s="120">
        <f t="shared" si="90"/>
        <v>80</v>
      </c>
      <c r="G89" s="120">
        <f t="shared" si="90"/>
        <v>80</v>
      </c>
      <c r="H89" s="120">
        <f t="shared" si="90"/>
        <v>80</v>
      </c>
      <c r="I89" s="120">
        <f t="shared" si="90"/>
        <v>80</v>
      </c>
      <c r="J89" s="120">
        <f t="shared" si="90"/>
        <v>80</v>
      </c>
      <c r="K89" s="120">
        <f t="shared" si="90"/>
        <v>80</v>
      </c>
      <c r="L89" s="120">
        <f t="shared" si="90"/>
        <v>80</v>
      </c>
      <c r="M89" s="120">
        <f t="shared" si="90"/>
        <v>80</v>
      </c>
      <c r="N89" s="120">
        <f t="shared" si="90"/>
        <v>80</v>
      </c>
      <c r="O89" s="121">
        <f t="shared" si="87"/>
        <v>960</v>
      </c>
      <c r="P89" s="120">
        <f>N89*(1+Аналитика!$M$3)</f>
        <v>86.4</v>
      </c>
      <c r="Q89" s="120">
        <f t="shared" si="91"/>
        <v>86.4</v>
      </c>
      <c r="R89" s="120">
        <f t="shared" si="91"/>
        <v>86.4</v>
      </c>
      <c r="S89" s="120">
        <f t="shared" si="91"/>
        <v>86.4</v>
      </c>
      <c r="T89" s="120">
        <f t="shared" si="91"/>
        <v>86.4</v>
      </c>
      <c r="U89" s="120">
        <f t="shared" si="91"/>
        <v>86.4</v>
      </c>
      <c r="V89" s="120">
        <f t="shared" si="91"/>
        <v>86.4</v>
      </c>
      <c r="W89" s="120">
        <f t="shared" si="91"/>
        <v>86.4</v>
      </c>
      <c r="X89" s="120">
        <f t="shared" si="91"/>
        <v>86.4</v>
      </c>
      <c r="Y89" s="120">
        <f t="shared" si="91"/>
        <v>86.4</v>
      </c>
      <c r="Z89" s="120">
        <f t="shared" si="91"/>
        <v>86.4</v>
      </c>
      <c r="AA89" s="120">
        <f t="shared" si="91"/>
        <v>86.4</v>
      </c>
      <c r="AB89" s="122">
        <f t="shared" si="89"/>
        <v>1036.8</v>
      </c>
    </row>
    <row r="90" spans="2:33" ht="20" customHeight="1">
      <c r="B90" s="125" t="s">
        <v>71</v>
      </c>
      <c r="C90" s="126">
        <f>Аналитика!$E$31</f>
        <v>40</v>
      </c>
      <c r="D90" s="126">
        <f t="shared" si="90"/>
        <v>40</v>
      </c>
      <c r="E90" s="126">
        <f t="shared" si="90"/>
        <v>40</v>
      </c>
      <c r="F90" s="126">
        <f t="shared" si="90"/>
        <v>40</v>
      </c>
      <c r="G90" s="126">
        <f t="shared" si="90"/>
        <v>40</v>
      </c>
      <c r="H90" s="126">
        <f t="shared" si="90"/>
        <v>40</v>
      </c>
      <c r="I90" s="126">
        <f t="shared" si="90"/>
        <v>40</v>
      </c>
      <c r="J90" s="126">
        <f t="shared" si="90"/>
        <v>40</v>
      </c>
      <c r="K90" s="126">
        <f t="shared" si="90"/>
        <v>40</v>
      </c>
      <c r="L90" s="126">
        <f t="shared" si="90"/>
        <v>40</v>
      </c>
      <c r="M90" s="126">
        <f t="shared" si="90"/>
        <v>40</v>
      </c>
      <c r="N90" s="126">
        <f t="shared" si="90"/>
        <v>40</v>
      </c>
      <c r="O90" s="126">
        <f t="shared" si="87"/>
        <v>480</v>
      </c>
      <c r="P90" s="126">
        <f>N90*(1+Аналитика!$M$3)</f>
        <v>43.2</v>
      </c>
      <c r="Q90" s="126">
        <f t="shared" si="91"/>
        <v>43.2</v>
      </c>
      <c r="R90" s="126">
        <f t="shared" si="91"/>
        <v>43.2</v>
      </c>
      <c r="S90" s="126">
        <f t="shared" si="91"/>
        <v>43.2</v>
      </c>
      <c r="T90" s="126">
        <f t="shared" si="91"/>
        <v>43.2</v>
      </c>
      <c r="U90" s="126">
        <f t="shared" si="91"/>
        <v>43.2</v>
      </c>
      <c r="V90" s="126">
        <f t="shared" si="91"/>
        <v>43.2</v>
      </c>
      <c r="W90" s="126">
        <f t="shared" si="91"/>
        <v>43.2</v>
      </c>
      <c r="X90" s="126">
        <f t="shared" si="91"/>
        <v>43.2</v>
      </c>
      <c r="Y90" s="126">
        <f t="shared" si="91"/>
        <v>43.2</v>
      </c>
      <c r="Z90" s="126">
        <f t="shared" si="91"/>
        <v>43.2</v>
      </c>
      <c r="AA90" s="126">
        <f t="shared" si="91"/>
        <v>43.2</v>
      </c>
      <c r="AB90" s="126">
        <f t="shared" si="89"/>
        <v>518.4</v>
      </c>
    </row>
    <row r="91" spans="2:33" ht="20" customHeight="1"/>
    <row r="92" spans="2:33" s="235" customFormat="1" ht="20" customHeight="1">
      <c r="B92" s="233" t="s">
        <v>174</v>
      </c>
      <c r="C92" s="233"/>
      <c r="D92" s="233"/>
      <c r="E92" s="233"/>
      <c r="F92" s="233"/>
      <c r="G92" s="234"/>
      <c r="H92" s="234"/>
      <c r="I92" s="234"/>
      <c r="J92" s="234"/>
      <c r="K92" s="234"/>
      <c r="L92" s="234"/>
      <c r="M92" s="234"/>
      <c r="N92" s="234"/>
      <c r="O92" s="234"/>
      <c r="P92" s="234"/>
      <c r="Q92" s="234"/>
      <c r="R92" s="234"/>
      <c r="S92" s="234"/>
      <c r="T92" s="234"/>
      <c r="U92" s="234"/>
      <c r="V92" s="234"/>
      <c r="W92" s="234"/>
      <c r="X92" s="234"/>
      <c r="Y92" s="234"/>
      <c r="Z92" s="234"/>
      <c r="AA92" s="234"/>
      <c r="AB92" s="234"/>
      <c r="AF92" s="236"/>
      <c r="AG92" s="237"/>
    </row>
    <row r="93" spans="2:33" ht="20" customHeight="1" thickBot="1">
      <c r="B93" s="113"/>
      <c r="C93" s="153" t="s">
        <v>186</v>
      </c>
      <c r="D93" s="153" t="s">
        <v>187</v>
      </c>
      <c r="E93" s="153" t="s">
        <v>188</v>
      </c>
      <c r="F93" s="153" t="s">
        <v>189</v>
      </c>
      <c r="G93" s="249">
        <v>46143</v>
      </c>
      <c r="H93" s="153" t="s">
        <v>190</v>
      </c>
      <c r="I93" s="153" t="s">
        <v>191</v>
      </c>
      <c r="J93" s="153" t="s">
        <v>192</v>
      </c>
      <c r="K93" s="153" t="s">
        <v>193</v>
      </c>
      <c r="L93" s="153" t="s">
        <v>194</v>
      </c>
      <c r="M93" s="153" t="s">
        <v>195</v>
      </c>
      <c r="N93" s="153" t="s">
        <v>196</v>
      </c>
      <c r="O93" s="250">
        <v>2026</v>
      </c>
      <c r="P93" s="153" t="s">
        <v>202</v>
      </c>
      <c r="Q93" s="153" t="s">
        <v>203</v>
      </c>
      <c r="R93" s="153" t="s">
        <v>204</v>
      </c>
      <c r="S93" s="153" t="s">
        <v>205</v>
      </c>
      <c r="T93" s="249">
        <v>46508</v>
      </c>
      <c r="U93" s="153" t="s">
        <v>206</v>
      </c>
      <c r="V93" s="153" t="s">
        <v>207</v>
      </c>
      <c r="W93" s="153" t="s">
        <v>208</v>
      </c>
      <c r="X93" s="153" t="s">
        <v>209</v>
      </c>
      <c r="Y93" s="153" t="s">
        <v>210</v>
      </c>
      <c r="Z93" s="153" t="s">
        <v>211</v>
      </c>
      <c r="AA93" s="153" t="s">
        <v>212</v>
      </c>
      <c r="AB93" s="250">
        <v>2027</v>
      </c>
    </row>
    <row r="94" spans="2:33" ht="10.25" customHeight="1">
      <c r="B94" s="123"/>
      <c r="C94" s="123"/>
      <c r="D94" s="123"/>
      <c r="E94" s="123"/>
      <c r="F94" s="123"/>
      <c r="G94" s="123"/>
      <c r="H94" s="123"/>
      <c r="I94" s="123"/>
      <c r="J94" s="123"/>
      <c r="K94" s="123"/>
      <c r="L94" s="123"/>
      <c r="M94" s="123"/>
      <c r="N94" s="123"/>
      <c r="O94" s="123"/>
      <c r="P94" s="123"/>
      <c r="Q94" s="123"/>
      <c r="R94" s="123"/>
      <c r="S94" s="123"/>
      <c r="T94" s="123"/>
      <c r="U94" s="123"/>
      <c r="V94" s="123"/>
      <c r="W94" s="123"/>
      <c r="X94" s="123"/>
      <c r="Y94" s="123"/>
      <c r="Z94" s="123"/>
      <c r="AA94" s="123"/>
      <c r="AB94" s="123"/>
    </row>
    <row r="95" spans="2:33" ht="20" customHeight="1">
      <c r="B95" s="125" t="s">
        <v>21</v>
      </c>
      <c r="C95" s="126">
        <f t="shared" ref="C95:AB95" si="92">SUM(C96:C100)</f>
        <v>5</v>
      </c>
      <c r="D95" s="126">
        <f t="shared" si="92"/>
        <v>5</v>
      </c>
      <c r="E95" s="126">
        <f t="shared" si="92"/>
        <v>5</v>
      </c>
      <c r="F95" s="126">
        <f t="shared" si="92"/>
        <v>5</v>
      </c>
      <c r="G95" s="126">
        <f t="shared" si="92"/>
        <v>5</v>
      </c>
      <c r="H95" s="126">
        <f t="shared" si="92"/>
        <v>5</v>
      </c>
      <c r="I95" s="126">
        <f t="shared" si="92"/>
        <v>5</v>
      </c>
      <c r="J95" s="126">
        <f t="shared" si="92"/>
        <v>5</v>
      </c>
      <c r="K95" s="126">
        <f t="shared" si="92"/>
        <v>5</v>
      </c>
      <c r="L95" s="126">
        <f t="shared" si="92"/>
        <v>5</v>
      </c>
      <c r="M95" s="126">
        <f t="shared" si="92"/>
        <v>5</v>
      </c>
      <c r="N95" s="126">
        <f t="shared" si="92"/>
        <v>5</v>
      </c>
      <c r="O95" s="126">
        <f t="shared" si="92"/>
        <v>5</v>
      </c>
      <c r="P95" s="126">
        <f t="shared" si="92"/>
        <v>5</v>
      </c>
      <c r="Q95" s="126">
        <f t="shared" si="92"/>
        <v>5</v>
      </c>
      <c r="R95" s="126">
        <f t="shared" si="92"/>
        <v>5</v>
      </c>
      <c r="S95" s="126">
        <f t="shared" si="92"/>
        <v>5</v>
      </c>
      <c r="T95" s="126">
        <f t="shared" si="92"/>
        <v>5</v>
      </c>
      <c r="U95" s="126">
        <f t="shared" si="92"/>
        <v>5</v>
      </c>
      <c r="V95" s="126">
        <f t="shared" si="92"/>
        <v>5</v>
      </c>
      <c r="W95" s="126">
        <f t="shared" si="92"/>
        <v>5</v>
      </c>
      <c r="X95" s="126">
        <f t="shared" si="92"/>
        <v>5</v>
      </c>
      <c r="Y95" s="126">
        <f t="shared" si="92"/>
        <v>5</v>
      </c>
      <c r="Z95" s="126">
        <f t="shared" si="92"/>
        <v>5</v>
      </c>
      <c r="AA95" s="126">
        <f t="shared" si="92"/>
        <v>5</v>
      </c>
      <c r="AB95" s="126">
        <f t="shared" si="92"/>
        <v>5</v>
      </c>
    </row>
    <row r="96" spans="2:33" ht="20" customHeight="1" outlineLevel="1">
      <c r="B96" s="117" t="s">
        <v>65</v>
      </c>
      <c r="C96" s="118">
        <v>1</v>
      </c>
      <c r="D96" s="118">
        <f>C96</f>
        <v>1</v>
      </c>
      <c r="E96" s="118">
        <f t="shared" ref="E96:N96" si="93">D96</f>
        <v>1</v>
      </c>
      <c r="F96" s="118">
        <f t="shared" si="93"/>
        <v>1</v>
      </c>
      <c r="G96" s="118">
        <f t="shared" si="93"/>
        <v>1</v>
      </c>
      <c r="H96" s="118">
        <f t="shared" si="93"/>
        <v>1</v>
      </c>
      <c r="I96" s="118">
        <f t="shared" si="93"/>
        <v>1</v>
      </c>
      <c r="J96" s="118">
        <f t="shared" si="93"/>
        <v>1</v>
      </c>
      <c r="K96" s="118">
        <f t="shared" si="93"/>
        <v>1</v>
      </c>
      <c r="L96" s="118">
        <f t="shared" si="93"/>
        <v>1</v>
      </c>
      <c r="M96" s="118">
        <f t="shared" si="93"/>
        <v>1</v>
      </c>
      <c r="N96" s="118">
        <f t="shared" si="93"/>
        <v>1</v>
      </c>
      <c r="O96" s="65">
        <f>N96</f>
        <v>1</v>
      </c>
      <c r="P96" s="118">
        <v>1</v>
      </c>
      <c r="Q96" s="118">
        <f>P96</f>
        <v>1</v>
      </c>
      <c r="R96" s="118">
        <f t="shared" ref="R96:AA96" si="94">Q96</f>
        <v>1</v>
      </c>
      <c r="S96" s="118">
        <f t="shared" si="94"/>
        <v>1</v>
      </c>
      <c r="T96" s="118">
        <f t="shared" si="94"/>
        <v>1</v>
      </c>
      <c r="U96" s="118">
        <f t="shared" si="94"/>
        <v>1</v>
      </c>
      <c r="V96" s="118">
        <f t="shared" si="94"/>
        <v>1</v>
      </c>
      <c r="W96" s="118">
        <f t="shared" si="94"/>
        <v>1</v>
      </c>
      <c r="X96" s="118">
        <f t="shared" si="94"/>
        <v>1</v>
      </c>
      <c r="Y96" s="118">
        <f t="shared" si="94"/>
        <v>1</v>
      </c>
      <c r="Z96" s="118">
        <f t="shared" si="94"/>
        <v>1</v>
      </c>
      <c r="AA96" s="118">
        <f t="shared" si="94"/>
        <v>1</v>
      </c>
      <c r="AB96" s="66">
        <f>AA96</f>
        <v>1</v>
      </c>
    </row>
    <row r="97" spans="2:32" ht="20" customHeight="1" outlineLevel="1">
      <c r="B97" s="147" t="s">
        <v>66</v>
      </c>
      <c r="C97" s="86">
        <v>1</v>
      </c>
      <c r="D97" s="86">
        <f t="shared" ref="D97:O97" si="95">C97</f>
        <v>1</v>
      </c>
      <c r="E97" s="86">
        <f t="shared" si="95"/>
        <v>1</v>
      </c>
      <c r="F97" s="86">
        <f t="shared" si="95"/>
        <v>1</v>
      </c>
      <c r="G97" s="86">
        <f t="shared" si="95"/>
        <v>1</v>
      </c>
      <c r="H97" s="86">
        <f t="shared" si="95"/>
        <v>1</v>
      </c>
      <c r="I97" s="86">
        <f t="shared" si="95"/>
        <v>1</v>
      </c>
      <c r="J97" s="86">
        <f t="shared" si="95"/>
        <v>1</v>
      </c>
      <c r="K97" s="86">
        <f t="shared" si="95"/>
        <v>1</v>
      </c>
      <c r="L97" s="86">
        <f t="shared" si="95"/>
        <v>1</v>
      </c>
      <c r="M97" s="86">
        <f t="shared" si="95"/>
        <v>1</v>
      </c>
      <c r="N97" s="86">
        <f t="shared" si="95"/>
        <v>1</v>
      </c>
      <c r="O97" s="76">
        <f t="shared" si="95"/>
        <v>1</v>
      </c>
      <c r="P97" s="86">
        <v>1</v>
      </c>
      <c r="Q97" s="86">
        <f t="shared" ref="Q97:AB97" si="96">P97</f>
        <v>1</v>
      </c>
      <c r="R97" s="86">
        <f t="shared" si="96"/>
        <v>1</v>
      </c>
      <c r="S97" s="86">
        <f t="shared" si="96"/>
        <v>1</v>
      </c>
      <c r="T97" s="86">
        <f t="shared" si="96"/>
        <v>1</v>
      </c>
      <c r="U97" s="86">
        <f t="shared" si="96"/>
        <v>1</v>
      </c>
      <c r="V97" s="86">
        <f t="shared" si="96"/>
        <v>1</v>
      </c>
      <c r="W97" s="86">
        <f t="shared" si="96"/>
        <v>1</v>
      </c>
      <c r="X97" s="86">
        <f t="shared" si="96"/>
        <v>1</v>
      </c>
      <c r="Y97" s="86">
        <f t="shared" si="96"/>
        <v>1</v>
      </c>
      <c r="Z97" s="86">
        <f t="shared" si="96"/>
        <v>1</v>
      </c>
      <c r="AA97" s="86">
        <f t="shared" si="96"/>
        <v>1</v>
      </c>
      <c r="AB97" s="77">
        <f t="shared" si="96"/>
        <v>1</v>
      </c>
    </row>
    <row r="98" spans="2:32" ht="20" customHeight="1" outlineLevel="1">
      <c r="B98" s="147" t="s">
        <v>67</v>
      </c>
      <c r="C98" s="86">
        <v>1</v>
      </c>
      <c r="D98" s="86">
        <f t="shared" ref="D98:O98" si="97">C98</f>
        <v>1</v>
      </c>
      <c r="E98" s="86">
        <f t="shared" si="97"/>
        <v>1</v>
      </c>
      <c r="F98" s="86">
        <f t="shared" si="97"/>
        <v>1</v>
      </c>
      <c r="G98" s="86">
        <f t="shared" si="97"/>
        <v>1</v>
      </c>
      <c r="H98" s="86">
        <f t="shared" si="97"/>
        <v>1</v>
      </c>
      <c r="I98" s="86">
        <f t="shared" si="97"/>
        <v>1</v>
      </c>
      <c r="J98" s="86">
        <f t="shared" si="97"/>
        <v>1</v>
      </c>
      <c r="K98" s="86">
        <f t="shared" si="97"/>
        <v>1</v>
      </c>
      <c r="L98" s="86">
        <f t="shared" si="97"/>
        <v>1</v>
      </c>
      <c r="M98" s="86">
        <f t="shared" si="97"/>
        <v>1</v>
      </c>
      <c r="N98" s="86">
        <f t="shared" si="97"/>
        <v>1</v>
      </c>
      <c r="O98" s="76">
        <f t="shared" si="97"/>
        <v>1</v>
      </c>
      <c r="P98" s="86">
        <v>1</v>
      </c>
      <c r="Q98" s="86">
        <f t="shared" ref="Q98:AB98" si="98">P98</f>
        <v>1</v>
      </c>
      <c r="R98" s="86">
        <f t="shared" si="98"/>
        <v>1</v>
      </c>
      <c r="S98" s="86">
        <f t="shared" si="98"/>
        <v>1</v>
      </c>
      <c r="T98" s="86">
        <f t="shared" si="98"/>
        <v>1</v>
      </c>
      <c r="U98" s="86">
        <f t="shared" si="98"/>
        <v>1</v>
      </c>
      <c r="V98" s="86">
        <f t="shared" si="98"/>
        <v>1</v>
      </c>
      <c r="W98" s="86">
        <f t="shared" si="98"/>
        <v>1</v>
      </c>
      <c r="X98" s="86">
        <f t="shared" si="98"/>
        <v>1</v>
      </c>
      <c r="Y98" s="86">
        <f t="shared" si="98"/>
        <v>1</v>
      </c>
      <c r="Z98" s="86">
        <f t="shared" si="98"/>
        <v>1</v>
      </c>
      <c r="AA98" s="86">
        <f t="shared" si="98"/>
        <v>1</v>
      </c>
      <c r="AB98" s="77">
        <f t="shared" si="98"/>
        <v>1</v>
      </c>
    </row>
    <row r="99" spans="2:32" ht="20" customHeight="1" outlineLevel="1">
      <c r="B99" s="147" t="s">
        <v>68</v>
      </c>
      <c r="C99" s="86">
        <v>1</v>
      </c>
      <c r="D99" s="86">
        <f t="shared" ref="D99:O99" si="99">C99</f>
        <v>1</v>
      </c>
      <c r="E99" s="86">
        <f t="shared" si="99"/>
        <v>1</v>
      </c>
      <c r="F99" s="86">
        <f t="shared" si="99"/>
        <v>1</v>
      </c>
      <c r="G99" s="86">
        <f t="shared" si="99"/>
        <v>1</v>
      </c>
      <c r="H99" s="86">
        <f t="shared" si="99"/>
        <v>1</v>
      </c>
      <c r="I99" s="86">
        <f t="shared" si="99"/>
        <v>1</v>
      </c>
      <c r="J99" s="86">
        <f t="shared" si="99"/>
        <v>1</v>
      </c>
      <c r="K99" s="86">
        <f t="shared" si="99"/>
        <v>1</v>
      </c>
      <c r="L99" s="86">
        <f t="shared" si="99"/>
        <v>1</v>
      </c>
      <c r="M99" s="86">
        <f t="shared" si="99"/>
        <v>1</v>
      </c>
      <c r="N99" s="86">
        <f t="shared" si="99"/>
        <v>1</v>
      </c>
      <c r="O99" s="76">
        <f t="shared" si="99"/>
        <v>1</v>
      </c>
      <c r="P99" s="86">
        <v>1</v>
      </c>
      <c r="Q99" s="86">
        <f t="shared" ref="Q99:AB99" si="100">P99</f>
        <v>1</v>
      </c>
      <c r="R99" s="86">
        <f t="shared" si="100"/>
        <v>1</v>
      </c>
      <c r="S99" s="86">
        <f t="shared" si="100"/>
        <v>1</v>
      </c>
      <c r="T99" s="86">
        <f t="shared" si="100"/>
        <v>1</v>
      </c>
      <c r="U99" s="86">
        <f t="shared" si="100"/>
        <v>1</v>
      </c>
      <c r="V99" s="86">
        <f t="shared" si="100"/>
        <v>1</v>
      </c>
      <c r="W99" s="86">
        <f t="shared" si="100"/>
        <v>1</v>
      </c>
      <c r="X99" s="86">
        <f t="shared" si="100"/>
        <v>1</v>
      </c>
      <c r="Y99" s="86">
        <f t="shared" si="100"/>
        <v>1</v>
      </c>
      <c r="Z99" s="86">
        <f t="shared" si="100"/>
        <v>1</v>
      </c>
      <c r="AA99" s="86">
        <f t="shared" si="100"/>
        <v>1</v>
      </c>
      <c r="AB99" s="77">
        <f t="shared" si="100"/>
        <v>1</v>
      </c>
    </row>
    <row r="100" spans="2:32" ht="20" customHeight="1" outlineLevel="1">
      <c r="B100" s="119" t="s">
        <v>69</v>
      </c>
      <c r="C100" s="120">
        <v>1</v>
      </c>
      <c r="D100" s="120">
        <f t="shared" ref="D100:O100" si="101">C100</f>
        <v>1</v>
      </c>
      <c r="E100" s="120">
        <f t="shared" si="101"/>
        <v>1</v>
      </c>
      <c r="F100" s="120">
        <f t="shared" si="101"/>
        <v>1</v>
      </c>
      <c r="G100" s="120">
        <f t="shared" si="101"/>
        <v>1</v>
      </c>
      <c r="H100" s="120">
        <f t="shared" si="101"/>
        <v>1</v>
      </c>
      <c r="I100" s="120">
        <f t="shared" si="101"/>
        <v>1</v>
      </c>
      <c r="J100" s="120">
        <f t="shared" si="101"/>
        <v>1</v>
      </c>
      <c r="K100" s="120">
        <f t="shared" si="101"/>
        <v>1</v>
      </c>
      <c r="L100" s="120">
        <f t="shared" si="101"/>
        <v>1</v>
      </c>
      <c r="M100" s="120">
        <f t="shared" si="101"/>
        <v>1</v>
      </c>
      <c r="N100" s="120">
        <f t="shared" si="101"/>
        <v>1</v>
      </c>
      <c r="O100" s="121">
        <f t="shared" si="101"/>
        <v>1</v>
      </c>
      <c r="P100" s="120">
        <v>1</v>
      </c>
      <c r="Q100" s="120">
        <f t="shared" ref="Q100:AB100" si="102">P100</f>
        <v>1</v>
      </c>
      <c r="R100" s="120">
        <f t="shared" si="102"/>
        <v>1</v>
      </c>
      <c r="S100" s="120">
        <f t="shared" si="102"/>
        <v>1</v>
      </c>
      <c r="T100" s="120">
        <f t="shared" si="102"/>
        <v>1</v>
      </c>
      <c r="U100" s="120">
        <f t="shared" si="102"/>
        <v>1</v>
      </c>
      <c r="V100" s="120">
        <f t="shared" si="102"/>
        <v>1</v>
      </c>
      <c r="W100" s="120">
        <f t="shared" si="102"/>
        <v>1</v>
      </c>
      <c r="X100" s="120">
        <f t="shared" si="102"/>
        <v>1</v>
      </c>
      <c r="Y100" s="120">
        <f t="shared" si="102"/>
        <v>1</v>
      </c>
      <c r="Z100" s="120">
        <f t="shared" si="102"/>
        <v>1</v>
      </c>
      <c r="AA100" s="120">
        <f t="shared" si="102"/>
        <v>1</v>
      </c>
      <c r="AB100" s="122">
        <f t="shared" si="102"/>
        <v>1</v>
      </c>
    </row>
    <row r="101" spans="2:32" ht="20" customHeight="1">
      <c r="B101" s="125" t="s">
        <v>22</v>
      </c>
      <c r="C101" s="126">
        <f>SUM(C102:C105)</f>
        <v>4</v>
      </c>
      <c r="D101" s="126">
        <f t="shared" ref="D101:N101" si="103">SUM(D102:D105)</f>
        <v>5</v>
      </c>
      <c r="E101" s="126">
        <f t="shared" si="103"/>
        <v>5</v>
      </c>
      <c r="F101" s="126">
        <f t="shared" si="103"/>
        <v>6</v>
      </c>
      <c r="G101" s="126">
        <f t="shared" si="103"/>
        <v>7</v>
      </c>
      <c r="H101" s="126">
        <f t="shared" si="103"/>
        <v>8</v>
      </c>
      <c r="I101" s="126">
        <f t="shared" si="103"/>
        <v>8</v>
      </c>
      <c r="J101" s="126">
        <f t="shared" si="103"/>
        <v>9</v>
      </c>
      <c r="K101" s="126">
        <f t="shared" si="103"/>
        <v>10</v>
      </c>
      <c r="L101" s="126">
        <f t="shared" si="103"/>
        <v>11</v>
      </c>
      <c r="M101" s="126">
        <f t="shared" si="103"/>
        <v>11</v>
      </c>
      <c r="N101" s="126">
        <f t="shared" si="103"/>
        <v>12</v>
      </c>
      <c r="O101" s="126">
        <f t="shared" ref="O101" si="104">SUM(O102:O105)</f>
        <v>12</v>
      </c>
      <c r="P101" s="126">
        <f t="shared" ref="P101" si="105">SUM(P102:P105)</f>
        <v>12</v>
      </c>
      <c r="Q101" s="126">
        <f t="shared" ref="Q101" si="106">SUM(Q102:Q105)</f>
        <v>13</v>
      </c>
      <c r="R101" s="126">
        <f t="shared" ref="R101" si="107">SUM(R102:R105)</f>
        <v>13</v>
      </c>
      <c r="S101" s="126">
        <f t="shared" ref="S101" si="108">SUM(S102:S105)</f>
        <v>13</v>
      </c>
      <c r="T101" s="126">
        <f t="shared" ref="T101" si="109">SUM(T102:T105)</f>
        <v>13</v>
      </c>
      <c r="U101" s="126">
        <f t="shared" ref="U101" si="110">SUM(U102:U105)</f>
        <v>13</v>
      </c>
      <c r="V101" s="126">
        <f t="shared" ref="V101" si="111">SUM(V102:V105)</f>
        <v>14</v>
      </c>
      <c r="W101" s="126">
        <f t="shared" ref="W101" si="112">SUM(W102:W105)</f>
        <v>14</v>
      </c>
      <c r="X101" s="126">
        <f t="shared" ref="X101" si="113">SUM(X102:X105)</f>
        <v>14</v>
      </c>
      <c r="Y101" s="126">
        <f t="shared" ref="Y101" si="114">SUM(Y102:Y105)</f>
        <v>14</v>
      </c>
      <c r="Z101" s="126">
        <f t="shared" ref="Z101" si="115">SUM(Z102:Z105)</f>
        <v>14</v>
      </c>
      <c r="AA101" s="126">
        <f t="shared" ref="AA101" si="116">SUM(AA102:AA105)</f>
        <v>15</v>
      </c>
      <c r="AB101" s="126">
        <f t="shared" ref="AB101" si="117">SUM(AB102:AB105)</f>
        <v>15</v>
      </c>
    </row>
    <row r="102" spans="2:32" ht="20" customHeight="1" outlineLevel="1">
      <c r="B102" s="117" t="s">
        <v>65</v>
      </c>
      <c r="C102" s="118">
        <v>1</v>
      </c>
      <c r="D102" s="118">
        <f>C102</f>
        <v>1</v>
      </c>
      <c r="E102" s="118">
        <f t="shared" ref="E102:N102" si="118">D102</f>
        <v>1</v>
      </c>
      <c r="F102" s="118">
        <f t="shared" si="118"/>
        <v>1</v>
      </c>
      <c r="G102" s="118">
        <f t="shared" si="118"/>
        <v>1</v>
      </c>
      <c r="H102" s="118">
        <f t="shared" si="118"/>
        <v>1</v>
      </c>
      <c r="I102" s="118">
        <f t="shared" si="118"/>
        <v>1</v>
      </c>
      <c r="J102" s="118">
        <f t="shared" si="118"/>
        <v>1</v>
      </c>
      <c r="K102" s="118">
        <f t="shared" si="118"/>
        <v>1</v>
      </c>
      <c r="L102" s="118">
        <f t="shared" si="118"/>
        <v>1</v>
      </c>
      <c r="M102" s="118">
        <f t="shared" si="118"/>
        <v>1</v>
      </c>
      <c r="N102" s="118">
        <f t="shared" si="118"/>
        <v>1</v>
      </c>
      <c r="O102" s="65">
        <f>N102</f>
        <v>1</v>
      </c>
      <c r="P102" s="118">
        <v>1</v>
      </c>
      <c r="Q102" s="118">
        <f>P102</f>
        <v>1</v>
      </c>
      <c r="R102" s="118">
        <f t="shared" ref="R102:AA102" si="119">Q102</f>
        <v>1</v>
      </c>
      <c r="S102" s="118">
        <f t="shared" si="119"/>
        <v>1</v>
      </c>
      <c r="T102" s="118">
        <f t="shared" si="119"/>
        <v>1</v>
      </c>
      <c r="U102" s="118">
        <f t="shared" si="119"/>
        <v>1</v>
      </c>
      <c r="V102" s="118">
        <f t="shared" si="119"/>
        <v>1</v>
      </c>
      <c r="W102" s="118">
        <f t="shared" si="119"/>
        <v>1</v>
      </c>
      <c r="X102" s="118">
        <f t="shared" si="119"/>
        <v>1</v>
      </c>
      <c r="Y102" s="118">
        <f t="shared" si="119"/>
        <v>1</v>
      </c>
      <c r="Z102" s="118">
        <f t="shared" si="119"/>
        <v>1</v>
      </c>
      <c r="AA102" s="118">
        <f t="shared" si="119"/>
        <v>1</v>
      </c>
      <c r="AB102" s="66">
        <f>AA102</f>
        <v>1</v>
      </c>
    </row>
    <row r="103" spans="2:32" ht="20" customHeight="1" outlineLevel="1">
      <c r="B103" s="147" t="s">
        <v>70</v>
      </c>
      <c r="C103" s="86">
        <f>ROUNDUP(SUM(Расчеты!C33:C36)/30,0)</f>
        <v>1</v>
      </c>
      <c r="D103" s="86">
        <f>ROUNDUP(SUM(Расчеты!D33:D36)/30,0)</f>
        <v>2</v>
      </c>
      <c r="E103" s="86">
        <f>ROUNDUP(SUM(Расчеты!E33:E36)/30,0)</f>
        <v>2</v>
      </c>
      <c r="F103" s="86">
        <f>ROUNDUP(SUM(Расчеты!F33:F36)/30,0)</f>
        <v>3</v>
      </c>
      <c r="G103" s="86">
        <f>ROUNDUP(SUM(Расчеты!G33:G36)/30,0)</f>
        <v>4</v>
      </c>
      <c r="H103" s="86">
        <f>ROUNDUP(SUM(Расчеты!H33:H36)/30,0)</f>
        <v>5</v>
      </c>
      <c r="I103" s="86">
        <f>ROUNDUP(SUM(Расчеты!I33:I36)/30,0)</f>
        <v>5</v>
      </c>
      <c r="J103" s="86">
        <f>ROUNDUP(SUM(Расчеты!J33:J36)/30,0)</f>
        <v>6</v>
      </c>
      <c r="K103" s="86">
        <f>ROUNDUP(SUM(Расчеты!K33:K36)/30,0)</f>
        <v>7</v>
      </c>
      <c r="L103" s="86">
        <f>ROUNDUP(SUM(Расчеты!L33:L36)/30,0)</f>
        <v>8</v>
      </c>
      <c r="M103" s="86">
        <f>ROUNDUP(SUM(Расчеты!M33:M36)/30,0)</f>
        <v>8</v>
      </c>
      <c r="N103" s="86">
        <f>ROUNDUP(SUM(Расчеты!N33:N36)/30,0)</f>
        <v>9</v>
      </c>
      <c r="O103" s="76">
        <f t="shared" ref="O103" si="120">N103</f>
        <v>9</v>
      </c>
      <c r="P103" s="86">
        <f>ROUNDUP(SUM(Расчеты!P33:P36)/30,0)</f>
        <v>9</v>
      </c>
      <c r="Q103" s="86">
        <f>ROUNDUP(SUM(Расчеты!Q33:Q36)/30,0)</f>
        <v>10</v>
      </c>
      <c r="R103" s="86">
        <f>ROUNDUP(SUM(Расчеты!R33:R36)/30,0)</f>
        <v>10</v>
      </c>
      <c r="S103" s="86">
        <f>ROUNDUP(SUM(Расчеты!S33:S36)/30,0)</f>
        <v>10</v>
      </c>
      <c r="T103" s="86">
        <f>ROUNDUP(SUM(Расчеты!T33:T36)/30,0)</f>
        <v>10</v>
      </c>
      <c r="U103" s="86">
        <f>ROUNDUP(SUM(Расчеты!U33:U36)/30,0)</f>
        <v>10</v>
      </c>
      <c r="V103" s="86">
        <f>ROUNDUP(SUM(Расчеты!V33:V36)/30,0)</f>
        <v>11</v>
      </c>
      <c r="W103" s="86">
        <f>ROUNDUP(SUM(Расчеты!W33:W36)/30,0)</f>
        <v>11</v>
      </c>
      <c r="X103" s="86">
        <f>ROUNDUP(SUM(Расчеты!X33:X36)/30,0)</f>
        <v>11</v>
      </c>
      <c r="Y103" s="86">
        <f>ROUNDUP(SUM(Расчеты!Y33:Y36)/30,0)</f>
        <v>11</v>
      </c>
      <c r="Z103" s="86">
        <f>ROUNDUP(SUM(Расчеты!Z33:Z36)/30,0)</f>
        <v>11</v>
      </c>
      <c r="AA103" s="86">
        <f>ROUNDUP(SUM(Расчеты!AA33:AA36)/30,0)</f>
        <v>12</v>
      </c>
      <c r="AB103" s="77">
        <f t="shared" ref="AB103" si="121">AA103</f>
        <v>12</v>
      </c>
    </row>
    <row r="104" spans="2:32" ht="20" customHeight="1" outlineLevel="1">
      <c r="B104" s="147" t="s">
        <v>67</v>
      </c>
      <c r="C104" s="86">
        <v>1</v>
      </c>
      <c r="D104" s="86">
        <f t="shared" ref="D104:O104" si="122">C104</f>
        <v>1</v>
      </c>
      <c r="E104" s="86">
        <f t="shared" si="122"/>
        <v>1</v>
      </c>
      <c r="F104" s="86">
        <f t="shared" si="122"/>
        <v>1</v>
      </c>
      <c r="G104" s="86">
        <f t="shared" si="122"/>
        <v>1</v>
      </c>
      <c r="H104" s="86">
        <f t="shared" si="122"/>
        <v>1</v>
      </c>
      <c r="I104" s="86">
        <f t="shared" si="122"/>
        <v>1</v>
      </c>
      <c r="J104" s="86">
        <f t="shared" si="122"/>
        <v>1</v>
      </c>
      <c r="K104" s="86">
        <f t="shared" si="122"/>
        <v>1</v>
      </c>
      <c r="L104" s="86">
        <f t="shared" si="122"/>
        <v>1</v>
      </c>
      <c r="M104" s="86">
        <f t="shared" si="122"/>
        <v>1</v>
      </c>
      <c r="N104" s="86">
        <f t="shared" si="122"/>
        <v>1</v>
      </c>
      <c r="O104" s="76">
        <f t="shared" si="122"/>
        <v>1</v>
      </c>
      <c r="P104" s="86">
        <v>1</v>
      </c>
      <c r="Q104" s="86">
        <f t="shared" ref="Q104:AB104" si="123">P104</f>
        <v>1</v>
      </c>
      <c r="R104" s="86">
        <f t="shared" si="123"/>
        <v>1</v>
      </c>
      <c r="S104" s="86">
        <f t="shared" si="123"/>
        <v>1</v>
      </c>
      <c r="T104" s="86">
        <f t="shared" si="123"/>
        <v>1</v>
      </c>
      <c r="U104" s="86">
        <f t="shared" si="123"/>
        <v>1</v>
      </c>
      <c r="V104" s="86">
        <f t="shared" si="123"/>
        <v>1</v>
      </c>
      <c r="W104" s="86">
        <f t="shared" si="123"/>
        <v>1</v>
      </c>
      <c r="X104" s="86">
        <f t="shared" si="123"/>
        <v>1</v>
      </c>
      <c r="Y104" s="86">
        <f t="shared" si="123"/>
        <v>1</v>
      </c>
      <c r="Z104" s="86">
        <f t="shared" si="123"/>
        <v>1</v>
      </c>
      <c r="AA104" s="86">
        <f t="shared" si="123"/>
        <v>1</v>
      </c>
      <c r="AB104" s="77">
        <f t="shared" si="123"/>
        <v>1</v>
      </c>
    </row>
    <row r="105" spans="2:32" ht="20" customHeight="1" outlineLevel="1">
      <c r="B105" s="119" t="s">
        <v>69</v>
      </c>
      <c r="C105" s="120">
        <v>1</v>
      </c>
      <c r="D105" s="120">
        <f t="shared" ref="D105:O105" si="124">C105</f>
        <v>1</v>
      </c>
      <c r="E105" s="120">
        <f t="shared" si="124"/>
        <v>1</v>
      </c>
      <c r="F105" s="120">
        <f t="shared" si="124"/>
        <v>1</v>
      </c>
      <c r="G105" s="120">
        <f t="shared" si="124"/>
        <v>1</v>
      </c>
      <c r="H105" s="120">
        <f t="shared" si="124"/>
        <v>1</v>
      </c>
      <c r="I105" s="120">
        <f t="shared" si="124"/>
        <v>1</v>
      </c>
      <c r="J105" s="120">
        <f t="shared" si="124"/>
        <v>1</v>
      </c>
      <c r="K105" s="120">
        <f t="shared" si="124"/>
        <v>1</v>
      </c>
      <c r="L105" s="120">
        <f t="shared" si="124"/>
        <v>1</v>
      </c>
      <c r="M105" s="120">
        <f t="shared" si="124"/>
        <v>1</v>
      </c>
      <c r="N105" s="120">
        <f t="shared" si="124"/>
        <v>1</v>
      </c>
      <c r="O105" s="121">
        <f t="shared" si="124"/>
        <v>1</v>
      </c>
      <c r="P105" s="120">
        <v>1</v>
      </c>
      <c r="Q105" s="120">
        <f t="shared" ref="Q105:AB105" si="125">P105</f>
        <v>1</v>
      </c>
      <c r="R105" s="120">
        <f t="shared" si="125"/>
        <v>1</v>
      </c>
      <c r="S105" s="120">
        <f t="shared" si="125"/>
        <v>1</v>
      </c>
      <c r="T105" s="120">
        <f t="shared" si="125"/>
        <v>1</v>
      </c>
      <c r="U105" s="120">
        <f t="shared" si="125"/>
        <v>1</v>
      </c>
      <c r="V105" s="120">
        <f t="shared" si="125"/>
        <v>1</v>
      </c>
      <c r="W105" s="120">
        <f t="shared" si="125"/>
        <v>1</v>
      </c>
      <c r="X105" s="120">
        <f t="shared" si="125"/>
        <v>1</v>
      </c>
      <c r="Y105" s="120">
        <f t="shared" si="125"/>
        <v>1</v>
      </c>
      <c r="Z105" s="120">
        <f t="shared" si="125"/>
        <v>1</v>
      </c>
      <c r="AA105" s="120">
        <f t="shared" si="125"/>
        <v>1</v>
      </c>
      <c r="AB105" s="122">
        <f t="shared" si="125"/>
        <v>1</v>
      </c>
    </row>
    <row r="106" spans="2:32" ht="20" customHeight="1">
      <c r="B106" s="125" t="s">
        <v>71</v>
      </c>
      <c r="C106" s="126">
        <v>1</v>
      </c>
      <c r="D106" s="126">
        <f t="shared" ref="D106:O106" si="126">C106</f>
        <v>1</v>
      </c>
      <c r="E106" s="126">
        <f t="shared" si="126"/>
        <v>1</v>
      </c>
      <c r="F106" s="126">
        <f t="shared" si="126"/>
        <v>1</v>
      </c>
      <c r="G106" s="126">
        <f t="shared" si="126"/>
        <v>1</v>
      </c>
      <c r="H106" s="126">
        <f t="shared" si="126"/>
        <v>1</v>
      </c>
      <c r="I106" s="126">
        <f t="shared" si="126"/>
        <v>1</v>
      </c>
      <c r="J106" s="126">
        <f t="shared" si="126"/>
        <v>1</v>
      </c>
      <c r="K106" s="126">
        <f t="shared" si="126"/>
        <v>1</v>
      </c>
      <c r="L106" s="126">
        <f t="shared" si="126"/>
        <v>1</v>
      </c>
      <c r="M106" s="126">
        <f t="shared" si="126"/>
        <v>1</v>
      </c>
      <c r="N106" s="126">
        <f t="shared" si="126"/>
        <v>1</v>
      </c>
      <c r="O106" s="126">
        <f t="shared" si="126"/>
        <v>1</v>
      </c>
      <c r="P106" s="126">
        <v>1</v>
      </c>
      <c r="Q106" s="126">
        <f t="shared" ref="Q106:AB106" si="127">P106</f>
        <v>1</v>
      </c>
      <c r="R106" s="126">
        <f t="shared" si="127"/>
        <v>1</v>
      </c>
      <c r="S106" s="126">
        <f t="shared" si="127"/>
        <v>1</v>
      </c>
      <c r="T106" s="126">
        <f t="shared" si="127"/>
        <v>1</v>
      </c>
      <c r="U106" s="126">
        <f t="shared" si="127"/>
        <v>1</v>
      </c>
      <c r="V106" s="126">
        <f t="shared" si="127"/>
        <v>1</v>
      </c>
      <c r="W106" s="126">
        <f t="shared" si="127"/>
        <v>1</v>
      </c>
      <c r="X106" s="126">
        <f t="shared" si="127"/>
        <v>1</v>
      </c>
      <c r="Y106" s="126">
        <f t="shared" si="127"/>
        <v>1</v>
      </c>
      <c r="Z106" s="126">
        <f t="shared" si="127"/>
        <v>1</v>
      </c>
      <c r="AA106" s="126">
        <f t="shared" si="127"/>
        <v>1</v>
      </c>
      <c r="AB106" s="126">
        <f t="shared" si="127"/>
        <v>1</v>
      </c>
    </row>
    <row r="107" spans="2:32" ht="20" customHeight="1">
      <c r="C107" s="9"/>
      <c r="P107" s="9"/>
    </row>
    <row r="108" spans="2:32" ht="20" customHeight="1">
      <c r="B108" s="233" t="s">
        <v>175</v>
      </c>
      <c r="C108" s="230"/>
      <c r="D108" s="230"/>
      <c r="E108" s="230"/>
      <c r="F108" s="230"/>
      <c r="G108" s="231"/>
      <c r="H108" s="231"/>
      <c r="I108" s="231"/>
      <c r="J108" s="231"/>
      <c r="K108" s="231"/>
      <c r="L108" s="231"/>
      <c r="M108" s="231"/>
      <c r="N108" s="231"/>
      <c r="O108" s="231"/>
      <c r="P108" s="231"/>
      <c r="Q108" s="231"/>
      <c r="R108" s="231"/>
      <c r="S108" s="231"/>
      <c r="T108" s="231"/>
      <c r="U108" s="231"/>
      <c r="V108" s="231"/>
      <c r="W108" s="231"/>
      <c r="X108" s="231"/>
      <c r="Y108" s="231"/>
      <c r="Z108" s="231"/>
      <c r="AA108" s="231"/>
      <c r="AB108" s="231"/>
      <c r="AD108" s="341" t="s">
        <v>176</v>
      </c>
      <c r="AF108" s="13"/>
    </row>
    <row r="109" spans="2:32" ht="20" customHeight="1" thickBot="1">
      <c r="B109" s="113"/>
      <c r="C109" s="153" t="s">
        <v>186</v>
      </c>
      <c r="D109" s="153" t="s">
        <v>187</v>
      </c>
      <c r="E109" s="153" t="s">
        <v>188</v>
      </c>
      <c r="F109" s="153" t="s">
        <v>189</v>
      </c>
      <c r="G109" s="249">
        <v>46143</v>
      </c>
      <c r="H109" s="153" t="s">
        <v>190</v>
      </c>
      <c r="I109" s="153" t="s">
        <v>191</v>
      </c>
      <c r="J109" s="153" t="s">
        <v>192</v>
      </c>
      <c r="K109" s="153" t="s">
        <v>193</v>
      </c>
      <c r="L109" s="153" t="s">
        <v>194</v>
      </c>
      <c r="M109" s="153" t="s">
        <v>195</v>
      </c>
      <c r="N109" s="153" t="s">
        <v>196</v>
      </c>
      <c r="O109" s="250">
        <v>2026</v>
      </c>
      <c r="P109" s="153" t="s">
        <v>202</v>
      </c>
      <c r="Q109" s="153" t="s">
        <v>203</v>
      </c>
      <c r="R109" s="153" t="s">
        <v>204</v>
      </c>
      <c r="S109" s="153" t="s">
        <v>205</v>
      </c>
      <c r="T109" s="249">
        <v>46508</v>
      </c>
      <c r="U109" s="153" t="s">
        <v>206</v>
      </c>
      <c r="V109" s="153" t="s">
        <v>207</v>
      </c>
      <c r="W109" s="153" t="s">
        <v>208</v>
      </c>
      <c r="X109" s="153" t="s">
        <v>209</v>
      </c>
      <c r="Y109" s="153" t="s">
        <v>210</v>
      </c>
      <c r="Z109" s="153" t="s">
        <v>211</v>
      </c>
      <c r="AA109" s="153" t="s">
        <v>212</v>
      </c>
      <c r="AB109" s="250">
        <v>2027</v>
      </c>
      <c r="AD109" s="342"/>
    </row>
    <row r="110" spans="2:32" ht="10.25" customHeight="1">
      <c r="B110" s="123"/>
      <c r="C110" s="123"/>
      <c r="D110" s="123"/>
      <c r="E110" s="123"/>
      <c r="F110" s="123"/>
      <c r="G110" s="123"/>
      <c r="H110" s="123"/>
      <c r="I110" s="123"/>
      <c r="J110" s="123"/>
      <c r="K110" s="123"/>
      <c r="L110" s="123"/>
      <c r="M110" s="123"/>
      <c r="N110" s="123"/>
      <c r="O110" s="123"/>
      <c r="P110" s="123"/>
      <c r="Q110" s="123"/>
      <c r="R110" s="123"/>
      <c r="S110" s="123"/>
      <c r="T110" s="123"/>
      <c r="U110" s="123"/>
      <c r="V110" s="123"/>
      <c r="W110" s="123"/>
      <c r="X110" s="123"/>
      <c r="Y110" s="123"/>
      <c r="Z110" s="123"/>
      <c r="AA110" s="123"/>
      <c r="AB110" s="123"/>
      <c r="AD110" s="342"/>
    </row>
    <row r="111" spans="2:32" ht="20" customHeight="1">
      <c r="B111" s="125" t="s">
        <v>21</v>
      </c>
      <c r="C111" s="126">
        <f t="shared" ref="C111:N111" si="128">SUM(C112:C116)</f>
        <v>10</v>
      </c>
      <c r="D111" s="126">
        <f t="shared" si="128"/>
        <v>10</v>
      </c>
      <c r="E111" s="126">
        <f t="shared" si="128"/>
        <v>10</v>
      </c>
      <c r="F111" s="126">
        <f t="shared" si="128"/>
        <v>10</v>
      </c>
      <c r="G111" s="126">
        <f t="shared" si="128"/>
        <v>10</v>
      </c>
      <c r="H111" s="126">
        <f t="shared" si="128"/>
        <v>10</v>
      </c>
      <c r="I111" s="126">
        <f t="shared" si="128"/>
        <v>10</v>
      </c>
      <c r="J111" s="126">
        <f t="shared" si="128"/>
        <v>10</v>
      </c>
      <c r="K111" s="126">
        <f t="shared" si="128"/>
        <v>10</v>
      </c>
      <c r="L111" s="126">
        <f t="shared" si="128"/>
        <v>10</v>
      </c>
      <c r="M111" s="126">
        <f t="shared" si="128"/>
        <v>10</v>
      </c>
      <c r="N111" s="126">
        <f t="shared" si="128"/>
        <v>10</v>
      </c>
      <c r="O111" s="126">
        <f>SUM(C111:N111)</f>
        <v>120</v>
      </c>
      <c r="P111" s="126">
        <f t="shared" ref="P111:AA111" si="129">SUM(P112:P116)</f>
        <v>10</v>
      </c>
      <c r="Q111" s="126">
        <f t="shared" si="129"/>
        <v>10</v>
      </c>
      <c r="R111" s="126">
        <f t="shared" si="129"/>
        <v>10</v>
      </c>
      <c r="S111" s="126">
        <f t="shared" si="129"/>
        <v>10</v>
      </c>
      <c r="T111" s="126">
        <f t="shared" si="129"/>
        <v>10</v>
      </c>
      <c r="U111" s="126">
        <f t="shared" si="129"/>
        <v>10</v>
      </c>
      <c r="V111" s="126">
        <f t="shared" si="129"/>
        <v>10</v>
      </c>
      <c r="W111" s="126">
        <f t="shared" si="129"/>
        <v>10</v>
      </c>
      <c r="X111" s="126">
        <f t="shared" si="129"/>
        <v>10</v>
      </c>
      <c r="Y111" s="126">
        <f t="shared" si="129"/>
        <v>10</v>
      </c>
      <c r="Z111" s="126">
        <f t="shared" si="129"/>
        <v>10</v>
      </c>
      <c r="AA111" s="126">
        <f t="shared" si="129"/>
        <v>10</v>
      </c>
      <c r="AB111" s="126">
        <f>SUM(P111:AA111)</f>
        <v>120</v>
      </c>
      <c r="AD111" s="342"/>
    </row>
    <row r="112" spans="2:32" ht="20" customHeight="1" outlineLevel="1">
      <c r="B112" s="117" t="s">
        <v>65</v>
      </c>
      <c r="C112" s="118">
        <f>Аналитика!$M$9</f>
        <v>2</v>
      </c>
      <c r="D112" s="118">
        <f>Аналитика!$M$9</f>
        <v>2</v>
      </c>
      <c r="E112" s="118">
        <f>Аналитика!$M$9</f>
        <v>2</v>
      </c>
      <c r="F112" s="118">
        <f>Аналитика!$M$9</f>
        <v>2</v>
      </c>
      <c r="G112" s="118">
        <f>Аналитика!$M$9</f>
        <v>2</v>
      </c>
      <c r="H112" s="118">
        <f>Аналитика!$M$9</f>
        <v>2</v>
      </c>
      <c r="I112" s="118">
        <f>Аналитика!$M$9</f>
        <v>2</v>
      </c>
      <c r="J112" s="118">
        <f>Аналитика!$M$9</f>
        <v>2</v>
      </c>
      <c r="K112" s="118">
        <f>Аналитика!$M$9</f>
        <v>2</v>
      </c>
      <c r="L112" s="118">
        <f>Аналитика!$M$9</f>
        <v>2</v>
      </c>
      <c r="M112" s="118">
        <f>Аналитика!$M$9</f>
        <v>2</v>
      </c>
      <c r="N112" s="118">
        <f>Аналитика!$M$9</f>
        <v>2</v>
      </c>
      <c r="O112" s="65">
        <f>SUM(C112:N112)</f>
        <v>24</v>
      </c>
      <c r="P112" s="118">
        <f>Аналитика!$M$9</f>
        <v>2</v>
      </c>
      <c r="Q112" s="118">
        <f>Аналитика!$M$9</f>
        <v>2</v>
      </c>
      <c r="R112" s="118">
        <f>Аналитика!$M$9</f>
        <v>2</v>
      </c>
      <c r="S112" s="118">
        <f>Аналитика!$M$9</f>
        <v>2</v>
      </c>
      <c r="T112" s="118">
        <f>Аналитика!$M$9</f>
        <v>2</v>
      </c>
      <c r="U112" s="118">
        <f>Аналитика!$M$9</f>
        <v>2</v>
      </c>
      <c r="V112" s="118">
        <f>Аналитика!$M$9</f>
        <v>2</v>
      </c>
      <c r="W112" s="118">
        <f>Аналитика!$M$9</f>
        <v>2</v>
      </c>
      <c r="X112" s="118">
        <f>Аналитика!$M$9</f>
        <v>2</v>
      </c>
      <c r="Y112" s="118">
        <f>Аналитика!$M$9</f>
        <v>2</v>
      </c>
      <c r="Z112" s="118">
        <f>Аналитика!$M$9</f>
        <v>2</v>
      </c>
      <c r="AA112" s="118">
        <f>Аналитика!$M$9</f>
        <v>2</v>
      </c>
      <c r="AB112" s="66">
        <f>SUM(P112:AA112)</f>
        <v>24</v>
      </c>
      <c r="AD112" s="342"/>
    </row>
    <row r="113" spans="2:32" ht="20" customHeight="1" outlineLevel="1">
      <c r="B113" s="147" t="s">
        <v>66</v>
      </c>
      <c r="C113" s="86">
        <f>Аналитика!$M$9</f>
        <v>2</v>
      </c>
      <c r="D113" s="86">
        <f>Аналитика!$M$9</f>
        <v>2</v>
      </c>
      <c r="E113" s="86">
        <f>Аналитика!$M$9</f>
        <v>2</v>
      </c>
      <c r="F113" s="86">
        <f>Аналитика!$M$9</f>
        <v>2</v>
      </c>
      <c r="G113" s="86">
        <f>Аналитика!$M$9</f>
        <v>2</v>
      </c>
      <c r="H113" s="86">
        <f>Аналитика!$M$9</f>
        <v>2</v>
      </c>
      <c r="I113" s="86">
        <f>Аналитика!$M$9</f>
        <v>2</v>
      </c>
      <c r="J113" s="86">
        <f>Аналитика!$M$9</f>
        <v>2</v>
      </c>
      <c r="K113" s="86">
        <f>Аналитика!$M$9</f>
        <v>2</v>
      </c>
      <c r="L113" s="86">
        <f>Аналитика!$M$9</f>
        <v>2</v>
      </c>
      <c r="M113" s="86">
        <f>Аналитика!$M$9</f>
        <v>2</v>
      </c>
      <c r="N113" s="86">
        <f>Аналитика!$M$9</f>
        <v>2</v>
      </c>
      <c r="O113" s="76">
        <f>SUM(C113:N113)</f>
        <v>24</v>
      </c>
      <c r="P113" s="86">
        <f>Аналитика!$M$9</f>
        <v>2</v>
      </c>
      <c r="Q113" s="86">
        <f>Аналитика!$M$9</f>
        <v>2</v>
      </c>
      <c r="R113" s="86">
        <f>Аналитика!$M$9</f>
        <v>2</v>
      </c>
      <c r="S113" s="86">
        <f>Аналитика!$M$9</f>
        <v>2</v>
      </c>
      <c r="T113" s="86">
        <f>Аналитика!$M$9</f>
        <v>2</v>
      </c>
      <c r="U113" s="86">
        <f>Аналитика!$M$9</f>
        <v>2</v>
      </c>
      <c r="V113" s="86">
        <f>Аналитика!$M$9</f>
        <v>2</v>
      </c>
      <c r="W113" s="86">
        <f>Аналитика!$M$9</f>
        <v>2</v>
      </c>
      <c r="X113" s="86">
        <f>Аналитика!$M$9</f>
        <v>2</v>
      </c>
      <c r="Y113" s="86">
        <f>Аналитика!$M$9</f>
        <v>2</v>
      </c>
      <c r="Z113" s="86">
        <f>Аналитика!$M$9</f>
        <v>2</v>
      </c>
      <c r="AA113" s="86">
        <f>Аналитика!$M$9</f>
        <v>2</v>
      </c>
      <c r="AB113" s="77">
        <f t="shared" ref="AB113:AB116" si="130">SUM(P113:AA113)</f>
        <v>24</v>
      </c>
      <c r="AD113" s="342"/>
    </row>
    <row r="114" spans="2:32" ht="20" customHeight="1" outlineLevel="1">
      <c r="B114" s="147" t="s">
        <v>67</v>
      </c>
      <c r="C114" s="86">
        <f>Аналитика!$M$9</f>
        <v>2</v>
      </c>
      <c r="D114" s="86">
        <f>Аналитика!$M$9</f>
        <v>2</v>
      </c>
      <c r="E114" s="86">
        <f>Аналитика!$M$9</f>
        <v>2</v>
      </c>
      <c r="F114" s="86">
        <f>Аналитика!$M$9</f>
        <v>2</v>
      </c>
      <c r="G114" s="86">
        <f>Аналитика!$M$9</f>
        <v>2</v>
      </c>
      <c r="H114" s="86">
        <f>Аналитика!$M$9</f>
        <v>2</v>
      </c>
      <c r="I114" s="86">
        <f>Аналитика!$M$9</f>
        <v>2</v>
      </c>
      <c r="J114" s="86">
        <f>Аналитика!$M$9</f>
        <v>2</v>
      </c>
      <c r="K114" s="86">
        <f>Аналитика!$M$9</f>
        <v>2</v>
      </c>
      <c r="L114" s="86">
        <f>Аналитика!$M$9</f>
        <v>2</v>
      </c>
      <c r="M114" s="86">
        <f>Аналитика!$M$9</f>
        <v>2</v>
      </c>
      <c r="N114" s="86">
        <f>Аналитика!$M$9</f>
        <v>2</v>
      </c>
      <c r="O114" s="76">
        <f t="shared" ref="O114:O116" si="131">SUM(C114:N114)</f>
        <v>24</v>
      </c>
      <c r="P114" s="86">
        <f>Аналитика!$M$9</f>
        <v>2</v>
      </c>
      <c r="Q114" s="86">
        <f>Аналитика!$M$9</f>
        <v>2</v>
      </c>
      <c r="R114" s="86">
        <f>Аналитика!$M$9</f>
        <v>2</v>
      </c>
      <c r="S114" s="86">
        <f>Аналитика!$M$9</f>
        <v>2</v>
      </c>
      <c r="T114" s="86">
        <f>Аналитика!$M$9</f>
        <v>2</v>
      </c>
      <c r="U114" s="86">
        <f>Аналитика!$M$9</f>
        <v>2</v>
      </c>
      <c r="V114" s="86">
        <f>Аналитика!$M$9</f>
        <v>2</v>
      </c>
      <c r="W114" s="86">
        <f>Аналитика!$M$9</f>
        <v>2</v>
      </c>
      <c r="X114" s="86">
        <f>Аналитика!$M$9</f>
        <v>2</v>
      </c>
      <c r="Y114" s="86">
        <f>Аналитика!$M$9</f>
        <v>2</v>
      </c>
      <c r="Z114" s="86">
        <f>Аналитика!$M$9</f>
        <v>2</v>
      </c>
      <c r="AA114" s="86">
        <f>Аналитика!$M$9</f>
        <v>2</v>
      </c>
      <c r="AB114" s="77">
        <f t="shared" si="130"/>
        <v>24</v>
      </c>
      <c r="AD114" s="342"/>
    </row>
    <row r="115" spans="2:32" ht="20" customHeight="1" outlineLevel="1">
      <c r="B115" s="147" t="s">
        <v>68</v>
      </c>
      <c r="C115" s="86">
        <f>Аналитика!$M$9</f>
        <v>2</v>
      </c>
      <c r="D115" s="86">
        <f>Аналитика!$M$9</f>
        <v>2</v>
      </c>
      <c r="E115" s="86">
        <f>Аналитика!$M$9</f>
        <v>2</v>
      </c>
      <c r="F115" s="86">
        <f>Аналитика!$M$9</f>
        <v>2</v>
      </c>
      <c r="G115" s="86">
        <f>Аналитика!$M$9</f>
        <v>2</v>
      </c>
      <c r="H115" s="86">
        <f>Аналитика!$M$9</f>
        <v>2</v>
      </c>
      <c r="I115" s="86">
        <f>Аналитика!$M$9</f>
        <v>2</v>
      </c>
      <c r="J115" s="86">
        <f>Аналитика!$M$9</f>
        <v>2</v>
      </c>
      <c r="K115" s="86">
        <f>Аналитика!$M$9</f>
        <v>2</v>
      </c>
      <c r="L115" s="86">
        <f>Аналитика!$M$9</f>
        <v>2</v>
      </c>
      <c r="M115" s="86">
        <f>Аналитика!$M$9</f>
        <v>2</v>
      </c>
      <c r="N115" s="86">
        <f>Аналитика!$M$9</f>
        <v>2</v>
      </c>
      <c r="O115" s="76">
        <f t="shared" si="131"/>
        <v>24</v>
      </c>
      <c r="P115" s="86">
        <f>Аналитика!$M$9</f>
        <v>2</v>
      </c>
      <c r="Q115" s="86">
        <f>Аналитика!$M$9</f>
        <v>2</v>
      </c>
      <c r="R115" s="86">
        <f>Аналитика!$M$9</f>
        <v>2</v>
      </c>
      <c r="S115" s="86">
        <f>Аналитика!$M$9</f>
        <v>2</v>
      </c>
      <c r="T115" s="86">
        <f>Аналитика!$M$9</f>
        <v>2</v>
      </c>
      <c r="U115" s="86">
        <f>Аналитика!$M$9</f>
        <v>2</v>
      </c>
      <c r="V115" s="86">
        <f>Аналитика!$M$9</f>
        <v>2</v>
      </c>
      <c r="W115" s="86">
        <f>Аналитика!$M$9</f>
        <v>2</v>
      </c>
      <c r="X115" s="86">
        <f>Аналитика!$M$9</f>
        <v>2</v>
      </c>
      <c r="Y115" s="86">
        <f>Аналитика!$M$9</f>
        <v>2</v>
      </c>
      <c r="Z115" s="86">
        <f>Аналитика!$M$9</f>
        <v>2</v>
      </c>
      <c r="AA115" s="86">
        <f>Аналитика!$M$9</f>
        <v>2</v>
      </c>
      <c r="AB115" s="77">
        <f t="shared" si="130"/>
        <v>24</v>
      </c>
      <c r="AD115" s="342"/>
    </row>
    <row r="116" spans="2:32" ht="20" customHeight="1" outlineLevel="1">
      <c r="B116" s="119" t="s">
        <v>69</v>
      </c>
      <c r="C116" s="120">
        <f>Аналитика!$M$9</f>
        <v>2</v>
      </c>
      <c r="D116" s="120">
        <f>Аналитика!$M$9</f>
        <v>2</v>
      </c>
      <c r="E116" s="120">
        <f>Аналитика!$M$9</f>
        <v>2</v>
      </c>
      <c r="F116" s="120">
        <f>Аналитика!$M$9</f>
        <v>2</v>
      </c>
      <c r="G116" s="120">
        <f>Аналитика!$M$9</f>
        <v>2</v>
      </c>
      <c r="H116" s="120">
        <f>Аналитика!$M$9</f>
        <v>2</v>
      </c>
      <c r="I116" s="120">
        <f>Аналитика!$M$9</f>
        <v>2</v>
      </c>
      <c r="J116" s="120">
        <f>Аналитика!$M$9</f>
        <v>2</v>
      </c>
      <c r="K116" s="120">
        <f>Аналитика!$M$9</f>
        <v>2</v>
      </c>
      <c r="L116" s="120">
        <f>Аналитика!$M$9</f>
        <v>2</v>
      </c>
      <c r="M116" s="120">
        <f>Аналитика!$M$9</f>
        <v>2</v>
      </c>
      <c r="N116" s="120">
        <f>Аналитика!$M$9</f>
        <v>2</v>
      </c>
      <c r="O116" s="121">
        <f t="shared" si="131"/>
        <v>24</v>
      </c>
      <c r="P116" s="120">
        <f>Аналитика!$M$9</f>
        <v>2</v>
      </c>
      <c r="Q116" s="120">
        <f>Аналитика!$M$9</f>
        <v>2</v>
      </c>
      <c r="R116" s="120">
        <f>Аналитика!$M$9</f>
        <v>2</v>
      </c>
      <c r="S116" s="120">
        <f>Аналитика!$M$9</f>
        <v>2</v>
      </c>
      <c r="T116" s="120">
        <f>Аналитика!$M$9</f>
        <v>2</v>
      </c>
      <c r="U116" s="120">
        <f>Аналитика!$M$9</f>
        <v>2</v>
      </c>
      <c r="V116" s="120">
        <f>Аналитика!$M$9</f>
        <v>2</v>
      </c>
      <c r="W116" s="120">
        <f>Аналитика!$M$9</f>
        <v>2</v>
      </c>
      <c r="X116" s="120">
        <f>Аналитика!$M$9</f>
        <v>2</v>
      </c>
      <c r="Y116" s="120">
        <f>Аналитика!$M$9</f>
        <v>2</v>
      </c>
      <c r="Z116" s="120">
        <f>Аналитика!$M$9</f>
        <v>2</v>
      </c>
      <c r="AA116" s="120">
        <f>Аналитика!$M$9</f>
        <v>2</v>
      </c>
      <c r="AB116" s="122">
        <f t="shared" si="130"/>
        <v>24</v>
      </c>
      <c r="AD116" s="342"/>
    </row>
    <row r="117" spans="2:32" ht="20" customHeight="1">
      <c r="B117" s="125" t="s">
        <v>22</v>
      </c>
      <c r="C117" s="126">
        <f>SUM(C118:C121)</f>
        <v>8</v>
      </c>
      <c r="D117" s="126">
        <f t="shared" ref="D117:N117" si="132">SUM(D118:D121)</f>
        <v>8</v>
      </c>
      <c r="E117" s="126">
        <f t="shared" si="132"/>
        <v>8</v>
      </c>
      <c r="F117" s="126">
        <f t="shared" si="132"/>
        <v>8</v>
      </c>
      <c r="G117" s="126">
        <f t="shared" si="132"/>
        <v>8</v>
      </c>
      <c r="H117" s="126">
        <f t="shared" si="132"/>
        <v>8</v>
      </c>
      <c r="I117" s="126">
        <f t="shared" si="132"/>
        <v>8</v>
      </c>
      <c r="J117" s="126">
        <f t="shared" si="132"/>
        <v>8</v>
      </c>
      <c r="K117" s="126">
        <f t="shared" si="132"/>
        <v>8</v>
      </c>
      <c r="L117" s="126">
        <f t="shared" si="132"/>
        <v>8</v>
      </c>
      <c r="M117" s="126">
        <f t="shared" si="132"/>
        <v>8</v>
      </c>
      <c r="N117" s="126">
        <f t="shared" si="132"/>
        <v>8</v>
      </c>
      <c r="O117" s="126">
        <f>SUM(C117:N117)</f>
        <v>96</v>
      </c>
      <c r="P117" s="126">
        <f>SUM(P118:P121)</f>
        <v>8</v>
      </c>
      <c r="Q117" s="126">
        <f t="shared" ref="Q117:AA117" si="133">SUM(Q118:Q121)</f>
        <v>8</v>
      </c>
      <c r="R117" s="126">
        <f t="shared" si="133"/>
        <v>8</v>
      </c>
      <c r="S117" s="126">
        <f t="shared" si="133"/>
        <v>8</v>
      </c>
      <c r="T117" s="126">
        <f t="shared" si="133"/>
        <v>8</v>
      </c>
      <c r="U117" s="126">
        <f t="shared" si="133"/>
        <v>8</v>
      </c>
      <c r="V117" s="126">
        <f t="shared" si="133"/>
        <v>8</v>
      </c>
      <c r="W117" s="126">
        <f t="shared" si="133"/>
        <v>8</v>
      </c>
      <c r="X117" s="126">
        <f t="shared" si="133"/>
        <v>8</v>
      </c>
      <c r="Y117" s="126">
        <f t="shared" si="133"/>
        <v>8</v>
      </c>
      <c r="Z117" s="126">
        <f t="shared" si="133"/>
        <v>8</v>
      </c>
      <c r="AA117" s="126">
        <f t="shared" si="133"/>
        <v>8</v>
      </c>
      <c r="AB117" s="126">
        <f>SUM(P117:AA117)</f>
        <v>96</v>
      </c>
      <c r="AD117" s="342"/>
    </row>
    <row r="118" spans="2:32" ht="20" customHeight="1" outlineLevel="1">
      <c r="B118" s="117" t="s">
        <v>65</v>
      </c>
      <c r="C118" s="118">
        <f>Аналитика!$M$9</f>
        <v>2</v>
      </c>
      <c r="D118" s="118">
        <f>Аналитика!$M$9</f>
        <v>2</v>
      </c>
      <c r="E118" s="118">
        <f>Аналитика!$M$9</f>
        <v>2</v>
      </c>
      <c r="F118" s="118">
        <f>Аналитика!$M$9</f>
        <v>2</v>
      </c>
      <c r="G118" s="118">
        <f>Аналитика!$M$9</f>
        <v>2</v>
      </c>
      <c r="H118" s="118">
        <f>Аналитика!$M$9</f>
        <v>2</v>
      </c>
      <c r="I118" s="118">
        <f>Аналитика!$M$9</f>
        <v>2</v>
      </c>
      <c r="J118" s="118">
        <f>Аналитика!$M$9</f>
        <v>2</v>
      </c>
      <c r="K118" s="118">
        <f>Аналитика!$M$9</f>
        <v>2</v>
      </c>
      <c r="L118" s="118">
        <f>Аналитика!$M$9</f>
        <v>2</v>
      </c>
      <c r="M118" s="118">
        <f>Аналитика!$M$9</f>
        <v>2</v>
      </c>
      <c r="N118" s="118">
        <f>Аналитика!$M$9</f>
        <v>2</v>
      </c>
      <c r="O118" s="65">
        <f t="shared" ref="O118:O122" si="134">SUM(C118:N118)</f>
        <v>24</v>
      </c>
      <c r="P118" s="118">
        <f>Аналитика!$M$9</f>
        <v>2</v>
      </c>
      <c r="Q118" s="118">
        <f>Аналитика!$M$9</f>
        <v>2</v>
      </c>
      <c r="R118" s="118">
        <f>Аналитика!$M$9</f>
        <v>2</v>
      </c>
      <c r="S118" s="118">
        <f>Аналитика!$M$9</f>
        <v>2</v>
      </c>
      <c r="T118" s="118">
        <f>Аналитика!$M$9</f>
        <v>2</v>
      </c>
      <c r="U118" s="118">
        <f>Аналитика!$M$9</f>
        <v>2</v>
      </c>
      <c r="V118" s="118">
        <f>Аналитика!$M$9</f>
        <v>2</v>
      </c>
      <c r="W118" s="118">
        <f>Аналитика!$M$9</f>
        <v>2</v>
      </c>
      <c r="X118" s="118">
        <f>Аналитика!$M$9</f>
        <v>2</v>
      </c>
      <c r="Y118" s="118">
        <f>Аналитика!$M$9</f>
        <v>2</v>
      </c>
      <c r="Z118" s="118">
        <f>Аналитика!$M$9</f>
        <v>2</v>
      </c>
      <c r="AA118" s="118">
        <f>Аналитика!$M$9</f>
        <v>2</v>
      </c>
      <c r="AB118" s="66">
        <f t="shared" ref="AB118:AB122" si="135">SUM(P118:AA118)</f>
        <v>24</v>
      </c>
      <c r="AD118" s="342"/>
    </row>
    <row r="119" spans="2:32" ht="20" customHeight="1" outlineLevel="1">
      <c r="B119" s="147" t="s">
        <v>70</v>
      </c>
      <c r="C119" s="86">
        <f>Аналитика!$M$9</f>
        <v>2</v>
      </c>
      <c r="D119" s="86">
        <f>Аналитика!$M$9</f>
        <v>2</v>
      </c>
      <c r="E119" s="86">
        <f>Аналитика!$M$9</f>
        <v>2</v>
      </c>
      <c r="F119" s="86">
        <f>Аналитика!$M$9</f>
        <v>2</v>
      </c>
      <c r="G119" s="86">
        <f>Аналитика!$M$9</f>
        <v>2</v>
      </c>
      <c r="H119" s="86">
        <f>Аналитика!$M$9</f>
        <v>2</v>
      </c>
      <c r="I119" s="86">
        <f>Аналитика!$M$9</f>
        <v>2</v>
      </c>
      <c r="J119" s="86">
        <f>Аналитика!$M$9</f>
        <v>2</v>
      </c>
      <c r="K119" s="86">
        <f>Аналитика!$M$9</f>
        <v>2</v>
      </c>
      <c r="L119" s="86">
        <f>Аналитика!$M$9</f>
        <v>2</v>
      </c>
      <c r="M119" s="86">
        <f>Аналитика!$M$9</f>
        <v>2</v>
      </c>
      <c r="N119" s="86">
        <f>Аналитика!$M$9</f>
        <v>2</v>
      </c>
      <c r="O119" s="76">
        <f t="shared" si="134"/>
        <v>24</v>
      </c>
      <c r="P119" s="86">
        <f>Аналитика!$M$9</f>
        <v>2</v>
      </c>
      <c r="Q119" s="86">
        <f>Аналитика!$M$9</f>
        <v>2</v>
      </c>
      <c r="R119" s="86">
        <f>Аналитика!$M$9</f>
        <v>2</v>
      </c>
      <c r="S119" s="86">
        <f>Аналитика!$M$9</f>
        <v>2</v>
      </c>
      <c r="T119" s="86">
        <f>Аналитика!$M$9</f>
        <v>2</v>
      </c>
      <c r="U119" s="86">
        <f>Аналитика!$M$9</f>
        <v>2</v>
      </c>
      <c r="V119" s="86">
        <f>Аналитика!$M$9</f>
        <v>2</v>
      </c>
      <c r="W119" s="86">
        <f>Аналитика!$M$9</f>
        <v>2</v>
      </c>
      <c r="X119" s="86">
        <f>Аналитика!$M$9</f>
        <v>2</v>
      </c>
      <c r="Y119" s="86">
        <f>Аналитика!$M$9</f>
        <v>2</v>
      </c>
      <c r="Z119" s="86">
        <f>Аналитика!$M$9</f>
        <v>2</v>
      </c>
      <c r="AA119" s="86">
        <f>Аналитика!$M$9</f>
        <v>2</v>
      </c>
      <c r="AB119" s="77">
        <f t="shared" si="135"/>
        <v>24</v>
      </c>
      <c r="AD119" s="342"/>
    </row>
    <row r="120" spans="2:32" ht="20" customHeight="1" outlineLevel="1">
      <c r="B120" s="147" t="s">
        <v>67</v>
      </c>
      <c r="C120" s="86">
        <f>Аналитика!$M$9</f>
        <v>2</v>
      </c>
      <c r="D120" s="86">
        <f>Аналитика!$M$9</f>
        <v>2</v>
      </c>
      <c r="E120" s="86">
        <f>Аналитика!$M$9</f>
        <v>2</v>
      </c>
      <c r="F120" s="86">
        <f>Аналитика!$M$9</f>
        <v>2</v>
      </c>
      <c r="G120" s="86">
        <f>Аналитика!$M$9</f>
        <v>2</v>
      </c>
      <c r="H120" s="86">
        <f>Аналитика!$M$9</f>
        <v>2</v>
      </c>
      <c r="I120" s="86">
        <f>Аналитика!$M$9</f>
        <v>2</v>
      </c>
      <c r="J120" s="86">
        <f>Аналитика!$M$9</f>
        <v>2</v>
      </c>
      <c r="K120" s="86">
        <f>Аналитика!$M$9</f>
        <v>2</v>
      </c>
      <c r="L120" s="86">
        <f>Аналитика!$M$9</f>
        <v>2</v>
      </c>
      <c r="M120" s="86">
        <f>Аналитика!$M$9</f>
        <v>2</v>
      </c>
      <c r="N120" s="86">
        <f>Аналитика!$M$9</f>
        <v>2</v>
      </c>
      <c r="O120" s="76">
        <f t="shared" si="134"/>
        <v>24</v>
      </c>
      <c r="P120" s="86">
        <f>Аналитика!$M$9</f>
        <v>2</v>
      </c>
      <c r="Q120" s="86">
        <f>Аналитика!$M$9</f>
        <v>2</v>
      </c>
      <c r="R120" s="86">
        <f>Аналитика!$M$9</f>
        <v>2</v>
      </c>
      <c r="S120" s="86">
        <f>Аналитика!$M$9</f>
        <v>2</v>
      </c>
      <c r="T120" s="86">
        <f>Аналитика!$M$9</f>
        <v>2</v>
      </c>
      <c r="U120" s="86">
        <f>Аналитика!$M$9</f>
        <v>2</v>
      </c>
      <c r="V120" s="86">
        <f>Аналитика!$M$9</f>
        <v>2</v>
      </c>
      <c r="W120" s="86">
        <f>Аналитика!$M$9</f>
        <v>2</v>
      </c>
      <c r="X120" s="86">
        <f>Аналитика!$M$9</f>
        <v>2</v>
      </c>
      <c r="Y120" s="86">
        <f>Аналитика!$M$9</f>
        <v>2</v>
      </c>
      <c r="Z120" s="86">
        <f>Аналитика!$M$9</f>
        <v>2</v>
      </c>
      <c r="AA120" s="86">
        <f>Аналитика!$M$9</f>
        <v>2</v>
      </c>
      <c r="AB120" s="77">
        <f t="shared" si="135"/>
        <v>24</v>
      </c>
      <c r="AD120" s="342"/>
    </row>
    <row r="121" spans="2:32" ht="20" customHeight="1" outlineLevel="1">
      <c r="B121" s="119" t="s">
        <v>69</v>
      </c>
      <c r="C121" s="120">
        <f>Аналитика!$M$9</f>
        <v>2</v>
      </c>
      <c r="D121" s="120">
        <f>Аналитика!$M$9</f>
        <v>2</v>
      </c>
      <c r="E121" s="120">
        <f>Аналитика!$M$9</f>
        <v>2</v>
      </c>
      <c r="F121" s="120">
        <f>Аналитика!$M$9</f>
        <v>2</v>
      </c>
      <c r="G121" s="120">
        <f>Аналитика!$M$9</f>
        <v>2</v>
      </c>
      <c r="H121" s="120">
        <f>Аналитика!$M$9</f>
        <v>2</v>
      </c>
      <c r="I121" s="120">
        <f>Аналитика!$M$9</f>
        <v>2</v>
      </c>
      <c r="J121" s="120">
        <f>Аналитика!$M$9</f>
        <v>2</v>
      </c>
      <c r="K121" s="120">
        <f>Аналитика!$M$9</f>
        <v>2</v>
      </c>
      <c r="L121" s="120">
        <f>Аналитика!$M$9</f>
        <v>2</v>
      </c>
      <c r="M121" s="120">
        <f>Аналитика!$M$9</f>
        <v>2</v>
      </c>
      <c r="N121" s="120">
        <f>Аналитика!$M$9</f>
        <v>2</v>
      </c>
      <c r="O121" s="121">
        <f t="shared" si="134"/>
        <v>24</v>
      </c>
      <c r="P121" s="120">
        <f>Аналитика!$M$9</f>
        <v>2</v>
      </c>
      <c r="Q121" s="120">
        <f>Аналитика!$M$9</f>
        <v>2</v>
      </c>
      <c r="R121" s="120">
        <f>Аналитика!$M$9</f>
        <v>2</v>
      </c>
      <c r="S121" s="120">
        <f>Аналитика!$M$9</f>
        <v>2</v>
      </c>
      <c r="T121" s="120">
        <f>Аналитика!$M$9</f>
        <v>2</v>
      </c>
      <c r="U121" s="120">
        <f>Аналитика!$M$9</f>
        <v>2</v>
      </c>
      <c r="V121" s="120">
        <f>Аналитика!$M$9</f>
        <v>2</v>
      </c>
      <c r="W121" s="120">
        <f>Аналитика!$M$9</f>
        <v>2</v>
      </c>
      <c r="X121" s="120">
        <f>Аналитика!$M$9</f>
        <v>2</v>
      </c>
      <c r="Y121" s="120">
        <f>Аналитика!$M$9</f>
        <v>2</v>
      </c>
      <c r="Z121" s="120">
        <f>Аналитика!$M$9</f>
        <v>2</v>
      </c>
      <c r="AA121" s="120">
        <f>Аналитика!$M$9</f>
        <v>2</v>
      </c>
      <c r="AB121" s="122">
        <f t="shared" si="135"/>
        <v>24</v>
      </c>
      <c r="AD121" s="342"/>
    </row>
    <row r="122" spans="2:32" ht="20" customHeight="1">
      <c r="B122" s="125" t="s">
        <v>71</v>
      </c>
      <c r="C122" s="126">
        <f>Аналитика!$M$9</f>
        <v>2</v>
      </c>
      <c r="D122" s="126">
        <f>Аналитика!$M$9</f>
        <v>2</v>
      </c>
      <c r="E122" s="126">
        <f>Аналитика!$M$9</f>
        <v>2</v>
      </c>
      <c r="F122" s="126">
        <f>Аналитика!$M$9</f>
        <v>2</v>
      </c>
      <c r="G122" s="126">
        <f>Аналитика!$M$9</f>
        <v>2</v>
      </c>
      <c r="H122" s="126">
        <f>Аналитика!$M$9</f>
        <v>2</v>
      </c>
      <c r="I122" s="126">
        <f>Аналитика!$M$9</f>
        <v>2</v>
      </c>
      <c r="J122" s="126">
        <f>Аналитика!$M$9</f>
        <v>2</v>
      </c>
      <c r="K122" s="126">
        <f>Аналитика!$M$9</f>
        <v>2</v>
      </c>
      <c r="L122" s="126">
        <f>Аналитика!$M$9</f>
        <v>2</v>
      </c>
      <c r="M122" s="126">
        <f>Аналитика!$M$9</f>
        <v>2</v>
      </c>
      <c r="N122" s="126">
        <f>Аналитика!$M$9</f>
        <v>2</v>
      </c>
      <c r="O122" s="126">
        <f t="shared" si="134"/>
        <v>24</v>
      </c>
      <c r="P122" s="126">
        <f>Аналитика!$M$9</f>
        <v>2</v>
      </c>
      <c r="Q122" s="126">
        <f>Аналитика!$M$9</f>
        <v>2</v>
      </c>
      <c r="R122" s="126">
        <f>Аналитика!$M$9</f>
        <v>2</v>
      </c>
      <c r="S122" s="126">
        <f>Аналитика!$M$9</f>
        <v>2</v>
      </c>
      <c r="T122" s="126">
        <f>Аналитика!$M$9</f>
        <v>2</v>
      </c>
      <c r="U122" s="126">
        <f>Аналитика!$M$9</f>
        <v>2</v>
      </c>
      <c r="V122" s="126">
        <f>Аналитика!$M$9</f>
        <v>2</v>
      </c>
      <c r="W122" s="126">
        <f>Аналитика!$M$9</f>
        <v>2</v>
      </c>
      <c r="X122" s="126">
        <f>Аналитика!$M$9</f>
        <v>2</v>
      </c>
      <c r="Y122" s="126">
        <f>Аналитика!$M$9</f>
        <v>2</v>
      </c>
      <c r="Z122" s="126">
        <f>Аналитика!$M$9</f>
        <v>2</v>
      </c>
      <c r="AA122" s="126">
        <f>Аналитика!$M$9</f>
        <v>2</v>
      </c>
      <c r="AB122" s="126">
        <f t="shared" si="135"/>
        <v>24</v>
      </c>
      <c r="AD122" s="342"/>
    </row>
    <row r="123" spans="2:32" ht="20" customHeight="1">
      <c r="P123" s="9"/>
      <c r="Q123" s="9"/>
      <c r="R123" s="9"/>
      <c r="S123" s="9"/>
      <c r="T123" s="9"/>
      <c r="U123" s="9"/>
      <c r="V123" s="9"/>
      <c r="W123" s="9"/>
      <c r="X123" s="9"/>
      <c r="Y123" s="9"/>
      <c r="Z123" s="9"/>
      <c r="AA123" s="9"/>
    </row>
    <row r="124" spans="2:32" ht="20" customHeight="1">
      <c r="B124" s="233" t="s">
        <v>177</v>
      </c>
      <c r="C124" s="230"/>
      <c r="D124" s="230"/>
      <c r="E124" s="230"/>
      <c r="F124" s="230"/>
      <c r="G124" s="231"/>
      <c r="H124" s="231"/>
      <c r="I124" s="231"/>
      <c r="J124" s="231"/>
      <c r="K124" s="231"/>
      <c r="L124" s="231"/>
      <c r="M124" s="231"/>
      <c r="N124" s="231"/>
      <c r="O124" s="231"/>
      <c r="P124" s="231"/>
      <c r="Q124" s="231"/>
      <c r="R124" s="231"/>
      <c r="S124" s="231"/>
      <c r="T124" s="231"/>
      <c r="U124" s="231"/>
      <c r="V124" s="231"/>
      <c r="W124" s="231"/>
      <c r="X124" s="231"/>
      <c r="Y124" s="231"/>
      <c r="Z124" s="231"/>
      <c r="AA124" s="231"/>
      <c r="AB124" s="231"/>
      <c r="AF124" s="13"/>
    </row>
    <row r="125" spans="2:32" ht="20" customHeight="1" thickBot="1">
      <c r="B125" s="113"/>
      <c r="C125" s="153" t="s">
        <v>186</v>
      </c>
      <c r="D125" s="153" t="s">
        <v>187</v>
      </c>
      <c r="E125" s="153" t="s">
        <v>188</v>
      </c>
      <c r="F125" s="153" t="s">
        <v>189</v>
      </c>
      <c r="G125" s="249">
        <v>46143</v>
      </c>
      <c r="H125" s="153" t="s">
        <v>190</v>
      </c>
      <c r="I125" s="153" t="s">
        <v>191</v>
      </c>
      <c r="J125" s="153" t="s">
        <v>192</v>
      </c>
      <c r="K125" s="153" t="s">
        <v>193</v>
      </c>
      <c r="L125" s="153" t="s">
        <v>194</v>
      </c>
      <c r="M125" s="153" t="s">
        <v>195</v>
      </c>
      <c r="N125" s="153" t="s">
        <v>196</v>
      </c>
      <c r="O125" s="250">
        <v>2026</v>
      </c>
      <c r="P125" s="153" t="s">
        <v>202</v>
      </c>
      <c r="Q125" s="153" t="s">
        <v>203</v>
      </c>
      <c r="R125" s="153" t="s">
        <v>204</v>
      </c>
      <c r="S125" s="153" t="s">
        <v>205</v>
      </c>
      <c r="T125" s="249">
        <v>46508</v>
      </c>
      <c r="U125" s="153" t="s">
        <v>206</v>
      </c>
      <c r="V125" s="153" t="s">
        <v>207</v>
      </c>
      <c r="W125" s="153" t="s">
        <v>208</v>
      </c>
      <c r="X125" s="153" t="s">
        <v>209</v>
      </c>
      <c r="Y125" s="153" t="s">
        <v>210</v>
      </c>
      <c r="Z125" s="153" t="s">
        <v>211</v>
      </c>
      <c r="AA125" s="153" t="s">
        <v>212</v>
      </c>
      <c r="AB125" s="250">
        <v>2027</v>
      </c>
    </row>
    <row r="126" spans="2:32" ht="10.25" customHeight="1">
      <c r="B126" s="123"/>
      <c r="C126" s="123"/>
      <c r="D126" s="123"/>
      <c r="E126" s="123"/>
      <c r="F126" s="123"/>
      <c r="G126" s="123"/>
      <c r="H126" s="123"/>
      <c r="I126" s="123"/>
      <c r="J126" s="123"/>
      <c r="K126" s="123"/>
      <c r="L126" s="123"/>
      <c r="M126" s="123"/>
      <c r="N126" s="123"/>
      <c r="O126" s="123"/>
      <c r="P126" s="123"/>
      <c r="Q126" s="123"/>
      <c r="R126" s="123"/>
      <c r="S126" s="123"/>
      <c r="T126" s="123"/>
      <c r="U126" s="123"/>
      <c r="V126" s="123"/>
      <c r="W126" s="123"/>
      <c r="X126" s="123"/>
      <c r="Y126" s="123"/>
      <c r="Z126" s="123"/>
      <c r="AA126" s="123"/>
      <c r="AB126" s="123"/>
    </row>
    <row r="127" spans="2:32" ht="20" customHeight="1">
      <c r="B127" s="125" t="s">
        <v>21</v>
      </c>
      <c r="C127" s="126">
        <f t="shared" ref="C127:N127" si="136">SUM(C128:C132)</f>
        <v>29.150684931506849</v>
      </c>
      <c r="D127" s="126">
        <f t="shared" si="136"/>
        <v>29.150684931506849</v>
      </c>
      <c r="E127" s="126">
        <f t="shared" si="136"/>
        <v>29.150684931506849</v>
      </c>
      <c r="F127" s="126">
        <f t="shared" si="136"/>
        <v>29.150684931506849</v>
      </c>
      <c r="G127" s="126">
        <f t="shared" si="136"/>
        <v>29.150684931506849</v>
      </c>
      <c r="H127" s="126">
        <f t="shared" si="136"/>
        <v>29.150684931506849</v>
      </c>
      <c r="I127" s="126">
        <f t="shared" si="136"/>
        <v>29.150684931506849</v>
      </c>
      <c r="J127" s="126">
        <f t="shared" si="136"/>
        <v>29.150684931506849</v>
      </c>
      <c r="K127" s="126">
        <f t="shared" si="136"/>
        <v>29.150684931506849</v>
      </c>
      <c r="L127" s="126">
        <f t="shared" si="136"/>
        <v>29.150684931506849</v>
      </c>
      <c r="M127" s="126">
        <f t="shared" si="136"/>
        <v>29.150684931506849</v>
      </c>
      <c r="N127" s="126">
        <f t="shared" si="136"/>
        <v>29.150684931506849</v>
      </c>
      <c r="O127" s="126">
        <f>SUM(C127:N127)</f>
        <v>349.80821917808225</v>
      </c>
      <c r="P127" s="126">
        <f t="shared" ref="P127:AA127" si="137">SUM(P128:P132)</f>
        <v>31.482739726027397</v>
      </c>
      <c r="Q127" s="126">
        <f t="shared" si="137"/>
        <v>31.482739726027397</v>
      </c>
      <c r="R127" s="126">
        <f t="shared" si="137"/>
        <v>31.482739726027397</v>
      </c>
      <c r="S127" s="126">
        <f t="shared" si="137"/>
        <v>31.482739726027397</v>
      </c>
      <c r="T127" s="126">
        <f t="shared" si="137"/>
        <v>31.482739726027397</v>
      </c>
      <c r="U127" s="126">
        <f t="shared" si="137"/>
        <v>31.482739726027397</v>
      </c>
      <c r="V127" s="126">
        <f t="shared" si="137"/>
        <v>31.482739726027397</v>
      </c>
      <c r="W127" s="126">
        <f t="shared" si="137"/>
        <v>31.482739726027397</v>
      </c>
      <c r="X127" s="126">
        <f t="shared" si="137"/>
        <v>31.482739726027397</v>
      </c>
      <c r="Y127" s="126">
        <f t="shared" si="137"/>
        <v>31.482739726027397</v>
      </c>
      <c r="Z127" s="126">
        <f t="shared" si="137"/>
        <v>31.482739726027397</v>
      </c>
      <c r="AA127" s="126">
        <f t="shared" si="137"/>
        <v>31.482739726027397</v>
      </c>
      <c r="AB127" s="126">
        <f>SUM(P127:AA127)</f>
        <v>377.79287671232873</v>
      </c>
    </row>
    <row r="128" spans="2:32" ht="20" customHeight="1" outlineLevel="1">
      <c r="B128" s="117" t="s">
        <v>65</v>
      </c>
      <c r="C128" s="118">
        <f>$O128/12</f>
        <v>7.6712328767123283</v>
      </c>
      <c r="D128" s="118">
        <f t="shared" ref="D128:N138" si="138">$O128/12</f>
        <v>7.6712328767123283</v>
      </c>
      <c r="E128" s="118">
        <f t="shared" si="138"/>
        <v>7.6712328767123283</v>
      </c>
      <c r="F128" s="118">
        <f t="shared" si="138"/>
        <v>7.6712328767123283</v>
      </c>
      <c r="G128" s="118">
        <f t="shared" si="138"/>
        <v>7.6712328767123283</v>
      </c>
      <c r="H128" s="118">
        <f t="shared" si="138"/>
        <v>7.6712328767123283</v>
      </c>
      <c r="I128" s="118">
        <f t="shared" si="138"/>
        <v>7.6712328767123283</v>
      </c>
      <c r="J128" s="118">
        <f t="shared" si="138"/>
        <v>7.6712328767123283</v>
      </c>
      <c r="K128" s="118">
        <f t="shared" si="138"/>
        <v>7.6712328767123283</v>
      </c>
      <c r="L128" s="118">
        <f t="shared" si="138"/>
        <v>7.6712328767123283</v>
      </c>
      <c r="M128" s="118">
        <f t="shared" si="138"/>
        <v>7.6712328767123283</v>
      </c>
      <c r="N128" s="118">
        <f t="shared" si="138"/>
        <v>7.6712328767123283</v>
      </c>
      <c r="O128" s="65">
        <f>O80/365*28</f>
        <v>92.054794520547944</v>
      </c>
      <c r="P128" s="118">
        <f>$AB128/12</f>
        <v>8.2849315068493148</v>
      </c>
      <c r="Q128" s="118">
        <f t="shared" ref="Q128:AA132" si="139">$AB128/12</f>
        <v>8.2849315068493148</v>
      </c>
      <c r="R128" s="118">
        <f t="shared" si="139"/>
        <v>8.2849315068493148</v>
      </c>
      <c r="S128" s="118">
        <f t="shared" si="139"/>
        <v>8.2849315068493148</v>
      </c>
      <c r="T128" s="118">
        <f t="shared" si="139"/>
        <v>8.2849315068493148</v>
      </c>
      <c r="U128" s="118">
        <f t="shared" si="139"/>
        <v>8.2849315068493148</v>
      </c>
      <c r="V128" s="118">
        <f t="shared" si="139"/>
        <v>8.2849315068493148</v>
      </c>
      <c r="W128" s="118">
        <f t="shared" si="139"/>
        <v>8.2849315068493148</v>
      </c>
      <c r="X128" s="118">
        <f t="shared" si="139"/>
        <v>8.2849315068493148</v>
      </c>
      <c r="Y128" s="118">
        <f t="shared" si="139"/>
        <v>8.2849315068493148</v>
      </c>
      <c r="Z128" s="118">
        <f t="shared" si="139"/>
        <v>8.2849315068493148</v>
      </c>
      <c r="AA128" s="118">
        <f t="shared" si="139"/>
        <v>8.2849315068493148</v>
      </c>
      <c r="AB128" s="66">
        <f t="shared" ref="AB128:AB132" si="140">AB80/365*28</f>
        <v>99.419178082191777</v>
      </c>
    </row>
    <row r="129" spans="2:32" ht="20" customHeight="1" outlineLevel="1">
      <c r="B129" s="147" t="s">
        <v>66</v>
      </c>
      <c r="C129" s="86">
        <f t="shared" ref="C129:C132" si="141">$O129/12</f>
        <v>4.602739726027397</v>
      </c>
      <c r="D129" s="86">
        <f t="shared" si="138"/>
        <v>4.602739726027397</v>
      </c>
      <c r="E129" s="86">
        <f t="shared" si="138"/>
        <v>4.602739726027397</v>
      </c>
      <c r="F129" s="86">
        <f t="shared" si="138"/>
        <v>4.602739726027397</v>
      </c>
      <c r="G129" s="86">
        <f t="shared" si="138"/>
        <v>4.602739726027397</v>
      </c>
      <c r="H129" s="86">
        <f t="shared" si="138"/>
        <v>4.602739726027397</v>
      </c>
      <c r="I129" s="86">
        <f t="shared" si="138"/>
        <v>4.602739726027397</v>
      </c>
      <c r="J129" s="86">
        <f t="shared" si="138"/>
        <v>4.602739726027397</v>
      </c>
      <c r="K129" s="86">
        <f t="shared" si="138"/>
        <v>4.602739726027397</v>
      </c>
      <c r="L129" s="86">
        <f t="shared" si="138"/>
        <v>4.602739726027397</v>
      </c>
      <c r="M129" s="86">
        <f t="shared" si="138"/>
        <v>4.602739726027397</v>
      </c>
      <c r="N129" s="86">
        <f t="shared" si="138"/>
        <v>4.602739726027397</v>
      </c>
      <c r="O129" s="76">
        <f t="shared" ref="O129:O132" si="142">O81/365*28</f>
        <v>55.232876712328761</v>
      </c>
      <c r="P129" s="86">
        <f t="shared" ref="P129:P132" si="143">$AB129/12</f>
        <v>4.9709589041095885</v>
      </c>
      <c r="Q129" s="86">
        <f t="shared" si="139"/>
        <v>4.9709589041095885</v>
      </c>
      <c r="R129" s="86">
        <f t="shared" si="139"/>
        <v>4.9709589041095885</v>
      </c>
      <c r="S129" s="86">
        <f t="shared" si="139"/>
        <v>4.9709589041095885</v>
      </c>
      <c r="T129" s="86">
        <f t="shared" si="139"/>
        <v>4.9709589041095885</v>
      </c>
      <c r="U129" s="86">
        <f t="shared" si="139"/>
        <v>4.9709589041095885</v>
      </c>
      <c r="V129" s="86">
        <f t="shared" si="139"/>
        <v>4.9709589041095885</v>
      </c>
      <c r="W129" s="86">
        <f t="shared" si="139"/>
        <v>4.9709589041095885</v>
      </c>
      <c r="X129" s="86">
        <f t="shared" si="139"/>
        <v>4.9709589041095885</v>
      </c>
      <c r="Y129" s="86">
        <f t="shared" si="139"/>
        <v>4.9709589041095885</v>
      </c>
      <c r="Z129" s="86">
        <f t="shared" si="139"/>
        <v>4.9709589041095885</v>
      </c>
      <c r="AA129" s="86">
        <f t="shared" si="139"/>
        <v>4.9709589041095885</v>
      </c>
      <c r="AB129" s="77">
        <f t="shared" si="140"/>
        <v>59.651506849315062</v>
      </c>
    </row>
    <row r="130" spans="2:32" ht="20" customHeight="1" outlineLevel="1">
      <c r="B130" s="147" t="s">
        <v>67</v>
      </c>
      <c r="C130" s="86">
        <f t="shared" si="141"/>
        <v>4.602739726027397</v>
      </c>
      <c r="D130" s="86">
        <f t="shared" si="138"/>
        <v>4.602739726027397</v>
      </c>
      <c r="E130" s="86">
        <f t="shared" si="138"/>
        <v>4.602739726027397</v>
      </c>
      <c r="F130" s="86">
        <f t="shared" si="138"/>
        <v>4.602739726027397</v>
      </c>
      <c r="G130" s="86">
        <f t="shared" si="138"/>
        <v>4.602739726027397</v>
      </c>
      <c r="H130" s="86">
        <f t="shared" si="138"/>
        <v>4.602739726027397</v>
      </c>
      <c r="I130" s="86">
        <f t="shared" si="138"/>
        <v>4.602739726027397</v>
      </c>
      <c r="J130" s="86">
        <f t="shared" si="138"/>
        <v>4.602739726027397</v>
      </c>
      <c r="K130" s="86">
        <f t="shared" si="138"/>
        <v>4.602739726027397</v>
      </c>
      <c r="L130" s="86">
        <f t="shared" si="138"/>
        <v>4.602739726027397</v>
      </c>
      <c r="M130" s="86">
        <f t="shared" si="138"/>
        <v>4.602739726027397</v>
      </c>
      <c r="N130" s="86">
        <f t="shared" si="138"/>
        <v>4.602739726027397</v>
      </c>
      <c r="O130" s="76">
        <f t="shared" si="142"/>
        <v>55.232876712328761</v>
      </c>
      <c r="P130" s="86">
        <f t="shared" si="143"/>
        <v>4.9709589041095885</v>
      </c>
      <c r="Q130" s="86">
        <f t="shared" si="139"/>
        <v>4.9709589041095885</v>
      </c>
      <c r="R130" s="86">
        <f t="shared" si="139"/>
        <v>4.9709589041095885</v>
      </c>
      <c r="S130" s="86">
        <f t="shared" si="139"/>
        <v>4.9709589041095885</v>
      </c>
      <c r="T130" s="86">
        <f t="shared" si="139"/>
        <v>4.9709589041095885</v>
      </c>
      <c r="U130" s="86">
        <f t="shared" si="139"/>
        <v>4.9709589041095885</v>
      </c>
      <c r="V130" s="86">
        <f t="shared" si="139"/>
        <v>4.9709589041095885</v>
      </c>
      <c r="W130" s="86">
        <f t="shared" si="139"/>
        <v>4.9709589041095885</v>
      </c>
      <c r="X130" s="86">
        <f t="shared" si="139"/>
        <v>4.9709589041095885</v>
      </c>
      <c r="Y130" s="86">
        <f t="shared" si="139"/>
        <v>4.9709589041095885</v>
      </c>
      <c r="Z130" s="86">
        <f t="shared" si="139"/>
        <v>4.9709589041095885</v>
      </c>
      <c r="AA130" s="86">
        <f t="shared" si="139"/>
        <v>4.9709589041095885</v>
      </c>
      <c r="AB130" s="77">
        <f t="shared" si="140"/>
        <v>59.651506849315062</v>
      </c>
    </row>
    <row r="131" spans="2:32" ht="20" customHeight="1" outlineLevel="1">
      <c r="B131" s="147" t="s">
        <v>68</v>
      </c>
      <c r="C131" s="86">
        <f t="shared" si="141"/>
        <v>6.1369863013698627</v>
      </c>
      <c r="D131" s="86">
        <f t="shared" si="138"/>
        <v>6.1369863013698627</v>
      </c>
      <c r="E131" s="86">
        <f t="shared" si="138"/>
        <v>6.1369863013698627</v>
      </c>
      <c r="F131" s="86">
        <f t="shared" si="138"/>
        <v>6.1369863013698627</v>
      </c>
      <c r="G131" s="86">
        <f t="shared" si="138"/>
        <v>6.1369863013698627</v>
      </c>
      <c r="H131" s="86">
        <f t="shared" si="138"/>
        <v>6.1369863013698627</v>
      </c>
      <c r="I131" s="86">
        <f t="shared" si="138"/>
        <v>6.1369863013698627</v>
      </c>
      <c r="J131" s="86">
        <f t="shared" si="138"/>
        <v>6.1369863013698627</v>
      </c>
      <c r="K131" s="86">
        <f t="shared" si="138"/>
        <v>6.1369863013698627</v>
      </c>
      <c r="L131" s="86">
        <f t="shared" si="138"/>
        <v>6.1369863013698627</v>
      </c>
      <c r="M131" s="86">
        <f t="shared" si="138"/>
        <v>6.1369863013698627</v>
      </c>
      <c r="N131" s="86">
        <f t="shared" si="138"/>
        <v>6.1369863013698627</v>
      </c>
      <c r="O131" s="76">
        <f t="shared" si="142"/>
        <v>73.643835616438352</v>
      </c>
      <c r="P131" s="86">
        <f t="shared" si="143"/>
        <v>6.6279452054794517</v>
      </c>
      <c r="Q131" s="86">
        <f t="shared" si="139"/>
        <v>6.6279452054794517</v>
      </c>
      <c r="R131" s="86">
        <f t="shared" si="139"/>
        <v>6.6279452054794517</v>
      </c>
      <c r="S131" s="86">
        <f t="shared" si="139"/>
        <v>6.6279452054794517</v>
      </c>
      <c r="T131" s="86">
        <f t="shared" si="139"/>
        <v>6.6279452054794517</v>
      </c>
      <c r="U131" s="86">
        <f t="shared" si="139"/>
        <v>6.6279452054794517</v>
      </c>
      <c r="V131" s="86">
        <f t="shared" si="139"/>
        <v>6.6279452054794517</v>
      </c>
      <c r="W131" s="86">
        <f t="shared" si="139"/>
        <v>6.6279452054794517</v>
      </c>
      <c r="X131" s="86">
        <f t="shared" si="139"/>
        <v>6.6279452054794517</v>
      </c>
      <c r="Y131" s="86">
        <f t="shared" si="139"/>
        <v>6.6279452054794517</v>
      </c>
      <c r="Z131" s="86">
        <f t="shared" si="139"/>
        <v>6.6279452054794517</v>
      </c>
      <c r="AA131" s="86">
        <f t="shared" si="139"/>
        <v>6.6279452054794517</v>
      </c>
      <c r="AB131" s="77">
        <f t="shared" si="140"/>
        <v>79.535342465753416</v>
      </c>
    </row>
    <row r="132" spans="2:32" ht="20" customHeight="1" outlineLevel="1">
      <c r="B132" s="119" t="s">
        <v>69</v>
      </c>
      <c r="C132" s="120">
        <f t="shared" si="141"/>
        <v>6.1369863013698627</v>
      </c>
      <c r="D132" s="120">
        <f t="shared" si="138"/>
        <v>6.1369863013698627</v>
      </c>
      <c r="E132" s="120">
        <f t="shared" si="138"/>
        <v>6.1369863013698627</v>
      </c>
      <c r="F132" s="120">
        <f t="shared" si="138"/>
        <v>6.1369863013698627</v>
      </c>
      <c r="G132" s="120">
        <f t="shared" si="138"/>
        <v>6.1369863013698627</v>
      </c>
      <c r="H132" s="120">
        <f t="shared" si="138"/>
        <v>6.1369863013698627</v>
      </c>
      <c r="I132" s="120">
        <f t="shared" si="138"/>
        <v>6.1369863013698627</v>
      </c>
      <c r="J132" s="120">
        <f t="shared" si="138"/>
        <v>6.1369863013698627</v>
      </c>
      <c r="K132" s="120">
        <f t="shared" si="138"/>
        <v>6.1369863013698627</v>
      </c>
      <c r="L132" s="120">
        <f t="shared" si="138"/>
        <v>6.1369863013698627</v>
      </c>
      <c r="M132" s="120">
        <f t="shared" si="138"/>
        <v>6.1369863013698627</v>
      </c>
      <c r="N132" s="120">
        <f t="shared" si="138"/>
        <v>6.1369863013698627</v>
      </c>
      <c r="O132" s="121">
        <f t="shared" si="142"/>
        <v>73.643835616438352</v>
      </c>
      <c r="P132" s="120">
        <f t="shared" si="143"/>
        <v>6.6279452054794517</v>
      </c>
      <c r="Q132" s="120">
        <f t="shared" si="139"/>
        <v>6.6279452054794517</v>
      </c>
      <c r="R132" s="120">
        <f t="shared" si="139"/>
        <v>6.6279452054794517</v>
      </c>
      <c r="S132" s="120">
        <f t="shared" si="139"/>
        <v>6.6279452054794517</v>
      </c>
      <c r="T132" s="120">
        <f t="shared" si="139"/>
        <v>6.6279452054794517</v>
      </c>
      <c r="U132" s="120">
        <f t="shared" si="139"/>
        <v>6.6279452054794517</v>
      </c>
      <c r="V132" s="120">
        <f t="shared" si="139"/>
        <v>6.6279452054794517</v>
      </c>
      <c r="W132" s="120">
        <f t="shared" si="139"/>
        <v>6.6279452054794517</v>
      </c>
      <c r="X132" s="120">
        <f t="shared" si="139"/>
        <v>6.6279452054794517</v>
      </c>
      <c r="Y132" s="120">
        <f t="shared" si="139"/>
        <v>6.6279452054794517</v>
      </c>
      <c r="Z132" s="120">
        <f t="shared" si="139"/>
        <v>6.6279452054794517</v>
      </c>
      <c r="AA132" s="120">
        <f t="shared" si="139"/>
        <v>6.6279452054794517</v>
      </c>
      <c r="AB132" s="122">
        <f t="shared" si="140"/>
        <v>79.535342465753416</v>
      </c>
    </row>
    <row r="133" spans="2:32" ht="20" customHeight="1">
      <c r="B133" s="125" t="s">
        <v>22</v>
      </c>
      <c r="C133" s="126">
        <f>SUM(C134:C137)</f>
        <v>26.849315068493151</v>
      </c>
      <c r="D133" s="126">
        <f t="shared" ref="D133:N133" si="144">SUM(D134:D137)</f>
        <v>26.849315068493151</v>
      </c>
      <c r="E133" s="126">
        <f t="shared" si="144"/>
        <v>26.849315068493151</v>
      </c>
      <c r="F133" s="126">
        <f t="shared" si="144"/>
        <v>26.849315068493151</v>
      </c>
      <c r="G133" s="126">
        <f t="shared" si="144"/>
        <v>26.849315068493151</v>
      </c>
      <c r="H133" s="126">
        <f t="shared" si="144"/>
        <v>26.849315068493151</v>
      </c>
      <c r="I133" s="126">
        <f t="shared" si="144"/>
        <v>26.849315068493151</v>
      </c>
      <c r="J133" s="126">
        <f t="shared" si="144"/>
        <v>26.849315068493151</v>
      </c>
      <c r="K133" s="126">
        <f t="shared" si="144"/>
        <v>26.849315068493151</v>
      </c>
      <c r="L133" s="126">
        <f t="shared" si="144"/>
        <v>26.849315068493151</v>
      </c>
      <c r="M133" s="126">
        <f t="shared" si="144"/>
        <v>26.849315068493151</v>
      </c>
      <c r="N133" s="126">
        <f t="shared" si="144"/>
        <v>26.849315068493151</v>
      </c>
      <c r="O133" s="126">
        <f>SUM(C133:N133)</f>
        <v>322.19178082191775</v>
      </c>
      <c r="P133" s="126">
        <f>SUM(P134:P137)</f>
        <v>28.997260273972604</v>
      </c>
      <c r="Q133" s="126">
        <f t="shared" ref="Q133:AA133" si="145">SUM(Q134:Q137)</f>
        <v>28.997260273972604</v>
      </c>
      <c r="R133" s="126">
        <f t="shared" si="145"/>
        <v>28.997260273972604</v>
      </c>
      <c r="S133" s="126">
        <f t="shared" si="145"/>
        <v>28.997260273972604</v>
      </c>
      <c r="T133" s="126">
        <f t="shared" si="145"/>
        <v>28.997260273972604</v>
      </c>
      <c r="U133" s="126">
        <f t="shared" si="145"/>
        <v>28.997260273972604</v>
      </c>
      <c r="V133" s="126">
        <f t="shared" si="145"/>
        <v>28.997260273972604</v>
      </c>
      <c r="W133" s="126">
        <f t="shared" si="145"/>
        <v>28.997260273972604</v>
      </c>
      <c r="X133" s="126">
        <f t="shared" si="145"/>
        <v>28.997260273972604</v>
      </c>
      <c r="Y133" s="126">
        <f t="shared" si="145"/>
        <v>28.997260273972604</v>
      </c>
      <c r="Z133" s="126">
        <f t="shared" si="145"/>
        <v>28.997260273972604</v>
      </c>
      <c r="AA133" s="126">
        <f t="shared" si="145"/>
        <v>28.997260273972604</v>
      </c>
      <c r="AB133" s="126">
        <f>SUM(P133:AA133)</f>
        <v>347.9671232876712</v>
      </c>
    </row>
    <row r="134" spans="2:32" ht="20" customHeight="1" outlineLevel="1">
      <c r="B134" s="117" t="s">
        <v>65</v>
      </c>
      <c r="C134" s="118">
        <f t="shared" ref="C134:C138" si="146">$O134/12</f>
        <v>7.6712328767123283</v>
      </c>
      <c r="D134" s="118">
        <f t="shared" si="138"/>
        <v>7.6712328767123283</v>
      </c>
      <c r="E134" s="118">
        <f t="shared" si="138"/>
        <v>7.6712328767123283</v>
      </c>
      <c r="F134" s="118">
        <f t="shared" si="138"/>
        <v>7.6712328767123283</v>
      </c>
      <c r="G134" s="118">
        <f t="shared" si="138"/>
        <v>7.6712328767123283</v>
      </c>
      <c r="H134" s="118">
        <f t="shared" si="138"/>
        <v>7.6712328767123283</v>
      </c>
      <c r="I134" s="118">
        <f t="shared" si="138"/>
        <v>7.6712328767123283</v>
      </c>
      <c r="J134" s="118">
        <f t="shared" si="138"/>
        <v>7.6712328767123283</v>
      </c>
      <c r="K134" s="118">
        <f t="shared" si="138"/>
        <v>7.6712328767123283</v>
      </c>
      <c r="L134" s="118">
        <f t="shared" si="138"/>
        <v>7.6712328767123283</v>
      </c>
      <c r="M134" s="118">
        <f t="shared" si="138"/>
        <v>7.6712328767123283</v>
      </c>
      <c r="N134" s="118">
        <f t="shared" si="138"/>
        <v>7.6712328767123283</v>
      </c>
      <c r="O134" s="65">
        <f t="shared" ref="O134:O138" si="147">O86/365*28</f>
        <v>92.054794520547944</v>
      </c>
      <c r="P134" s="118">
        <f t="shared" ref="P134:AA138" si="148">$AB134/12</f>
        <v>8.2849315068493148</v>
      </c>
      <c r="Q134" s="118">
        <f t="shared" si="148"/>
        <v>8.2849315068493148</v>
      </c>
      <c r="R134" s="118">
        <f t="shared" si="148"/>
        <v>8.2849315068493148</v>
      </c>
      <c r="S134" s="118">
        <f t="shared" si="148"/>
        <v>8.2849315068493148</v>
      </c>
      <c r="T134" s="118">
        <f t="shared" si="148"/>
        <v>8.2849315068493148</v>
      </c>
      <c r="U134" s="118">
        <f t="shared" si="148"/>
        <v>8.2849315068493148</v>
      </c>
      <c r="V134" s="118">
        <f t="shared" si="148"/>
        <v>8.2849315068493148</v>
      </c>
      <c r="W134" s="118">
        <f t="shared" si="148"/>
        <v>8.2849315068493148</v>
      </c>
      <c r="X134" s="118">
        <f t="shared" si="148"/>
        <v>8.2849315068493148</v>
      </c>
      <c r="Y134" s="118">
        <f t="shared" si="148"/>
        <v>8.2849315068493148</v>
      </c>
      <c r="Z134" s="118">
        <f t="shared" si="148"/>
        <v>8.2849315068493148</v>
      </c>
      <c r="AA134" s="118">
        <f t="shared" si="148"/>
        <v>8.2849315068493148</v>
      </c>
      <c r="AB134" s="66">
        <f t="shared" ref="AB134:AB138" si="149">AB86/365*28</f>
        <v>99.419178082191777</v>
      </c>
    </row>
    <row r="135" spans="2:32" ht="20" customHeight="1" outlineLevel="1">
      <c r="B135" s="147" t="s">
        <v>70</v>
      </c>
      <c r="C135" s="86">
        <f t="shared" si="146"/>
        <v>7.6712328767123283</v>
      </c>
      <c r="D135" s="86">
        <f t="shared" si="138"/>
        <v>7.6712328767123283</v>
      </c>
      <c r="E135" s="86">
        <f t="shared" si="138"/>
        <v>7.6712328767123283</v>
      </c>
      <c r="F135" s="86">
        <f t="shared" si="138"/>
        <v>7.6712328767123283</v>
      </c>
      <c r="G135" s="86">
        <f t="shared" si="138"/>
        <v>7.6712328767123283</v>
      </c>
      <c r="H135" s="86">
        <f t="shared" si="138"/>
        <v>7.6712328767123283</v>
      </c>
      <c r="I135" s="86">
        <f t="shared" si="138"/>
        <v>7.6712328767123283</v>
      </c>
      <c r="J135" s="86">
        <f t="shared" si="138"/>
        <v>7.6712328767123283</v>
      </c>
      <c r="K135" s="86">
        <f t="shared" si="138"/>
        <v>7.6712328767123283</v>
      </c>
      <c r="L135" s="86">
        <f t="shared" si="138"/>
        <v>7.6712328767123283</v>
      </c>
      <c r="M135" s="86">
        <f t="shared" si="138"/>
        <v>7.6712328767123283</v>
      </c>
      <c r="N135" s="86">
        <f t="shared" si="138"/>
        <v>7.6712328767123283</v>
      </c>
      <c r="O135" s="76">
        <f t="shared" si="147"/>
        <v>92.054794520547944</v>
      </c>
      <c r="P135" s="86">
        <f t="shared" si="148"/>
        <v>8.2849315068493148</v>
      </c>
      <c r="Q135" s="86">
        <f t="shared" si="148"/>
        <v>8.2849315068493148</v>
      </c>
      <c r="R135" s="86">
        <f t="shared" si="148"/>
        <v>8.2849315068493148</v>
      </c>
      <c r="S135" s="86">
        <f t="shared" si="148"/>
        <v>8.2849315068493148</v>
      </c>
      <c r="T135" s="86">
        <f t="shared" si="148"/>
        <v>8.2849315068493148</v>
      </c>
      <c r="U135" s="86">
        <f t="shared" si="148"/>
        <v>8.2849315068493148</v>
      </c>
      <c r="V135" s="86">
        <f t="shared" si="148"/>
        <v>8.2849315068493148</v>
      </c>
      <c r="W135" s="86">
        <f t="shared" si="148"/>
        <v>8.2849315068493148</v>
      </c>
      <c r="X135" s="86">
        <f t="shared" si="148"/>
        <v>8.2849315068493148</v>
      </c>
      <c r="Y135" s="86">
        <f t="shared" si="148"/>
        <v>8.2849315068493148</v>
      </c>
      <c r="Z135" s="86">
        <f t="shared" si="148"/>
        <v>8.2849315068493148</v>
      </c>
      <c r="AA135" s="86">
        <f t="shared" si="148"/>
        <v>8.2849315068493148</v>
      </c>
      <c r="AB135" s="77">
        <f t="shared" si="149"/>
        <v>99.419178082191777</v>
      </c>
    </row>
    <row r="136" spans="2:32" ht="20" customHeight="1" outlineLevel="1">
      <c r="B136" s="147" t="s">
        <v>67</v>
      </c>
      <c r="C136" s="86">
        <f t="shared" si="146"/>
        <v>5.3698630136986303</v>
      </c>
      <c r="D136" s="86">
        <f t="shared" si="138"/>
        <v>5.3698630136986303</v>
      </c>
      <c r="E136" s="86">
        <f t="shared" si="138"/>
        <v>5.3698630136986303</v>
      </c>
      <c r="F136" s="86">
        <f t="shared" si="138"/>
        <v>5.3698630136986303</v>
      </c>
      <c r="G136" s="86">
        <f t="shared" si="138"/>
        <v>5.3698630136986303</v>
      </c>
      <c r="H136" s="86">
        <f t="shared" si="138"/>
        <v>5.3698630136986303</v>
      </c>
      <c r="I136" s="86">
        <f t="shared" si="138"/>
        <v>5.3698630136986303</v>
      </c>
      <c r="J136" s="86">
        <f t="shared" si="138"/>
        <v>5.3698630136986303</v>
      </c>
      <c r="K136" s="86">
        <f t="shared" si="138"/>
        <v>5.3698630136986303</v>
      </c>
      <c r="L136" s="86">
        <f t="shared" si="138"/>
        <v>5.3698630136986303</v>
      </c>
      <c r="M136" s="86">
        <f t="shared" si="138"/>
        <v>5.3698630136986303</v>
      </c>
      <c r="N136" s="86">
        <f t="shared" si="138"/>
        <v>5.3698630136986303</v>
      </c>
      <c r="O136" s="76">
        <f t="shared" si="147"/>
        <v>64.438356164383563</v>
      </c>
      <c r="P136" s="86">
        <f t="shared" si="148"/>
        <v>5.7994520547945214</v>
      </c>
      <c r="Q136" s="86">
        <f t="shared" si="148"/>
        <v>5.7994520547945214</v>
      </c>
      <c r="R136" s="86">
        <f t="shared" si="148"/>
        <v>5.7994520547945214</v>
      </c>
      <c r="S136" s="86">
        <f t="shared" si="148"/>
        <v>5.7994520547945214</v>
      </c>
      <c r="T136" s="86">
        <f t="shared" si="148"/>
        <v>5.7994520547945214</v>
      </c>
      <c r="U136" s="86">
        <f t="shared" si="148"/>
        <v>5.7994520547945214</v>
      </c>
      <c r="V136" s="86">
        <f t="shared" si="148"/>
        <v>5.7994520547945214</v>
      </c>
      <c r="W136" s="86">
        <f t="shared" si="148"/>
        <v>5.7994520547945214</v>
      </c>
      <c r="X136" s="86">
        <f t="shared" si="148"/>
        <v>5.7994520547945214</v>
      </c>
      <c r="Y136" s="86">
        <f t="shared" si="148"/>
        <v>5.7994520547945214</v>
      </c>
      <c r="Z136" s="86">
        <f t="shared" si="148"/>
        <v>5.7994520547945214</v>
      </c>
      <c r="AA136" s="86">
        <f t="shared" si="148"/>
        <v>5.7994520547945214</v>
      </c>
      <c r="AB136" s="77">
        <f t="shared" si="149"/>
        <v>69.593424657534257</v>
      </c>
    </row>
    <row r="137" spans="2:32" ht="20" customHeight="1" outlineLevel="1">
      <c r="B137" s="119" t="s">
        <v>69</v>
      </c>
      <c r="C137" s="120">
        <f t="shared" si="146"/>
        <v>6.1369863013698627</v>
      </c>
      <c r="D137" s="120">
        <f t="shared" si="138"/>
        <v>6.1369863013698627</v>
      </c>
      <c r="E137" s="120">
        <f t="shared" si="138"/>
        <v>6.1369863013698627</v>
      </c>
      <c r="F137" s="120">
        <f t="shared" si="138"/>
        <v>6.1369863013698627</v>
      </c>
      <c r="G137" s="120">
        <f t="shared" si="138"/>
        <v>6.1369863013698627</v>
      </c>
      <c r="H137" s="120">
        <f t="shared" si="138"/>
        <v>6.1369863013698627</v>
      </c>
      <c r="I137" s="120">
        <f t="shared" si="138"/>
        <v>6.1369863013698627</v>
      </c>
      <c r="J137" s="120">
        <f t="shared" si="138"/>
        <v>6.1369863013698627</v>
      </c>
      <c r="K137" s="120">
        <f t="shared" si="138"/>
        <v>6.1369863013698627</v>
      </c>
      <c r="L137" s="120">
        <f t="shared" si="138"/>
        <v>6.1369863013698627</v>
      </c>
      <c r="M137" s="120">
        <f t="shared" si="138"/>
        <v>6.1369863013698627</v>
      </c>
      <c r="N137" s="120">
        <f t="shared" si="138"/>
        <v>6.1369863013698627</v>
      </c>
      <c r="O137" s="121">
        <f t="shared" si="147"/>
        <v>73.643835616438352</v>
      </c>
      <c r="P137" s="120">
        <f t="shared" si="148"/>
        <v>6.6279452054794517</v>
      </c>
      <c r="Q137" s="120">
        <f t="shared" si="148"/>
        <v>6.6279452054794517</v>
      </c>
      <c r="R137" s="120">
        <f t="shared" si="148"/>
        <v>6.6279452054794517</v>
      </c>
      <c r="S137" s="120">
        <f t="shared" si="148"/>
        <v>6.6279452054794517</v>
      </c>
      <c r="T137" s="120">
        <f t="shared" si="148"/>
        <v>6.6279452054794517</v>
      </c>
      <c r="U137" s="120">
        <f t="shared" si="148"/>
        <v>6.6279452054794517</v>
      </c>
      <c r="V137" s="120">
        <f t="shared" si="148"/>
        <v>6.6279452054794517</v>
      </c>
      <c r="W137" s="120">
        <f t="shared" si="148"/>
        <v>6.6279452054794517</v>
      </c>
      <c r="X137" s="120">
        <f t="shared" si="148"/>
        <v>6.6279452054794517</v>
      </c>
      <c r="Y137" s="120">
        <f t="shared" si="148"/>
        <v>6.6279452054794517</v>
      </c>
      <c r="Z137" s="120">
        <f t="shared" si="148"/>
        <v>6.6279452054794517</v>
      </c>
      <c r="AA137" s="120">
        <f t="shared" si="148"/>
        <v>6.6279452054794517</v>
      </c>
      <c r="AB137" s="122">
        <f t="shared" si="149"/>
        <v>79.535342465753416</v>
      </c>
    </row>
    <row r="138" spans="2:32" ht="20" customHeight="1">
      <c r="B138" s="125" t="s">
        <v>71</v>
      </c>
      <c r="C138" s="126">
        <f t="shared" si="146"/>
        <v>3.0684931506849313</v>
      </c>
      <c r="D138" s="126">
        <f t="shared" si="138"/>
        <v>3.0684931506849313</v>
      </c>
      <c r="E138" s="126">
        <f t="shared" si="138"/>
        <v>3.0684931506849313</v>
      </c>
      <c r="F138" s="126">
        <f t="shared" si="138"/>
        <v>3.0684931506849313</v>
      </c>
      <c r="G138" s="126">
        <f t="shared" si="138"/>
        <v>3.0684931506849313</v>
      </c>
      <c r="H138" s="126">
        <f t="shared" si="138"/>
        <v>3.0684931506849313</v>
      </c>
      <c r="I138" s="126">
        <f t="shared" si="138"/>
        <v>3.0684931506849313</v>
      </c>
      <c r="J138" s="126">
        <f t="shared" si="138"/>
        <v>3.0684931506849313</v>
      </c>
      <c r="K138" s="126">
        <f t="shared" si="138"/>
        <v>3.0684931506849313</v>
      </c>
      <c r="L138" s="126">
        <f>$O138/12</f>
        <v>3.0684931506849313</v>
      </c>
      <c r="M138" s="126">
        <f t="shared" si="138"/>
        <v>3.0684931506849313</v>
      </c>
      <c r="N138" s="126">
        <f t="shared" si="138"/>
        <v>3.0684931506849313</v>
      </c>
      <c r="O138" s="126">
        <f t="shared" si="147"/>
        <v>36.821917808219176</v>
      </c>
      <c r="P138" s="126">
        <f t="shared" si="148"/>
        <v>3.3139726027397258</v>
      </c>
      <c r="Q138" s="126">
        <f t="shared" si="148"/>
        <v>3.3139726027397258</v>
      </c>
      <c r="R138" s="126">
        <f t="shared" si="148"/>
        <v>3.3139726027397258</v>
      </c>
      <c r="S138" s="126">
        <f t="shared" si="148"/>
        <v>3.3139726027397258</v>
      </c>
      <c r="T138" s="126">
        <f t="shared" si="148"/>
        <v>3.3139726027397258</v>
      </c>
      <c r="U138" s="126">
        <f t="shared" si="148"/>
        <v>3.3139726027397258</v>
      </c>
      <c r="V138" s="126">
        <f t="shared" si="148"/>
        <v>3.3139726027397258</v>
      </c>
      <c r="W138" s="126">
        <f t="shared" si="148"/>
        <v>3.3139726027397258</v>
      </c>
      <c r="X138" s="126">
        <f t="shared" si="148"/>
        <v>3.3139726027397258</v>
      </c>
      <c r="Y138" s="126">
        <f t="shared" si="148"/>
        <v>3.3139726027397258</v>
      </c>
      <c r="Z138" s="126">
        <f t="shared" si="148"/>
        <v>3.3139726027397258</v>
      </c>
      <c r="AA138" s="126">
        <f t="shared" si="148"/>
        <v>3.3139726027397258</v>
      </c>
      <c r="AB138" s="126">
        <f t="shared" si="149"/>
        <v>39.767671232876708</v>
      </c>
    </row>
    <row r="139" spans="2:32" ht="20" customHeight="1"/>
    <row r="140" spans="2:32" ht="20" customHeight="1">
      <c r="B140" s="233" t="s">
        <v>178</v>
      </c>
      <c r="C140" s="230"/>
      <c r="D140" s="230"/>
      <c r="E140" s="230"/>
      <c r="F140" s="230"/>
      <c r="G140" s="231"/>
      <c r="H140" s="231"/>
      <c r="I140" s="231"/>
      <c r="J140" s="231"/>
      <c r="K140" s="231"/>
      <c r="L140" s="231"/>
      <c r="M140" s="231"/>
      <c r="N140" s="231"/>
      <c r="O140" s="231"/>
      <c r="P140" s="231"/>
      <c r="Q140" s="231"/>
      <c r="R140" s="231"/>
      <c r="S140" s="231"/>
      <c r="T140" s="231"/>
      <c r="U140" s="231"/>
      <c r="V140" s="231"/>
      <c r="W140" s="231"/>
      <c r="X140" s="231"/>
      <c r="Y140" s="231"/>
      <c r="Z140" s="231"/>
      <c r="AA140" s="231"/>
      <c r="AB140" s="231"/>
      <c r="AF140" s="13"/>
    </row>
    <row r="141" spans="2:32" ht="20" customHeight="1" thickBot="1">
      <c r="B141" s="113"/>
      <c r="C141" s="153" t="s">
        <v>186</v>
      </c>
      <c r="D141" s="153" t="s">
        <v>187</v>
      </c>
      <c r="E141" s="153" t="s">
        <v>188</v>
      </c>
      <c r="F141" s="153" t="s">
        <v>189</v>
      </c>
      <c r="G141" s="249">
        <v>46143</v>
      </c>
      <c r="H141" s="153" t="s">
        <v>190</v>
      </c>
      <c r="I141" s="153" t="s">
        <v>191</v>
      </c>
      <c r="J141" s="153" t="s">
        <v>192</v>
      </c>
      <c r="K141" s="153" t="s">
        <v>193</v>
      </c>
      <c r="L141" s="153" t="s">
        <v>194</v>
      </c>
      <c r="M141" s="153" t="s">
        <v>195</v>
      </c>
      <c r="N141" s="153" t="s">
        <v>196</v>
      </c>
      <c r="O141" s="250">
        <v>2026</v>
      </c>
      <c r="P141" s="153" t="s">
        <v>202</v>
      </c>
      <c r="Q141" s="153" t="s">
        <v>203</v>
      </c>
      <c r="R141" s="153" t="s">
        <v>204</v>
      </c>
      <c r="S141" s="153" t="s">
        <v>205</v>
      </c>
      <c r="T141" s="249">
        <v>46508</v>
      </c>
      <c r="U141" s="153" t="s">
        <v>206</v>
      </c>
      <c r="V141" s="153" t="s">
        <v>207</v>
      </c>
      <c r="W141" s="153" t="s">
        <v>208</v>
      </c>
      <c r="X141" s="153" t="s">
        <v>209</v>
      </c>
      <c r="Y141" s="153" t="s">
        <v>210</v>
      </c>
      <c r="Z141" s="153" t="s">
        <v>211</v>
      </c>
      <c r="AA141" s="153" t="s">
        <v>212</v>
      </c>
      <c r="AB141" s="250">
        <v>2027</v>
      </c>
    </row>
    <row r="142" spans="2:32" ht="10.25" customHeight="1">
      <c r="B142" s="123"/>
      <c r="C142" s="123"/>
      <c r="D142" s="123"/>
      <c r="E142" s="123"/>
      <c r="F142" s="123"/>
      <c r="G142" s="123"/>
      <c r="H142" s="123"/>
      <c r="I142" s="123"/>
      <c r="J142" s="123"/>
      <c r="K142" s="123"/>
      <c r="L142" s="123"/>
      <c r="M142" s="123"/>
      <c r="N142" s="123"/>
      <c r="O142" s="123"/>
      <c r="P142" s="123"/>
      <c r="Q142" s="123"/>
      <c r="R142" s="123"/>
      <c r="S142" s="123"/>
      <c r="T142" s="123"/>
      <c r="U142" s="123"/>
      <c r="V142" s="123"/>
      <c r="W142" s="123"/>
      <c r="X142" s="123"/>
      <c r="Y142" s="123"/>
      <c r="Z142" s="123"/>
      <c r="AA142" s="123"/>
      <c r="AB142" s="123"/>
    </row>
    <row r="143" spans="2:32" ht="20" customHeight="1">
      <c r="B143" s="125" t="s">
        <v>21</v>
      </c>
      <c r="C143" s="126">
        <f t="shared" ref="C143:N143" si="150">SUM(C144:C148)</f>
        <v>114</v>
      </c>
      <c r="D143" s="126">
        <f t="shared" si="150"/>
        <v>114</v>
      </c>
      <c r="E143" s="126">
        <f t="shared" si="150"/>
        <v>114</v>
      </c>
      <c r="F143" s="126">
        <f t="shared" si="150"/>
        <v>114</v>
      </c>
      <c r="G143" s="126">
        <f t="shared" si="150"/>
        <v>114</v>
      </c>
      <c r="H143" s="126">
        <f t="shared" si="150"/>
        <v>114</v>
      </c>
      <c r="I143" s="126">
        <f t="shared" si="150"/>
        <v>114</v>
      </c>
      <c r="J143" s="126">
        <f t="shared" si="150"/>
        <v>114</v>
      </c>
      <c r="K143" s="126">
        <f t="shared" si="150"/>
        <v>114</v>
      </c>
      <c r="L143" s="126">
        <f t="shared" si="150"/>
        <v>114</v>
      </c>
      <c r="M143" s="126">
        <f t="shared" si="150"/>
        <v>114</v>
      </c>
      <c r="N143" s="126">
        <f t="shared" si="150"/>
        <v>114</v>
      </c>
      <c r="O143" s="126">
        <f>SUM(C143:N143)</f>
        <v>1368</v>
      </c>
      <c r="P143" s="126">
        <f t="shared" ref="P143:AA143" si="151">SUM(P144:P148)</f>
        <v>123.12</v>
      </c>
      <c r="Q143" s="126">
        <f t="shared" si="151"/>
        <v>123.12</v>
      </c>
      <c r="R143" s="126">
        <f t="shared" si="151"/>
        <v>123.12</v>
      </c>
      <c r="S143" s="126">
        <f t="shared" si="151"/>
        <v>123.12</v>
      </c>
      <c r="T143" s="126">
        <f t="shared" si="151"/>
        <v>123.12</v>
      </c>
      <c r="U143" s="126">
        <f t="shared" si="151"/>
        <v>123.12</v>
      </c>
      <c r="V143" s="126">
        <f t="shared" si="151"/>
        <v>123.12</v>
      </c>
      <c r="W143" s="126">
        <f t="shared" si="151"/>
        <v>123.12</v>
      </c>
      <c r="X143" s="126">
        <f t="shared" si="151"/>
        <v>123.12</v>
      </c>
      <c r="Y143" s="126">
        <f t="shared" si="151"/>
        <v>123.12</v>
      </c>
      <c r="Z143" s="126">
        <f t="shared" si="151"/>
        <v>123.12</v>
      </c>
      <c r="AA143" s="126">
        <f t="shared" si="151"/>
        <v>123.12</v>
      </c>
      <c r="AB143" s="126">
        <f>SUM(P143:AA143)</f>
        <v>1477.4399999999996</v>
      </c>
    </row>
    <row r="144" spans="2:32" ht="20" customHeight="1" outlineLevel="1">
      <c r="B144" s="117" t="s">
        <v>65</v>
      </c>
      <c r="C144" s="118">
        <f>IF(SUM($C80:C80)&lt;2225, C80*30%, C80*15.1%)</f>
        <v>30</v>
      </c>
      <c r="D144" s="118">
        <f>IF(SUM($C80:D80)&lt;2225, D80*30%, D80*15.1%)</f>
        <v>30</v>
      </c>
      <c r="E144" s="118">
        <f>IF(SUM($C80:E80)&lt;2225, E80*30%, E80*15.1%)</f>
        <v>30</v>
      </c>
      <c r="F144" s="118">
        <f>IF(SUM($C80:F80)&lt;2225, F80*30%, F80*15.1%)</f>
        <v>30</v>
      </c>
      <c r="G144" s="118">
        <f>IF(SUM($C80:G80)&lt;2225, G80*30%, G80*15.1%)</f>
        <v>30</v>
      </c>
      <c r="H144" s="118">
        <f>IF(SUM($C80:H80)&lt;2225, H80*30%, H80*15.1%)</f>
        <v>30</v>
      </c>
      <c r="I144" s="118">
        <f>IF(SUM($C80:I80)&lt;2225, I80*30%, I80*15.1%)</f>
        <v>30</v>
      </c>
      <c r="J144" s="118">
        <f>IF(SUM($C80:J80)&lt;2225, J80*30%, J80*15.1%)</f>
        <v>30</v>
      </c>
      <c r="K144" s="118">
        <f>IF(SUM($C80:K80)&lt;2225, K80*30%, K80*15.1%)</f>
        <v>30</v>
      </c>
      <c r="L144" s="118">
        <f>IF(SUM($C80:L80)&lt;2225, L80*30%, L80*15.1%)</f>
        <v>30</v>
      </c>
      <c r="M144" s="118">
        <f>IF(SUM($C80:M80)&lt;2225, M80*30%, M80*15.1%)</f>
        <v>30</v>
      </c>
      <c r="N144" s="118">
        <f>IF(SUM($C80:N80)&lt;2225, N80*30%, N80*15.1%)</f>
        <v>30</v>
      </c>
      <c r="O144" s="65">
        <f>SUM(C144:N144)</f>
        <v>360</v>
      </c>
      <c r="P144" s="118">
        <f>IF(SUM($P80:P80)&lt;2225, P80*30%, P80*15.1%)</f>
        <v>32.4</v>
      </c>
      <c r="Q144" s="118">
        <f>IF(SUM($P80:Q80)&lt;2225, Q80*30%, Q80*15.1%)</f>
        <v>32.4</v>
      </c>
      <c r="R144" s="118">
        <f>IF(SUM($P80:R80)&lt;2225, R80*30%, R80*15.1%)</f>
        <v>32.4</v>
      </c>
      <c r="S144" s="118">
        <f>IF(SUM($P80:S80)&lt;2225, S80*30%, S80*15.1%)</f>
        <v>32.4</v>
      </c>
      <c r="T144" s="118">
        <f>IF(SUM($P80:T80)&lt;2225, T80*30%, T80*15.1%)</f>
        <v>32.4</v>
      </c>
      <c r="U144" s="118">
        <f>IF(SUM($P80:U80)&lt;2225, U80*30%, U80*15.1%)</f>
        <v>32.4</v>
      </c>
      <c r="V144" s="118">
        <f>IF(SUM($P80:V80)&lt;2225, V80*30%, V80*15.1%)</f>
        <v>32.4</v>
      </c>
      <c r="W144" s="118">
        <f>IF(SUM($P80:W80)&lt;2225, W80*30%, W80*15.1%)</f>
        <v>32.4</v>
      </c>
      <c r="X144" s="118">
        <f>IF(SUM($P80:X80)&lt;2225, X80*30%, X80*15.1%)</f>
        <v>32.4</v>
      </c>
      <c r="Y144" s="118">
        <f>IF(SUM($P80:Y80)&lt;2225, Y80*30%, Y80*15.1%)</f>
        <v>32.4</v>
      </c>
      <c r="Z144" s="118">
        <f>IF(SUM($P80:Z80)&lt;2225, Z80*30%, Z80*15.1%)</f>
        <v>32.4</v>
      </c>
      <c r="AA144" s="118">
        <f>IF(SUM($P80:AA80)&lt;2225, AA80*30%, AA80*15.1%)</f>
        <v>32.4</v>
      </c>
      <c r="AB144" s="66">
        <f>SUM(P144:AA144)</f>
        <v>388.7999999999999</v>
      </c>
    </row>
    <row r="145" spans="2:32" ht="20" customHeight="1" outlineLevel="1">
      <c r="B145" s="147" t="s">
        <v>66</v>
      </c>
      <c r="C145" s="86">
        <f>IF(SUM($C81:C81)&lt;2225, C81*30%, C81*15.1%)</f>
        <v>18</v>
      </c>
      <c r="D145" s="86">
        <f>IF(SUM($C81:D81)&lt;2225, D81*30%, D81*15.1%)</f>
        <v>18</v>
      </c>
      <c r="E145" s="86">
        <f>IF(SUM($C81:E81)&lt;2225, E81*30%, E81*15.1%)</f>
        <v>18</v>
      </c>
      <c r="F145" s="86">
        <f>IF(SUM($C81:F81)&lt;2225, F81*30%, F81*15.1%)</f>
        <v>18</v>
      </c>
      <c r="G145" s="86">
        <f>IF(SUM($C81:G81)&lt;2225, G81*30%, G81*15.1%)</f>
        <v>18</v>
      </c>
      <c r="H145" s="86">
        <f>IF(SUM($C81:H81)&lt;2225, H81*30%, H81*15.1%)</f>
        <v>18</v>
      </c>
      <c r="I145" s="86">
        <f>IF(SUM($C81:I81)&lt;2225, I81*30%, I81*15.1%)</f>
        <v>18</v>
      </c>
      <c r="J145" s="86">
        <f>IF(SUM($C81:J81)&lt;2225, J81*30%, J81*15.1%)</f>
        <v>18</v>
      </c>
      <c r="K145" s="86">
        <f>IF(SUM($C81:K81)&lt;2225, K81*30%, K81*15.1%)</f>
        <v>18</v>
      </c>
      <c r="L145" s="86">
        <f>IF(SUM($C81:L81)&lt;2225, L81*30%, L81*15.1%)</f>
        <v>18</v>
      </c>
      <c r="M145" s="86">
        <f>IF(SUM($C81:M81)&lt;2225, M81*30%, M81*15.1%)</f>
        <v>18</v>
      </c>
      <c r="N145" s="86">
        <f>IF(SUM($C81:N81)&lt;2225, N81*30%, N81*15.1%)</f>
        <v>18</v>
      </c>
      <c r="O145" s="76">
        <f>SUM(C145:N145)</f>
        <v>216</v>
      </c>
      <c r="P145" s="86">
        <f>IF(SUM($P81:P81)&lt;2225, P81*30%, P81*15.1%)</f>
        <v>19.440000000000001</v>
      </c>
      <c r="Q145" s="86">
        <f>IF(SUM($P81:Q81)&lt;2225, Q81*30%, Q81*15.1%)</f>
        <v>19.440000000000001</v>
      </c>
      <c r="R145" s="86">
        <f>IF(SUM($P81:R81)&lt;2225, R81*30%, R81*15.1%)</f>
        <v>19.440000000000001</v>
      </c>
      <c r="S145" s="86">
        <f>IF(SUM($P81:S81)&lt;2225, S81*30%, S81*15.1%)</f>
        <v>19.440000000000001</v>
      </c>
      <c r="T145" s="86">
        <f>IF(SUM($P81:T81)&lt;2225, T81*30%, T81*15.1%)</f>
        <v>19.440000000000001</v>
      </c>
      <c r="U145" s="86">
        <f>IF(SUM($P81:U81)&lt;2225, U81*30%, U81*15.1%)</f>
        <v>19.440000000000001</v>
      </c>
      <c r="V145" s="86">
        <f>IF(SUM($P81:V81)&lt;2225, V81*30%, V81*15.1%)</f>
        <v>19.440000000000001</v>
      </c>
      <c r="W145" s="86">
        <f>IF(SUM($P81:W81)&lt;2225, W81*30%, W81*15.1%)</f>
        <v>19.440000000000001</v>
      </c>
      <c r="X145" s="86">
        <f>IF(SUM($P81:X81)&lt;2225, X81*30%, X81*15.1%)</f>
        <v>19.440000000000001</v>
      </c>
      <c r="Y145" s="86">
        <f>IF(SUM($P81:Y81)&lt;2225, Y81*30%, Y81*15.1%)</f>
        <v>19.440000000000001</v>
      </c>
      <c r="Z145" s="86">
        <f>IF(SUM($P81:Z81)&lt;2225, Z81*30%, Z81*15.1%)</f>
        <v>19.440000000000001</v>
      </c>
      <c r="AA145" s="86">
        <f>IF(SUM($P81:AA81)&lt;2225, AA81*30%, AA81*15.1%)</f>
        <v>19.440000000000001</v>
      </c>
      <c r="AB145" s="77">
        <f t="shared" ref="AB145:AB148" si="152">SUM(P145:AA145)</f>
        <v>233.28</v>
      </c>
    </row>
    <row r="146" spans="2:32" ht="20" customHeight="1" outlineLevel="1">
      <c r="B146" s="147" t="s">
        <v>67</v>
      </c>
      <c r="C146" s="86">
        <f>IF(SUM($C82:C82)&lt;2225, C82*30%, C82*15.1%)</f>
        <v>18</v>
      </c>
      <c r="D146" s="86">
        <f>IF(SUM($C82:D82)&lt;2225, D82*30%, D82*15.1%)</f>
        <v>18</v>
      </c>
      <c r="E146" s="86">
        <f>IF(SUM($C82:E82)&lt;2225, E82*30%, E82*15.1%)</f>
        <v>18</v>
      </c>
      <c r="F146" s="86">
        <f>IF(SUM($C82:F82)&lt;2225, F82*30%, F82*15.1%)</f>
        <v>18</v>
      </c>
      <c r="G146" s="86">
        <f>IF(SUM($C82:G82)&lt;2225, G82*30%, G82*15.1%)</f>
        <v>18</v>
      </c>
      <c r="H146" s="86">
        <f>IF(SUM($C82:H82)&lt;2225, H82*30%, H82*15.1%)</f>
        <v>18</v>
      </c>
      <c r="I146" s="86">
        <f>IF(SUM($C82:I82)&lt;2225, I82*30%, I82*15.1%)</f>
        <v>18</v>
      </c>
      <c r="J146" s="86">
        <f>IF(SUM($C82:J82)&lt;2225, J82*30%, J82*15.1%)</f>
        <v>18</v>
      </c>
      <c r="K146" s="86">
        <f>IF(SUM($C82:K82)&lt;2225, K82*30%, K82*15.1%)</f>
        <v>18</v>
      </c>
      <c r="L146" s="86">
        <f>IF(SUM($C82:L82)&lt;2225, L82*30%, L82*15.1%)</f>
        <v>18</v>
      </c>
      <c r="M146" s="86">
        <f>IF(SUM($C82:M82)&lt;2225, M82*30%, M82*15.1%)</f>
        <v>18</v>
      </c>
      <c r="N146" s="86">
        <f>IF(SUM($C82:N82)&lt;2225, N82*30%, N82*15.1%)</f>
        <v>18</v>
      </c>
      <c r="O146" s="76">
        <f t="shared" ref="O146:O148" si="153">SUM(C146:N146)</f>
        <v>216</v>
      </c>
      <c r="P146" s="86">
        <f>IF(SUM($P82:P82)&lt;2225, P82*30%, P82*15.1%)</f>
        <v>19.440000000000001</v>
      </c>
      <c r="Q146" s="86">
        <f>IF(SUM($P82:Q82)&lt;2225, Q82*30%, Q82*15.1%)</f>
        <v>19.440000000000001</v>
      </c>
      <c r="R146" s="86">
        <f>IF(SUM($P82:R82)&lt;2225, R82*30%, R82*15.1%)</f>
        <v>19.440000000000001</v>
      </c>
      <c r="S146" s="86">
        <f>IF(SUM($P82:S82)&lt;2225, S82*30%, S82*15.1%)</f>
        <v>19.440000000000001</v>
      </c>
      <c r="T146" s="86">
        <f>IF(SUM($P82:T82)&lt;2225, T82*30%, T82*15.1%)</f>
        <v>19.440000000000001</v>
      </c>
      <c r="U146" s="86">
        <f>IF(SUM($P82:U82)&lt;2225, U82*30%, U82*15.1%)</f>
        <v>19.440000000000001</v>
      </c>
      <c r="V146" s="86">
        <f>IF(SUM($P82:V82)&lt;2225, V82*30%, V82*15.1%)</f>
        <v>19.440000000000001</v>
      </c>
      <c r="W146" s="86">
        <f>IF(SUM($P82:W82)&lt;2225, W82*30%, W82*15.1%)</f>
        <v>19.440000000000001</v>
      </c>
      <c r="X146" s="86">
        <f>IF(SUM($P82:X82)&lt;2225, X82*30%, X82*15.1%)</f>
        <v>19.440000000000001</v>
      </c>
      <c r="Y146" s="86">
        <f>IF(SUM($P82:Y82)&lt;2225, Y82*30%, Y82*15.1%)</f>
        <v>19.440000000000001</v>
      </c>
      <c r="Z146" s="86">
        <f>IF(SUM($P82:Z82)&lt;2225, Z82*30%, Z82*15.1%)</f>
        <v>19.440000000000001</v>
      </c>
      <c r="AA146" s="86">
        <f>IF(SUM($P82:AA82)&lt;2225, AA82*30%, AA82*15.1%)</f>
        <v>19.440000000000001</v>
      </c>
      <c r="AB146" s="77">
        <f t="shared" si="152"/>
        <v>233.28</v>
      </c>
    </row>
    <row r="147" spans="2:32" ht="20" customHeight="1" outlineLevel="1">
      <c r="B147" s="147" t="s">
        <v>68</v>
      </c>
      <c r="C147" s="86">
        <f>IF(SUM($C83:C83)&lt;2225, C83*30%, C83*15.1%)</f>
        <v>24</v>
      </c>
      <c r="D147" s="86">
        <f>IF(SUM($C83:D83)&lt;2225, D83*30%, D83*15.1%)</f>
        <v>24</v>
      </c>
      <c r="E147" s="86">
        <f>IF(SUM($C83:E83)&lt;2225, E83*30%, E83*15.1%)</f>
        <v>24</v>
      </c>
      <c r="F147" s="86">
        <f>IF(SUM($C83:F83)&lt;2225, F83*30%, F83*15.1%)</f>
        <v>24</v>
      </c>
      <c r="G147" s="86">
        <f>IF(SUM($C83:G83)&lt;2225, G83*30%, G83*15.1%)</f>
        <v>24</v>
      </c>
      <c r="H147" s="86">
        <f>IF(SUM($C83:H83)&lt;2225, H83*30%, H83*15.1%)</f>
        <v>24</v>
      </c>
      <c r="I147" s="86">
        <f>IF(SUM($C83:I83)&lt;2225, I83*30%, I83*15.1%)</f>
        <v>24</v>
      </c>
      <c r="J147" s="86">
        <f>IF(SUM($C83:J83)&lt;2225, J83*30%, J83*15.1%)</f>
        <v>24</v>
      </c>
      <c r="K147" s="86">
        <f>IF(SUM($C83:K83)&lt;2225, K83*30%, K83*15.1%)</f>
        <v>24</v>
      </c>
      <c r="L147" s="86">
        <f>IF(SUM($C83:L83)&lt;2225, L83*30%, L83*15.1%)</f>
        <v>24</v>
      </c>
      <c r="M147" s="86">
        <f>IF(SUM($C83:M83)&lt;2225, M83*30%, M83*15.1%)</f>
        <v>24</v>
      </c>
      <c r="N147" s="86">
        <f>IF(SUM($C83:N83)&lt;2225, N83*30%, N83*15.1%)</f>
        <v>24</v>
      </c>
      <c r="O147" s="76">
        <f t="shared" si="153"/>
        <v>288</v>
      </c>
      <c r="P147" s="86">
        <f>IF(SUM($P83:P83)&lt;2225, P83*30%, P83*15.1%)</f>
        <v>25.92</v>
      </c>
      <c r="Q147" s="86">
        <f>IF(SUM($P83:Q83)&lt;2225, Q83*30%, Q83*15.1%)</f>
        <v>25.92</v>
      </c>
      <c r="R147" s="86">
        <f>IF(SUM($P83:R83)&lt;2225, R83*30%, R83*15.1%)</f>
        <v>25.92</v>
      </c>
      <c r="S147" s="86">
        <f>IF(SUM($P83:S83)&lt;2225, S83*30%, S83*15.1%)</f>
        <v>25.92</v>
      </c>
      <c r="T147" s="86">
        <f>IF(SUM($P83:T83)&lt;2225, T83*30%, T83*15.1%)</f>
        <v>25.92</v>
      </c>
      <c r="U147" s="86">
        <f>IF(SUM($P83:U83)&lt;2225, U83*30%, U83*15.1%)</f>
        <v>25.92</v>
      </c>
      <c r="V147" s="86">
        <f>IF(SUM($P83:V83)&lt;2225, V83*30%, V83*15.1%)</f>
        <v>25.92</v>
      </c>
      <c r="W147" s="86">
        <f>IF(SUM($P83:W83)&lt;2225, W83*30%, W83*15.1%)</f>
        <v>25.92</v>
      </c>
      <c r="X147" s="86">
        <f>IF(SUM($P83:X83)&lt;2225, X83*30%, X83*15.1%)</f>
        <v>25.92</v>
      </c>
      <c r="Y147" s="86">
        <f>IF(SUM($P83:Y83)&lt;2225, Y83*30%, Y83*15.1%)</f>
        <v>25.92</v>
      </c>
      <c r="Z147" s="86">
        <f>IF(SUM($P83:Z83)&lt;2225, Z83*30%, Z83*15.1%)</f>
        <v>25.92</v>
      </c>
      <c r="AA147" s="86">
        <f>IF(SUM($P83:AA83)&lt;2225, AA83*30%, AA83*15.1%)</f>
        <v>25.92</v>
      </c>
      <c r="AB147" s="77">
        <f t="shared" si="152"/>
        <v>311.04000000000013</v>
      </c>
    </row>
    <row r="148" spans="2:32" ht="20" customHeight="1" outlineLevel="1">
      <c r="B148" s="119" t="s">
        <v>69</v>
      </c>
      <c r="C148" s="120">
        <f>IF(SUM($C84:C84)&lt;2225, C84*30%, C84*15.1%)</f>
        <v>24</v>
      </c>
      <c r="D148" s="120">
        <f>IF(SUM($C84:D84)&lt;2225, D84*30%, D84*15.1%)</f>
        <v>24</v>
      </c>
      <c r="E148" s="120">
        <f>IF(SUM($C84:E84)&lt;2225, E84*30%, E84*15.1%)</f>
        <v>24</v>
      </c>
      <c r="F148" s="120">
        <f>IF(SUM($C84:F84)&lt;2225, F84*30%, F84*15.1%)</f>
        <v>24</v>
      </c>
      <c r="G148" s="120">
        <f>IF(SUM($C84:G84)&lt;2225, G84*30%, G84*15.1%)</f>
        <v>24</v>
      </c>
      <c r="H148" s="120">
        <f>IF(SUM($C84:H84)&lt;2225, H84*30%, H84*15.1%)</f>
        <v>24</v>
      </c>
      <c r="I148" s="120">
        <f>IF(SUM($C84:I84)&lt;2225, I84*30%, I84*15.1%)</f>
        <v>24</v>
      </c>
      <c r="J148" s="120">
        <f>IF(SUM($C84:J84)&lt;2225, J84*30%, J84*15.1%)</f>
        <v>24</v>
      </c>
      <c r="K148" s="120">
        <f>IF(SUM($C84:K84)&lt;2225, K84*30%, K84*15.1%)</f>
        <v>24</v>
      </c>
      <c r="L148" s="120">
        <f>IF(SUM($C84:L84)&lt;2225, L84*30%, L84*15.1%)</f>
        <v>24</v>
      </c>
      <c r="M148" s="120">
        <f>IF(SUM($C84:M84)&lt;2225, M84*30%, M84*15.1%)</f>
        <v>24</v>
      </c>
      <c r="N148" s="120">
        <f>IF(SUM($C84:N84)&lt;2225, N84*30%, N84*15.1%)</f>
        <v>24</v>
      </c>
      <c r="O148" s="121">
        <f t="shared" si="153"/>
        <v>288</v>
      </c>
      <c r="P148" s="120">
        <f>IF(SUM($P84:P84)&lt;2225, P84*30%, P84*15.1%)</f>
        <v>25.92</v>
      </c>
      <c r="Q148" s="120">
        <f>IF(SUM($P84:Q84)&lt;2225, Q84*30%, Q84*15.1%)</f>
        <v>25.92</v>
      </c>
      <c r="R148" s="120">
        <f>IF(SUM($P84:R84)&lt;2225, R84*30%, R84*15.1%)</f>
        <v>25.92</v>
      </c>
      <c r="S148" s="120">
        <f>IF(SUM($P84:S84)&lt;2225, S84*30%, S84*15.1%)</f>
        <v>25.92</v>
      </c>
      <c r="T148" s="120">
        <f>IF(SUM($P84:T84)&lt;2225, T84*30%, T84*15.1%)</f>
        <v>25.92</v>
      </c>
      <c r="U148" s="120">
        <f>IF(SUM($P84:U84)&lt;2225, U84*30%, U84*15.1%)</f>
        <v>25.92</v>
      </c>
      <c r="V148" s="120">
        <f>IF(SUM($P84:V84)&lt;2225, V84*30%, V84*15.1%)</f>
        <v>25.92</v>
      </c>
      <c r="W148" s="120">
        <f>IF(SUM($P84:W84)&lt;2225, W84*30%, W84*15.1%)</f>
        <v>25.92</v>
      </c>
      <c r="X148" s="120">
        <f>IF(SUM($P84:X84)&lt;2225, X84*30%, X84*15.1%)</f>
        <v>25.92</v>
      </c>
      <c r="Y148" s="120">
        <f>IF(SUM($P84:Y84)&lt;2225, Y84*30%, Y84*15.1%)</f>
        <v>25.92</v>
      </c>
      <c r="Z148" s="120">
        <f>IF(SUM($P84:Z84)&lt;2225, Z84*30%, Z84*15.1%)</f>
        <v>25.92</v>
      </c>
      <c r="AA148" s="120">
        <f>IF(SUM($P84:AA84)&lt;2225, AA84*30%, AA84*15.1%)</f>
        <v>25.92</v>
      </c>
      <c r="AB148" s="122">
        <f t="shared" si="152"/>
        <v>311.04000000000013</v>
      </c>
    </row>
    <row r="149" spans="2:32" ht="20" customHeight="1">
      <c r="B149" s="125" t="s">
        <v>22</v>
      </c>
      <c r="C149" s="126">
        <f>SUM(C150:C153)</f>
        <v>105</v>
      </c>
      <c r="D149" s="126">
        <f t="shared" ref="D149:N149" si="154">SUM(D150:D153)</f>
        <v>105</v>
      </c>
      <c r="E149" s="126">
        <f t="shared" si="154"/>
        <v>105</v>
      </c>
      <c r="F149" s="126">
        <f t="shared" si="154"/>
        <v>105</v>
      </c>
      <c r="G149" s="126">
        <f t="shared" si="154"/>
        <v>105</v>
      </c>
      <c r="H149" s="126">
        <f t="shared" si="154"/>
        <v>105</v>
      </c>
      <c r="I149" s="126">
        <f t="shared" si="154"/>
        <v>105</v>
      </c>
      <c r="J149" s="126">
        <f t="shared" si="154"/>
        <v>105</v>
      </c>
      <c r="K149" s="126">
        <f t="shared" si="154"/>
        <v>105</v>
      </c>
      <c r="L149" s="126">
        <f t="shared" si="154"/>
        <v>105</v>
      </c>
      <c r="M149" s="126">
        <f t="shared" si="154"/>
        <v>105</v>
      </c>
      <c r="N149" s="126">
        <f t="shared" si="154"/>
        <v>105</v>
      </c>
      <c r="O149" s="126">
        <f>SUM(C149:N149)</f>
        <v>1260</v>
      </c>
      <c r="P149" s="126">
        <f>SUM(P150:P153)</f>
        <v>113.4</v>
      </c>
      <c r="Q149" s="126">
        <f t="shared" ref="Q149:AA149" si="155">SUM(Q150:Q153)</f>
        <v>113.4</v>
      </c>
      <c r="R149" s="126">
        <f t="shared" si="155"/>
        <v>113.4</v>
      </c>
      <c r="S149" s="126">
        <f t="shared" si="155"/>
        <v>113.4</v>
      </c>
      <c r="T149" s="126">
        <f t="shared" si="155"/>
        <v>113.4</v>
      </c>
      <c r="U149" s="126">
        <f t="shared" si="155"/>
        <v>113.4</v>
      </c>
      <c r="V149" s="126">
        <f t="shared" si="155"/>
        <v>113.4</v>
      </c>
      <c r="W149" s="126">
        <f t="shared" si="155"/>
        <v>113.4</v>
      </c>
      <c r="X149" s="126">
        <f t="shared" si="155"/>
        <v>113.4</v>
      </c>
      <c r="Y149" s="126">
        <f t="shared" si="155"/>
        <v>113.4</v>
      </c>
      <c r="Z149" s="126">
        <f t="shared" si="155"/>
        <v>113.4</v>
      </c>
      <c r="AA149" s="126">
        <f t="shared" si="155"/>
        <v>113.4</v>
      </c>
      <c r="AB149" s="126">
        <f>SUM(P149:AA149)</f>
        <v>1360.8000000000002</v>
      </c>
    </row>
    <row r="150" spans="2:32" ht="20" customHeight="1" outlineLevel="1">
      <c r="B150" s="117" t="s">
        <v>65</v>
      </c>
      <c r="C150" s="118">
        <f>IF(SUM($C86:C86)&lt;2225, C86*30%, C86*15.1%)</f>
        <v>30</v>
      </c>
      <c r="D150" s="118">
        <f>IF(SUM($C86:D86)&lt;2225, D86*30%, D86*15.1%)</f>
        <v>30</v>
      </c>
      <c r="E150" s="118">
        <f>IF(SUM($C86:E86)&lt;2225, E86*30%, E86*15.1%)</f>
        <v>30</v>
      </c>
      <c r="F150" s="118">
        <f>IF(SUM($C86:F86)&lt;2225, F86*30%, F86*15.1%)</f>
        <v>30</v>
      </c>
      <c r="G150" s="118">
        <f>IF(SUM($C86:G86)&lt;2225, G86*30%, G86*15.1%)</f>
        <v>30</v>
      </c>
      <c r="H150" s="118">
        <f>IF(SUM($C86:H86)&lt;2225, H86*30%, H86*15.1%)</f>
        <v>30</v>
      </c>
      <c r="I150" s="118">
        <f>IF(SUM($C86:I86)&lt;2225, I86*30%, I86*15.1%)</f>
        <v>30</v>
      </c>
      <c r="J150" s="118">
        <f>IF(SUM($C86:J86)&lt;2225, J86*30%, J86*15.1%)</f>
        <v>30</v>
      </c>
      <c r="K150" s="118">
        <f>IF(SUM($C86:K86)&lt;2225, K86*30%, K86*15.1%)</f>
        <v>30</v>
      </c>
      <c r="L150" s="118">
        <f>IF(SUM($C86:L86)&lt;2225, L86*30%, L86*15.1%)</f>
        <v>30</v>
      </c>
      <c r="M150" s="118">
        <f>IF(SUM($C86:M86)&lt;2225, M86*30%, M86*15.1%)</f>
        <v>30</v>
      </c>
      <c r="N150" s="118">
        <f>IF(SUM($C86:N86)&lt;2225, N86*30%, N86*15.1%)</f>
        <v>30</v>
      </c>
      <c r="O150" s="65">
        <f t="shared" ref="O150:O154" si="156">SUM(C150:N150)</f>
        <v>360</v>
      </c>
      <c r="P150" s="118">
        <f>IF(SUM($P86:P86)&lt;2225, P86*30%, P86*15.1%)</f>
        <v>32.4</v>
      </c>
      <c r="Q150" s="118">
        <f>IF(SUM($P86:Q86)&lt;2225, Q86*30%, Q86*15.1%)</f>
        <v>32.4</v>
      </c>
      <c r="R150" s="118">
        <f>IF(SUM($P86:R86)&lt;2225, R86*30%, R86*15.1%)</f>
        <v>32.4</v>
      </c>
      <c r="S150" s="118">
        <f>IF(SUM($P86:S86)&lt;2225, S86*30%, S86*15.1%)</f>
        <v>32.4</v>
      </c>
      <c r="T150" s="118">
        <f>IF(SUM($P86:T86)&lt;2225, T86*30%, T86*15.1%)</f>
        <v>32.4</v>
      </c>
      <c r="U150" s="118">
        <f>IF(SUM($P86:U86)&lt;2225, U86*30%, U86*15.1%)</f>
        <v>32.4</v>
      </c>
      <c r="V150" s="118">
        <f>IF(SUM($P86:V86)&lt;2225, V86*30%, V86*15.1%)</f>
        <v>32.4</v>
      </c>
      <c r="W150" s="118">
        <f>IF(SUM($P86:W86)&lt;2225, W86*30%, W86*15.1%)</f>
        <v>32.4</v>
      </c>
      <c r="X150" s="118">
        <f>IF(SUM($P86:X86)&lt;2225, X86*30%, X86*15.1%)</f>
        <v>32.4</v>
      </c>
      <c r="Y150" s="118">
        <f>IF(SUM($P86:Y86)&lt;2225, Y86*30%, Y86*15.1%)</f>
        <v>32.4</v>
      </c>
      <c r="Z150" s="118">
        <f>IF(SUM($P86:Z86)&lt;2225, Z86*30%, Z86*15.1%)</f>
        <v>32.4</v>
      </c>
      <c r="AA150" s="118">
        <f>IF(SUM($P86:AA86)&lt;2225, AA86*30%, AA86*15.1%)</f>
        <v>32.4</v>
      </c>
      <c r="AB150" s="66">
        <f t="shared" ref="AB150:AB154" si="157">SUM(P150:AA150)</f>
        <v>388.7999999999999</v>
      </c>
    </row>
    <row r="151" spans="2:32" ht="20" customHeight="1" outlineLevel="1">
      <c r="B151" s="147" t="s">
        <v>70</v>
      </c>
      <c r="C151" s="86">
        <f>IF(SUM($C87:C87)&lt;2225, C87*30%, C87*15.1%)</f>
        <v>30</v>
      </c>
      <c r="D151" s="86">
        <f>IF(SUM($C87:D87)&lt;2225, D87*30%, D87*15.1%)</f>
        <v>30</v>
      </c>
      <c r="E151" s="86">
        <f>IF(SUM($C87:E87)&lt;2225, E87*30%, E87*15.1%)</f>
        <v>30</v>
      </c>
      <c r="F151" s="86">
        <f>IF(SUM($C87:F87)&lt;2225, F87*30%, F87*15.1%)</f>
        <v>30</v>
      </c>
      <c r="G151" s="86">
        <f>IF(SUM($C87:G87)&lt;2225, G87*30%, G87*15.1%)</f>
        <v>30</v>
      </c>
      <c r="H151" s="86">
        <f>IF(SUM($C87:H87)&lt;2225, H87*30%, H87*15.1%)</f>
        <v>30</v>
      </c>
      <c r="I151" s="86">
        <f>IF(SUM($C87:I87)&lt;2225, I87*30%, I87*15.1%)</f>
        <v>30</v>
      </c>
      <c r="J151" s="86">
        <f>IF(SUM($C87:J87)&lt;2225, J87*30%, J87*15.1%)</f>
        <v>30</v>
      </c>
      <c r="K151" s="86">
        <f>IF(SUM($C87:K87)&lt;2225, K87*30%, K87*15.1%)</f>
        <v>30</v>
      </c>
      <c r="L151" s="86">
        <f>IF(SUM($C87:L87)&lt;2225, L87*30%, L87*15.1%)</f>
        <v>30</v>
      </c>
      <c r="M151" s="86">
        <f>IF(SUM($C87:M87)&lt;2225, M87*30%, M87*15.1%)</f>
        <v>30</v>
      </c>
      <c r="N151" s="86">
        <f>IF(SUM($C87:N87)&lt;2225, N87*30%, N87*15.1%)</f>
        <v>30</v>
      </c>
      <c r="O151" s="76">
        <f t="shared" si="156"/>
        <v>360</v>
      </c>
      <c r="P151" s="86">
        <f>IF(SUM($P87:P87)&lt;2225, P87*30%, P87*15.1%)</f>
        <v>32.4</v>
      </c>
      <c r="Q151" s="86">
        <f>IF(SUM($P87:Q87)&lt;2225, Q87*30%, Q87*15.1%)</f>
        <v>32.4</v>
      </c>
      <c r="R151" s="86">
        <f>IF(SUM($P87:R87)&lt;2225, R87*30%, R87*15.1%)</f>
        <v>32.4</v>
      </c>
      <c r="S151" s="86">
        <f>IF(SUM($P87:S87)&lt;2225, S87*30%, S87*15.1%)</f>
        <v>32.4</v>
      </c>
      <c r="T151" s="86">
        <f>IF(SUM($P87:T87)&lt;2225, T87*30%, T87*15.1%)</f>
        <v>32.4</v>
      </c>
      <c r="U151" s="86">
        <f>IF(SUM($P87:U87)&lt;2225, U87*30%, U87*15.1%)</f>
        <v>32.4</v>
      </c>
      <c r="V151" s="86">
        <f>IF(SUM($P87:V87)&lt;2225, V87*30%, V87*15.1%)</f>
        <v>32.4</v>
      </c>
      <c r="W151" s="86">
        <f>IF(SUM($P87:W87)&lt;2225, W87*30%, W87*15.1%)</f>
        <v>32.4</v>
      </c>
      <c r="X151" s="86">
        <f>IF(SUM($P87:X87)&lt;2225, X87*30%, X87*15.1%)</f>
        <v>32.4</v>
      </c>
      <c r="Y151" s="86">
        <f>IF(SUM($P87:Y87)&lt;2225, Y87*30%, Y87*15.1%)</f>
        <v>32.4</v>
      </c>
      <c r="Z151" s="86">
        <f>IF(SUM($P87:Z87)&lt;2225, Z87*30%, Z87*15.1%)</f>
        <v>32.4</v>
      </c>
      <c r="AA151" s="86">
        <f>IF(SUM($P87:AA87)&lt;2225, AA87*30%, AA87*15.1%)</f>
        <v>32.4</v>
      </c>
      <c r="AB151" s="77">
        <f t="shared" si="157"/>
        <v>388.7999999999999</v>
      </c>
    </row>
    <row r="152" spans="2:32" ht="20" customHeight="1" outlineLevel="1">
      <c r="B152" s="147" t="s">
        <v>67</v>
      </c>
      <c r="C152" s="86">
        <f>IF(SUM($C88:C88)&lt;2225, C88*30%, C88*15.1%)</f>
        <v>21</v>
      </c>
      <c r="D152" s="86">
        <f>IF(SUM($C88:D88)&lt;2225, D88*30%, D88*15.1%)</f>
        <v>21</v>
      </c>
      <c r="E152" s="86">
        <f>IF(SUM($C88:E88)&lt;2225, E88*30%, E88*15.1%)</f>
        <v>21</v>
      </c>
      <c r="F152" s="86">
        <f>IF(SUM($C88:F88)&lt;2225, F88*30%, F88*15.1%)</f>
        <v>21</v>
      </c>
      <c r="G152" s="86">
        <f>IF(SUM($C88:G88)&lt;2225, G88*30%, G88*15.1%)</f>
        <v>21</v>
      </c>
      <c r="H152" s="86">
        <f>IF(SUM($C88:H88)&lt;2225, H88*30%, H88*15.1%)</f>
        <v>21</v>
      </c>
      <c r="I152" s="86">
        <f>IF(SUM($C88:I88)&lt;2225, I88*30%, I88*15.1%)</f>
        <v>21</v>
      </c>
      <c r="J152" s="86">
        <f>IF(SUM($C88:J88)&lt;2225, J88*30%, J88*15.1%)</f>
        <v>21</v>
      </c>
      <c r="K152" s="86">
        <f>IF(SUM($C88:K88)&lt;2225, K88*30%, K88*15.1%)</f>
        <v>21</v>
      </c>
      <c r="L152" s="86">
        <f>IF(SUM($C88:L88)&lt;2225, L88*30%, L88*15.1%)</f>
        <v>21</v>
      </c>
      <c r="M152" s="86">
        <f>IF(SUM($C88:M88)&lt;2225, M88*30%, M88*15.1%)</f>
        <v>21</v>
      </c>
      <c r="N152" s="86">
        <f>IF(SUM($C88:N88)&lt;2225, N88*30%, N88*15.1%)</f>
        <v>21</v>
      </c>
      <c r="O152" s="76">
        <f t="shared" si="156"/>
        <v>252</v>
      </c>
      <c r="P152" s="86">
        <f>IF(SUM($P88:P88)&lt;2225, P88*30%, P88*15.1%)</f>
        <v>22.680000000000003</v>
      </c>
      <c r="Q152" s="86">
        <f>IF(SUM($P88:Q88)&lt;2225, Q88*30%, Q88*15.1%)</f>
        <v>22.680000000000003</v>
      </c>
      <c r="R152" s="86">
        <f>IF(SUM($P88:R88)&lt;2225, R88*30%, R88*15.1%)</f>
        <v>22.680000000000003</v>
      </c>
      <c r="S152" s="86">
        <f>IF(SUM($P88:S88)&lt;2225, S88*30%, S88*15.1%)</f>
        <v>22.680000000000003</v>
      </c>
      <c r="T152" s="86">
        <f>IF(SUM($P88:T88)&lt;2225, T88*30%, T88*15.1%)</f>
        <v>22.680000000000003</v>
      </c>
      <c r="U152" s="86">
        <f>IF(SUM($P88:U88)&lt;2225, U88*30%, U88*15.1%)</f>
        <v>22.680000000000003</v>
      </c>
      <c r="V152" s="86">
        <f>IF(SUM($P88:V88)&lt;2225, V88*30%, V88*15.1%)</f>
        <v>22.680000000000003</v>
      </c>
      <c r="W152" s="86">
        <f>IF(SUM($P88:W88)&lt;2225, W88*30%, W88*15.1%)</f>
        <v>22.680000000000003</v>
      </c>
      <c r="X152" s="86">
        <f>IF(SUM($P88:X88)&lt;2225, X88*30%, X88*15.1%)</f>
        <v>22.680000000000003</v>
      </c>
      <c r="Y152" s="86">
        <f>IF(SUM($P88:Y88)&lt;2225, Y88*30%, Y88*15.1%)</f>
        <v>22.680000000000003</v>
      </c>
      <c r="Z152" s="86">
        <f>IF(SUM($P88:Z88)&lt;2225, Z88*30%, Z88*15.1%)</f>
        <v>22.680000000000003</v>
      </c>
      <c r="AA152" s="86">
        <f>IF(SUM($P88:AA88)&lt;2225, AA88*30%, AA88*15.1%)</f>
        <v>22.680000000000003</v>
      </c>
      <c r="AB152" s="77">
        <f t="shared" si="157"/>
        <v>272.16000000000003</v>
      </c>
    </row>
    <row r="153" spans="2:32" ht="20" customHeight="1" outlineLevel="1">
      <c r="B153" s="119" t="s">
        <v>69</v>
      </c>
      <c r="C153" s="120">
        <f>IF(SUM($C89:C89)&lt;2225, C89*30%, C89*15.1%)</f>
        <v>24</v>
      </c>
      <c r="D153" s="120">
        <f>IF(SUM($C89:D89)&lt;2225, D89*30%, D89*15.1%)</f>
        <v>24</v>
      </c>
      <c r="E153" s="120">
        <f>IF(SUM($C89:E89)&lt;2225, E89*30%, E89*15.1%)</f>
        <v>24</v>
      </c>
      <c r="F153" s="120">
        <f>IF(SUM($C89:F89)&lt;2225, F89*30%, F89*15.1%)</f>
        <v>24</v>
      </c>
      <c r="G153" s="120">
        <f>IF(SUM($C89:G89)&lt;2225, G89*30%, G89*15.1%)</f>
        <v>24</v>
      </c>
      <c r="H153" s="120">
        <f>IF(SUM($C89:H89)&lt;2225, H89*30%, H89*15.1%)</f>
        <v>24</v>
      </c>
      <c r="I153" s="120">
        <f>IF(SUM($C89:I89)&lt;2225, I89*30%, I89*15.1%)</f>
        <v>24</v>
      </c>
      <c r="J153" s="120">
        <f>IF(SUM($C89:J89)&lt;2225, J89*30%, J89*15.1%)</f>
        <v>24</v>
      </c>
      <c r="K153" s="120">
        <f>IF(SUM($C89:K89)&lt;2225, K89*30%, K89*15.1%)</f>
        <v>24</v>
      </c>
      <c r="L153" s="120">
        <f>IF(SUM($C89:L89)&lt;2225, L89*30%, L89*15.1%)</f>
        <v>24</v>
      </c>
      <c r="M153" s="120">
        <f>IF(SUM($C89:M89)&lt;2225, M89*30%, M89*15.1%)</f>
        <v>24</v>
      </c>
      <c r="N153" s="120">
        <f>IF(SUM($C89:N89)&lt;2225, N89*30%, N89*15.1%)</f>
        <v>24</v>
      </c>
      <c r="O153" s="121">
        <f t="shared" si="156"/>
        <v>288</v>
      </c>
      <c r="P153" s="120">
        <f>IF(SUM($P89:P89)&lt;2225, P89*30%, P89*15.1%)</f>
        <v>25.92</v>
      </c>
      <c r="Q153" s="120">
        <f>IF(SUM($P89:Q89)&lt;2225, Q89*30%, Q89*15.1%)</f>
        <v>25.92</v>
      </c>
      <c r="R153" s="120">
        <f>IF(SUM($P89:R89)&lt;2225, R89*30%, R89*15.1%)</f>
        <v>25.92</v>
      </c>
      <c r="S153" s="120">
        <f>IF(SUM($P89:S89)&lt;2225, S89*30%, S89*15.1%)</f>
        <v>25.92</v>
      </c>
      <c r="T153" s="120">
        <f>IF(SUM($P89:T89)&lt;2225, T89*30%, T89*15.1%)</f>
        <v>25.92</v>
      </c>
      <c r="U153" s="120">
        <f>IF(SUM($P89:U89)&lt;2225, U89*30%, U89*15.1%)</f>
        <v>25.92</v>
      </c>
      <c r="V153" s="120">
        <f>IF(SUM($P89:V89)&lt;2225, V89*30%, V89*15.1%)</f>
        <v>25.92</v>
      </c>
      <c r="W153" s="120">
        <f>IF(SUM($P89:W89)&lt;2225, W89*30%, W89*15.1%)</f>
        <v>25.92</v>
      </c>
      <c r="X153" s="120">
        <f>IF(SUM($P89:X89)&lt;2225, X89*30%, X89*15.1%)</f>
        <v>25.92</v>
      </c>
      <c r="Y153" s="120">
        <f>IF(SUM($P89:Y89)&lt;2225, Y89*30%, Y89*15.1%)</f>
        <v>25.92</v>
      </c>
      <c r="Z153" s="120">
        <f>IF(SUM($P89:Z89)&lt;2225, Z89*30%, Z89*15.1%)</f>
        <v>25.92</v>
      </c>
      <c r="AA153" s="120">
        <f>IF(SUM($P89:AA89)&lt;2225, AA89*30%, AA89*15.1%)</f>
        <v>25.92</v>
      </c>
      <c r="AB153" s="122">
        <f t="shared" si="157"/>
        <v>311.04000000000013</v>
      </c>
    </row>
    <row r="154" spans="2:32" ht="20" customHeight="1">
      <c r="B154" s="125" t="s">
        <v>71</v>
      </c>
      <c r="C154" s="126">
        <f>IF(SUM($C90:C90)&lt;2225, C90*30%, C90*15.1%)</f>
        <v>12</v>
      </c>
      <c r="D154" s="126">
        <f>IF(SUM($C90:D90)&lt;2225, D90*30%, D90*15.1%)</f>
        <v>12</v>
      </c>
      <c r="E154" s="126">
        <f>IF(SUM($C90:E90)&lt;2225, E90*30%, E90*15.1%)</f>
        <v>12</v>
      </c>
      <c r="F154" s="126">
        <f>IF(SUM($C90:F90)&lt;2225, F90*30%, F90*15.1%)</f>
        <v>12</v>
      </c>
      <c r="G154" s="126">
        <f>IF(SUM($C90:G90)&lt;2225, G90*30%, G90*15.1%)</f>
        <v>12</v>
      </c>
      <c r="H154" s="126">
        <f>IF(SUM($C90:H90)&lt;2225, H90*30%, H90*15.1%)</f>
        <v>12</v>
      </c>
      <c r="I154" s="126">
        <f>IF(SUM($C90:I90)&lt;2225, I90*30%, I90*15.1%)</f>
        <v>12</v>
      </c>
      <c r="J154" s="126">
        <f>IF(SUM($C90:J90)&lt;2225, J90*30%, J90*15.1%)</f>
        <v>12</v>
      </c>
      <c r="K154" s="126">
        <f>IF(SUM($C90:K90)&lt;2225, K90*30%, K90*15.1%)</f>
        <v>12</v>
      </c>
      <c r="L154" s="126">
        <f>IF(SUM($C90:L90)&lt;2225, L90*30%, L90*15.1%)</f>
        <v>12</v>
      </c>
      <c r="M154" s="126">
        <f>IF(SUM($C90:M90)&lt;2225, M90*30%, M90*15.1%)</f>
        <v>12</v>
      </c>
      <c r="N154" s="126">
        <f>IF(SUM($C90:N90)&lt;2225, N90*30%, N90*15.1%)</f>
        <v>12</v>
      </c>
      <c r="O154" s="126">
        <f t="shared" si="156"/>
        <v>144</v>
      </c>
      <c r="P154" s="126">
        <f>IF(SUM($P90:P90)&lt;2225, P90*30%, P90*15.1%)</f>
        <v>12.96</v>
      </c>
      <c r="Q154" s="126">
        <f>IF(SUM($P90:Q90)&lt;2225, Q90*30%, Q90*15.1%)</f>
        <v>12.96</v>
      </c>
      <c r="R154" s="126">
        <f>IF(SUM($P90:R90)&lt;2225, R90*30%, R90*15.1%)</f>
        <v>12.96</v>
      </c>
      <c r="S154" s="126">
        <f>IF(SUM($P90:S90)&lt;2225, S90*30%, S90*15.1%)</f>
        <v>12.96</v>
      </c>
      <c r="T154" s="126">
        <f>IF(SUM($P90:T90)&lt;2225, T90*30%, T90*15.1%)</f>
        <v>12.96</v>
      </c>
      <c r="U154" s="126">
        <f>IF(SUM($P90:U90)&lt;2225, U90*30%, U90*15.1%)</f>
        <v>12.96</v>
      </c>
      <c r="V154" s="126">
        <f>IF(SUM($P90:V90)&lt;2225, V90*30%, V90*15.1%)</f>
        <v>12.96</v>
      </c>
      <c r="W154" s="126">
        <f>IF(SUM($P90:W90)&lt;2225, W90*30%, W90*15.1%)</f>
        <v>12.96</v>
      </c>
      <c r="X154" s="126">
        <f>IF(SUM($P90:X90)&lt;2225, X90*30%, X90*15.1%)</f>
        <v>12.96</v>
      </c>
      <c r="Y154" s="126">
        <f>IF(SUM($P90:Y90)&lt;2225, Y90*30%, Y90*15.1%)</f>
        <v>12.96</v>
      </c>
      <c r="Z154" s="126">
        <f>IF(SUM($P90:Z90)&lt;2225, Z90*30%, Z90*15.1%)</f>
        <v>12.96</v>
      </c>
      <c r="AA154" s="126">
        <f>IF(SUM($P90:AA90)&lt;2225, AA90*30%, AA90*15.1%)</f>
        <v>12.96</v>
      </c>
      <c r="AB154" s="126">
        <f t="shared" si="157"/>
        <v>155.52000000000007</v>
      </c>
    </row>
    <row r="155" spans="2:32" ht="20" customHeight="1"/>
    <row r="156" spans="2:32" ht="39" customHeight="1">
      <c r="B156" s="111" t="s">
        <v>179</v>
      </c>
      <c r="C156" s="189"/>
      <c r="D156" s="189"/>
      <c r="E156" s="189"/>
      <c r="F156" s="189"/>
      <c r="G156" s="225"/>
      <c r="H156" s="225"/>
      <c r="I156" s="225"/>
      <c r="J156" s="225"/>
      <c r="K156" s="225"/>
      <c r="L156" s="225"/>
      <c r="M156" s="225"/>
      <c r="N156" s="225"/>
      <c r="O156" s="225"/>
      <c r="P156" s="225"/>
      <c r="Q156" s="225"/>
      <c r="R156" s="225"/>
      <c r="S156" s="225"/>
      <c r="T156" s="225"/>
      <c r="U156" s="225"/>
      <c r="V156" s="225"/>
      <c r="W156" s="225"/>
      <c r="X156" s="225"/>
      <c r="Y156" s="225"/>
      <c r="Z156" s="225"/>
      <c r="AA156" s="225"/>
      <c r="AB156" s="225"/>
      <c r="AD156" s="341" t="s">
        <v>180</v>
      </c>
      <c r="AF156" s="13"/>
    </row>
    <row r="157" spans="2:32" ht="20" customHeight="1" thickBot="1">
      <c r="B157" s="113"/>
      <c r="C157" s="153" t="s">
        <v>186</v>
      </c>
      <c r="D157" s="153" t="s">
        <v>187</v>
      </c>
      <c r="E157" s="153" t="s">
        <v>188</v>
      </c>
      <c r="F157" s="153" t="s">
        <v>189</v>
      </c>
      <c r="G157" s="249">
        <v>46143</v>
      </c>
      <c r="H157" s="153" t="s">
        <v>190</v>
      </c>
      <c r="I157" s="153" t="s">
        <v>191</v>
      </c>
      <c r="J157" s="153" t="s">
        <v>192</v>
      </c>
      <c r="K157" s="153" t="s">
        <v>193</v>
      </c>
      <c r="L157" s="153" t="s">
        <v>194</v>
      </c>
      <c r="M157" s="153" t="s">
        <v>195</v>
      </c>
      <c r="N157" s="153" t="s">
        <v>196</v>
      </c>
      <c r="O157" s="250">
        <v>2026</v>
      </c>
      <c r="P157" s="153" t="s">
        <v>202</v>
      </c>
      <c r="Q157" s="153" t="s">
        <v>203</v>
      </c>
      <c r="R157" s="153" t="s">
        <v>204</v>
      </c>
      <c r="S157" s="153" t="s">
        <v>205</v>
      </c>
      <c r="T157" s="249">
        <v>46508</v>
      </c>
      <c r="U157" s="153" t="s">
        <v>206</v>
      </c>
      <c r="V157" s="153" t="s">
        <v>207</v>
      </c>
      <c r="W157" s="153" t="s">
        <v>208</v>
      </c>
      <c r="X157" s="153" t="s">
        <v>209</v>
      </c>
      <c r="Y157" s="153" t="s">
        <v>210</v>
      </c>
      <c r="Z157" s="153" t="s">
        <v>211</v>
      </c>
      <c r="AA157" s="153" t="s">
        <v>212</v>
      </c>
      <c r="AB157" s="250">
        <v>2027</v>
      </c>
      <c r="AD157" s="342"/>
      <c r="AF157" s="13"/>
    </row>
    <row r="158" spans="2:32" ht="10.25" customHeight="1">
      <c r="B158" s="123"/>
      <c r="C158" s="123"/>
      <c r="D158" s="123"/>
      <c r="E158" s="123"/>
      <c r="F158" s="123"/>
      <c r="G158" s="123"/>
      <c r="H158" s="123"/>
      <c r="I158" s="123"/>
      <c r="J158" s="123"/>
      <c r="K158" s="123"/>
      <c r="L158" s="123"/>
      <c r="M158" s="123"/>
      <c r="N158" s="123"/>
      <c r="O158" s="123"/>
      <c r="P158" s="123"/>
      <c r="Q158" s="123"/>
      <c r="R158" s="123"/>
      <c r="S158" s="123"/>
      <c r="T158" s="123"/>
      <c r="U158" s="123"/>
      <c r="V158" s="123"/>
      <c r="W158" s="123"/>
      <c r="X158" s="123"/>
      <c r="Y158" s="123"/>
      <c r="Z158" s="123"/>
      <c r="AA158" s="123"/>
      <c r="AB158" s="123"/>
      <c r="AD158" s="342"/>
      <c r="AF158" s="13"/>
    </row>
    <row r="159" spans="2:32" ht="20" customHeight="1">
      <c r="B159" s="125" t="s">
        <v>79</v>
      </c>
      <c r="C159" s="126">
        <f>C160+C161</f>
        <v>56.25</v>
      </c>
      <c r="D159" s="126">
        <f t="shared" ref="D159:N159" si="158">D160+D161</f>
        <v>56.25</v>
      </c>
      <c r="E159" s="126">
        <f t="shared" si="158"/>
        <v>56.25</v>
      </c>
      <c r="F159" s="126">
        <f t="shared" si="158"/>
        <v>56.25</v>
      </c>
      <c r="G159" s="126">
        <f t="shared" si="158"/>
        <v>56.25</v>
      </c>
      <c r="H159" s="126">
        <f t="shared" si="158"/>
        <v>56.25</v>
      </c>
      <c r="I159" s="126">
        <f t="shared" si="158"/>
        <v>56.25</v>
      </c>
      <c r="J159" s="126">
        <f t="shared" si="158"/>
        <v>56.25</v>
      </c>
      <c r="K159" s="126">
        <f t="shared" si="158"/>
        <v>56.25</v>
      </c>
      <c r="L159" s="126">
        <f t="shared" si="158"/>
        <v>56.25</v>
      </c>
      <c r="M159" s="126">
        <f t="shared" si="158"/>
        <v>56.25</v>
      </c>
      <c r="N159" s="126">
        <f t="shared" si="158"/>
        <v>56.25</v>
      </c>
      <c r="O159" s="126">
        <f>SUM(C159:N159)</f>
        <v>675</v>
      </c>
      <c r="P159" s="126">
        <f>P160+P161</f>
        <v>59.75</v>
      </c>
      <c r="Q159" s="126">
        <f t="shared" ref="Q159" si="159">Q160+Q161</f>
        <v>59.75</v>
      </c>
      <c r="R159" s="126">
        <f t="shared" ref="R159" si="160">R160+R161</f>
        <v>59.75</v>
      </c>
      <c r="S159" s="126">
        <f t="shared" ref="S159" si="161">S160+S161</f>
        <v>59.75</v>
      </c>
      <c r="T159" s="126">
        <f t="shared" ref="T159" si="162">T160+T161</f>
        <v>59.75</v>
      </c>
      <c r="U159" s="126">
        <f t="shared" ref="U159" si="163">U160+U161</f>
        <v>59.75</v>
      </c>
      <c r="V159" s="126">
        <f t="shared" ref="V159" si="164">V160+V161</f>
        <v>59.75</v>
      </c>
      <c r="W159" s="126">
        <f t="shared" ref="W159" si="165">W160+W161</f>
        <v>59.75</v>
      </c>
      <c r="X159" s="126">
        <f t="shared" ref="X159" si="166">X160+X161</f>
        <v>59.75</v>
      </c>
      <c r="Y159" s="126">
        <f t="shared" ref="Y159" si="167">Y160+Y161</f>
        <v>59.75</v>
      </c>
      <c r="Z159" s="126">
        <f t="shared" ref="Z159" si="168">Z160+Z161</f>
        <v>59.75</v>
      </c>
      <c r="AA159" s="126">
        <f t="shared" ref="AA159" si="169">AA160+AA161</f>
        <v>59.75</v>
      </c>
      <c r="AB159" s="126">
        <f>SUM(P159:AA159)</f>
        <v>717</v>
      </c>
      <c r="AD159" s="342"/>
    </row>
    <row r="160" spans="2:32" ht="20" customHeight="1">
      <c r="B160" s="117" t="s">
        <v>33</v>
      </c>
      <c r="C160" s="118">
        <f>Аналитика!M5</f>
        <v>50</v>
      </c>
      <c r="D160" s="118">
        <f>C160</f>
        <v>50</v>
      </c>
      <c r="E160" s="118">
        <f t="shared" ref="E160:N160" si="170">D160</f>
        <v>50</v>
      </c>
      <c r="F160" s="118">
        <f t="shared" si="170"/>
        <v>50</v>
      </c>
      <c r="G160" s="118">
        <f t="shared" si="170"/>
        <v>50</v>
      </c>
      <c r="H160" s="118">
        <f t="shared" si="170"/>
        <v>50</v>
      </c>
      <c r="I160" s="118">
        <f t="shared" si="170"/>
        <v>50</v>
      </c>
      <c r="J160" s="118">
        <f t="shared" si="170"/>
        <v>50</v>
      </c>
      <c r="K160" s="118">
        <f t="shared" si="170"/>
        <v>50</v>
      </c>
      <c r="L160" s="118">
        <f t="shared" si="170"/>
        <v>50</v>
      </c>
      <c r="M160" s="118">
        <f t="shared" si="170"/>
        <v>50</v>
      </c>
      <c r="N160" s="118">
        <f t="shared" si="170"/>
        <v>50</v>
      </c>
      <c r="O160" s="65">
        <f>SUM(C160:N160)</f>
        <v>600</v>
      </c>
      <c r="P160" s="118">
        <f>N160*(1+Аналитика!M4)</f>
        <v>53.5</v>
      </c>
      <c r="Q160" s="118">
        <f>P160</f>
        <v>53.5</v>
      </c>
      <c r="R160" s="118">
        <f t="shared" ref="R160:AA160" si="171">Q160</f>
        <v>53.5</v>
      </c>
      <c r="S160" s="118">
        <f t="shared" si="171"/>
        <v>53.5</v>
      </c>
      <c r="T160" s="118">
        <f t="shared" si="171"/>
        <v>53.5</v>
      </c>
      <c r="U160" s="118">
        <f t="shared" si="171"/>
        <v>53.5</v>
      </c>
      <c r="V160" s="118">
        <f t="shared" si="171"/>
        <v>53.5</v>
      </c>
      <c r="W160" s="118">
        <f t="shared" si="171"/>
        <v>53.5</v>
      </c>
      <c r="X160" s="118">
        <f t="shared" si="171"/>
        <v>53.5</v>
      </c>
      <c r="Y160" s="118">
        <f t="shared" si="171"/>
        <v>53.5</v>
      </c>
      <c r="Z160" s="118">
        <f t="shared" si="171"/>
        <v>53.5</v>
      </c>
      <c r="AA160" s="118">
        <f t="shared" si="171"/>
        <v>53.5</v>
      </c>
      <c r="AB160" s="66">
        <f>SUM(P160:AA160)</f>
        <v>642</v>
      </c>
      <c r="AD160" s="342"/>
    </row>
    <row r="161" spans="2:32" ht="20" customHeight="1">
      <c r="B161" s="119" t="s">
        <v>80</v>
      </c>
      <c r="C161" s="120">
        <f>Аналитика!M6/24</f>
        <v>6.25</v>
      </c>
      <c r="D161" s="120">
        <f>C161</f>
        <v>6.25</v>
      </c>
      <c r="E161" s="120">
        <f t="shared" ref="E161:N161" si="172">D161</f>
        <v>6.25</v>
      </c>
      <c r="F161" s="120">
        <f t="shared" si="172"/>
        <v>6.25</v>
      </c>
      <c r="G161" s="120">
        <f t="shared" si="172"/>
        <v>6.25</v>
      </c>
      <c r="H161" s="120">
        <f t="shared" si="172"/>
        <v>6.25</v>
      </c>
      <c r="I161" s="120">
        <f t="shared" si="172"/>
        <v>6.25</v>
      </c>
      <c r="J161" s="120">
        <f t="shared" si="172"/>
        <v>6.25</v>
      </c>
      <c r="K161" s="120">
        <f t="shared" si="172"/>
        <v>6.25</v>
      </c>
      <c r="L161" s="120">
        <f t="shared" si="172"/>
        <v>6.25</v>
      </c>
      <c r="M161" s="120">
        <f t="shared" si="172"/>
        <v>6.25</v>
      </c>
      <c r="N161" s="120">
        <f t="shared" si="172"/>
        <v>6.25</v>
      </c>
      <c r="O161" s="121">
        <f>SUM(C161:N161)</f>
        <v>75</v>
      </c>
      <c r="P161" s="120">
        <f>N161</f>
        <v>6.25</v>
      </c>
      <c r="Q161" s="120">
        <f>P161</f>
        <v>6.25</v>
      </c>
      <c r="R161" s="120">
        <f t="shared" ref="R161:AA161" si="173">Q161</f>
        <v>6.25</v>
      </c>
      <c r="S161" s="120">
        <f t="shared" si="173"/>
        <v>6.25</v>
      </c>
      <c r="T161" s="120">
        <f t="shared" si="173"/>
        <v>6.25</v>
      </c>
      <c r="U161" s="120">
        <f t="shared" si="173"/>
        <v>6.25</v>
      </c>
      <c r="V161" s="120">
        <f t="shared" si="173"/>
        <v>6.25</v>
      </c>
      <c r="W161" s="120">
        <f t="shared" si="173"/>
        <v>6.25</v>
      </c>
      <c r="X161" s="120">
        <f t="shared" si="173"/>
        <v>6.25</v>
      </c>
      <c r="Y161" s="120">
        <f t="shared" si="173"/>
        <v>6.25</v>
      </c>
      <c r="Z161" s="120">
        <f t="shared" si="173"/>
        <v>6.25</v>
      </c>
      <c r="AA161" s="120">
        <f t="shared" si="173"/>
        <v>6.25</v>
      </c>
      <c r="AB161" s="122">
        <f>SUM(P161:AA161)</f>
        <v>75</v>
      </c>
      <c r="AD161" s="342"/>
    </row>
    <row r="162" spans="2:32" ht="20" customHeight="1">
      <c r="B162" s="62"/>
      <c r="C162" s="62"/>
      <c r="D162" s="62"/>
      <c r="E162" s="62"/>
      <c r="F162" s="62"/>
      <c r="G162" s="62"/>
      <c r="H162" s="62"/>
      <c r="I162" s="62"/>
      <c r="J162" s="62"/>
      <c r="K162" s="62"/>
      <c r="L162" s="62"/>
      <c r="M162" s="62"/>
      <c r="N162" s="62"/>
      <c r="O162" s="62"/>
      <c r="P162" s="62"/>
      <c r="Q162" s="62"/>
      <c r="R162" s="62"/>
      <c r="S162" s="62"/>
      <c r="T162" s="62"/>
      <c r="U162" s="62"/>
      <c r="V162" s="62"/>
      <c r="W162" s="62"/>
      <c r="X162" s="62"/>
      <c r="Y162" s="62"/>
      <c r="Z162" s="62"/>
      <c r="AA162" s="62"/>
      <c r="AB162" s="62"/>
    </row>
    <row r="163" spans="2:32" ht="39.75" customHeight="1">
      <c r="B163" s="111" t="s">
        <v>181</v>
      </c>
      <c r="C163" s="189"/>
      <c r="D163" s="189"/>
      <c r="E163" s="189"/>
      <c r="F163" s="189"/>
      <c r="G163" s="225"/>
      <c r="H163" s="225"/>
      <c r="I163" s="225"/>
      <c r="J163" s="225"/>
      <c r="K163" s="225"/>
      <c r="L163" s="225"/>
      <c r="M163" s="225"/>
      <c r="N163" s="225"/>
      <c r="O163" s="225"/>
      <c r="P163" s="225"/>
      <c r="Q163" s="225"/>
      <c r="R163" s="225"/>
      <c r="S163" s="225"/>
      <c r="T163" s="225"/>
      <c r="U163" s="225"/>
      <c r="V163" s="225"/>
      <c r="W163" s="225"/>
      <c r="X163" s="225"/>
      <c r="Y163" s="225"/>
      <c r="Z163" s="225"/>
      <c r="AA163" s="225"/>
      <c r="AB163" s="225"/>
      <c r="AF163" s="13"/>
    </row>
    <row r="164" spans="2:32" ht="20" customHeight="1" thickBot="1">
      <c r="B164" s="113"/>
      <c r="C164" s="153" t="s">
        <v>186</v>
      </c>
      <c r="D164" s="153" t="s">
        <v>187</v>
      </c>
      <c r="E164" s="153" t="s">
        <v>188</v>
      </c>
      <c r="F164" s="153" t="s">
        <v>189</v>
      </c>
      <c r="G164" s="249">
        <v>46143</v>
      </c>
      <c r="H164" s="153" t="s">
        <v>190</v>
      </c>
      <c r="I164" s="153" t="s">
        <v>191</v>
      </c>
      <c r="J164" s="153" t="s">
        <v>192</v>
      </c>
      <c r="K164" s="153" t="s">
        <v>193</v>
      </c>
      <c r="L164" s="153" t="s">
        <v>194</v>
      </c>
      <c r="M164" s="153" t="s">
        <v>195</v>
      </c>
      <c r="N164" s="153" t="s">
        <v>196</v>
      </c>
      <c r="O164" s="250">
        <v>2026</v>
      </c>
      <c r="P164" s="153" t="s">
        <v>202</v>
      </c>
      <c r="Q164" s="153" t="s">
        <v>203</v>
      </c>
      <c r="R164" s="153" t="s">
        <v>204</v>
      </c>
      <c r="S164" s="153" t="s">
        <v>205</v>
      </c>
      <c r="T164" s="249">
        <v>46508</v>
      </c>
      <c r="U164" s="153" t="s">
        <v>206</v>
      </c>
      <c r="V164" s="153" t="s">
        <v>207</v>
      </c>
      <c r="W164" s="153" t="s">
        <v>208</v>
      </c>
      <c r="X164" s="153" t="s">
        <v>209</v>
      </c>
      <c r="Y164" s="153" t="s">
        <v>210</v>
      </c>
      <c r="Z164" s="153" t="s">
        <v>211</v>
      </c>
      <c r="AA164" s="153" t="s">
        <v>212</v>
      </c>
      <c r="AB164" s="250">
        <v>2027</v>
      </c>
    </row>
    <row r="165" spans="2:32" ht="10.25" customHeight="1">
      <c r="B165" s="123"/>
      <c r="C165" s="123"/>
      <c r="D165" s="123"/>
      <c r="E165" s="123"/>
      <c r="F165" s="123"/>
      <c r="G165" s="123"/>
      <c r="H165" s="123"/>
      <c r="I165" s="123"/>
      <c r="J165" s="123"/>
      <c r="K165" s="123"/>
      <c r="L165" s="123"/>
      <c r="M165" s="123"/>
      <c r="N165" s="123"/>
      <c r="O165" s="123"/>
      <c r="P165" s="123"/>
      <c r="Q165" s="123"/>
      <c r="R165" s="123"/>
      <c r="S165" s="123"/>
      <c r="T165" s="123"/>
      <c r="U165" s="123"/>
      <c r="V165" s="123"/>
      <c r="W165" s="123"/>
      <c r="X165" s="123"/>
      <c r="Y165" s="123"/>
      <c r="Z165" s="123"/>
      <c r="AA165" s="123"/>
      <c r="AB165" s="123"/>
    </row>
    <row r="166" spans="2:32" ht="20" customHeight="1">
      <c r="B166" s="125" t="s">
        <v>21</v>
      </c>
      <c r="C166" s="126">
        <f>SUM(Аналитика!C17:C22)</f>
        <v>300</v>
      </c>
      <c r="D166" s="126">
        <f>C166</f>
        <v>300</v>
      </c>
      <c r="E166" s="126">
        <f t="shared" ref="E166:N166" si="174">D166</f>
        <v>300</v>
      </c>
      <c r="F166" s="126">
        <f t="shared" si="174"/>
        <v>300</v>
      </c>
      <c r="G166" s="126">
        <f t="shared" si="174"/>
        <v>300</v>
      </c>
      <c r="H166" s="126">
        <f t="shared" si="174"/>
        <v>300</v>
      </c>
      <c r="I166" s="126">
        <f t="shared" si="174"/>
        <v>300</v>
      </c>
      <c r="J166" s="126">
        <f t="shared" si="174"/>
        <v>300</v>
      </c>
      <c r="K166" s="126">
        <f t="shared" si="174"/>
        <v>300</v>
      </c>
      <c r="L166" s="126">
        <f t="shared" si="174"/>
        <v>300</v>
      </c>
      <c r="M166" s="126">
        <f t="shared" si="174"/>
        <v>300</v>
      </c>
      <c r="N166" s="126">
        <f t="shared" si="174"/>
        <v>300</v>
      </c>
      <c r="O166" s="126">
        <f>SUM(C166:N166)</f>
        <v>3600</v>
      </c>
      <c r="P166" s="126">
        <f>N166*(1+Аналитика!M4)</f>
        <v>321</v>
      </c>
      <c r="Q166" s="126">
        <f>P166</f>
        <v>321</v>
      </c>
      <c r="R166" s="126">
        <f t="shared" ref="R166:AA166" si="175">Q166</f>
        <v>321</v>
      </c>
      <c r="S166" s="126">
        <f t="shared" si="175"/>
        <v>321</v>
      </c>
      <c r="T166" s="126">
        <f t="shared" si="175"/>
        <v>321</v>
      </c>
      <c r="U166" s="126">
        <f t="shared" si="175"/>
        <v>321</v>
      </c>
      <c r="V166" s="126">
        <f t="shared" si="175"/>
        <v>321</v>
      </c>
      <c r="W166" s="126">
        <f t="shared" si="175"/>
        <v>321</v>
      </c>
      <c r="X166" s="126">
        <f t="shared" si="175"/>
        <v>321</v>
      </c>
      <c r="Y166" s="126">
        <f t="shared" si="175"/>
        <v>321</v>
      </c>
      <c r="Z166" s="126">
        <f t="shared" si="175"/>
        <v>321</v>
      </c>
      <c r="AA166" s="126">
        <f t="shared" si="175"/>
        <v>321</v>
      </c>
      <c r="AB166" s="126">
        <f>SUM(P166:AA166)</f>
        <v>3852</v>
      </c>
    </row>
    <row r="167" spans="2:32" ht="20" customHeight="1">
      <c r="B167" s="125" t="s">
        <v>22</v>
      </c>
      <c r="C167" s="126">
        <f>SUM(Аналитика!D17:D22)</f>
        <v>300</v>
      </c>
      <c r="D167" s="126">
        <f>C167</f>
        <v>300</v>
      </c>
      <c r="E167" s="126">
        <f t="shared" ref="E167:N167" si="176">D167</f>
        <v>300</v>
      </c>
      <c r="F167" s="126">
        <f t="shared" si="176"/>
        <v>300</v>
      </c>
      <c r="G167" s="126">
        <f t="shared" si="176"/>
        <v>300</v>
      </c>
      <c r="H167" s="126">
        <f t="shared" si="176"/>
        <v>300</v>
      </c>
      <c r="I167" s="126">
        <f t="shared" si="176"/>
        <v>300</v>
      </c>
      <c r="J167" s="126">
        <f t="shared" si="176"/>
        <v>300</v>
      </c>
      <c r="K167" s="126">
        <f t="shared" si="176"/>
        <v>300</v>
      </c>
      <c r="L167" s="126">
        <f t="shared" si="176"/>
        <v>300</v>
      </c>
      <c r="M167" s="126">
        <f t="shared" si="176"/>
        <v>300</v>
      </c>
      <c r="N167" s="126">
        <f t="shared" si="176"/>
        <v>300</v>
      </c>
      <c r="O167" s="126">
        <f>SUM(C167:N167)</f>
        <v>3600</v>
      </c>
      <c r="P167" s="126">
        <f>N167*(1+Аналитика!M4)</f>
        <v>321</v>
      </c>
      <c r="Q167" s="126">
        <f>P167</f>
        <v>321</v>
      </c>
      <c r="R167" s="126">
        <f t="shared" ref="R167:AA167" si="177">Q167</f>
        <v>321</v>
      </c>
      <c r="S167" s="126">
        <f t="shared" si="177"/>
        <v>321</v>
      </c>
      <c r="T167" s="126">
        <f t="shared" si="177"/>
        <v>321</v>
      </c>
      <c r="U167" s="126">
        <f t="shared" si="177"/>
        <v>321</v>
      </c>
      <c r="V167" s="126">
        <f t="shared" si="177"/>
        <v>321</v>
      </c>
      <c r="W167" s="126">
        <f t="shared" si="177"/>
        <v>321</v>
      </c>
      <c r="X167" s="126">
        <f t="shared" si="177"/>
        <v>321</v>
      </c>
      <c r="Y167" s="126">
        <f t="shared" si="177"/>
        <v>321</v>
      </c>
      <c r="Z167" s="126">
        <f t="shared" si="177"/>
        <v>321</v>
      </c>
      <c r="AA167" s="126">
        <f t="shared" si="177"/>
        <v>321</v>
      </c>
      <c r="AB167" s="126">
        <f>SUM(P167:AA167)</f>
        <v>3852</v>
      </c>
    </row>
    <row r="168" spans="2:32" ht="20" customHeight="1"/>
    <row r="169" spans="2:32" ht="39" customHeight="1">
      <c r="B169" s="111" t="s">
        <v>182</v>
      </c>
      <c r="C169" s="189"/>
      <c r="D169" s="189"/>
      <c r="E169" s="189"/>
      <c r="F169" s="189"/>
      <c r="G169" s="225"/>
      <c r="H169" s="225"/>
      <c r="I169" s="225"/>
      <c r="J169" s="225"/>
      <c r="K169" s="225"/>
      <c r="L169" s="225"/>
      <c r="M169" s="225"/>
      <c r="N169" s="225"/>
      <c r="O169" s="225"/>
      <c r="P169" s="225"/>
      <c r="Q169" s="225"/>
      <c r="R169" s="225"/>
      <c r="S169" s="225"/>
      <c r="T169" s="225"/>
      <c r="U169" s="225"/>
      <c r="V169" s="225"/>
      <c r="W169" s="225"/>
      <c r="X169" s="225"/>
      <c r="Y169" s="225"/>
      <c r="Z169" s="225"/>
      <c r="AA169" s="225"/>
      <c r="AB169" s="225"/>
      <c r="AD169" s="341" t="s">
        <v>183</v>
      </c>
      <c r="AF169" s="13"/>
    </row>
    <row r="170" spans="2:32" ht="20" customHeight="1" thickBot="1">
      <c r="B170" s="113"/>
      <c r="C170" s="153" t="s">
        <v>186</v>
      </c>
      <c r="D170" s="153" t="s">
        <v>187</v>
      </c>
      <c r="E170" s="153" t="s">
        <v>188</v>
      </c>
      <c r="F170" s="153" t="s">
        <v>189</v>
      </c>
      <c r="G170" s="249">
        <v>46143</v>
      </c>
      <c r="H170" s="153" t="s">
        <v>190</v>
      </c>
      <c r="I170" s="153" t="s">
        <v>191</v>
      </c>
      <c r="J170" s="153" t="s">
        <v>192</v>
      </c>
      <c r="K170" s="153" t="s">
        <v>193</v>
      </c>
      <c r="L170" s="153" t="s">
        <v>194</v>
      </c>
      <c r="M170" s="153" t="s">
        <v>195</v>
      </c>
      <c r="N170" s="153" t="s">
        <v>196</v>
      </c>
      <c r="O170" s="250">
        <v>2026</v>
      </c>
      <c r="P170" s="153" t="s">
        <v>202</v>
      </c>
      <c r="Q170" s="153" t="s">
        <v>203</v>
      </c>
      <c r="R170" s="153" t="s">
        <v>204</v>
      </c>
      <c r="S170" s="153" t="s">
        <v>205</v>
      </c>
      <c r="T170" s="249">
        <v>46508</v>
      </c>
      <c r="U170" s="153" t="s">
        <v>206</v>
      </c>
      <c r="V170" s="153" t="s">
        <v>207</v>
      </c>
      <c r="W170" s="153" t="s">
        <v>208</v>
      </c>
      <c r="X170" s="153" t="s">
        <v>209</v>
      </c>
      <c r="Y170" s="153" t="s">
        <v>210</v>
      </c>
      <c r="Z170" s="153" t="s">
        <v>211</v>
      </c>
      <c r="AA170" s="153" t="s">
        <v>212</v>
      </c>
      <c r="AB170" s="250">
        <v>2027</v>
      </c>
      <c r="AD170" s="342"/>
      <c r="AF170" s="13"/>
    </row>
    <row r="171" spans="2:32" ht="10.25" customHeight="1">
      <c r="B171" s="123"/>
      <c r="C171" s="123"/>
      <c r="D171" s="123"/>
      <c r="E171" s="123"/>
      <c r="F171" s="123"/>
      <c r="G171" s="123"/>
      <c r="H171" s="123"/>
      <c r="I171" s="123"/>
      <c r="J171" s="123"/>
      <c r="K171" s="123"/>
      <c r="L171" s="123"/>
      <c r="M171" s="123"/>
      <c r="N171" s="123"/>
      <c r="O171" s="123"/>
      <c r="P171" s="123"/>
      <c r="Q171" s="123"/>
      <c r="R171" s="123"/>
      <c r="S171" s="123"/>
      <c r="T171" s="123"/>
      <c r="U171" s="123"/>
      <c r="V171" s="123"/>
      <c r="W171" s="123"/>
      <c r="X171" s="123"/>
      <c r="Y171" s="123"/>
      <c r="Z171" s="123"/>
      <c r="AA171" s="123"/>
      <c r="AB171" s="123"/>
      <c r="AD171" s="342"/>
      <c r="AF171" s="13"/>
    </row>
    <row r="172" spans="2:32" ht="20" customHeight="1">
      <c r="B172" s="125" t="s">
        <v>21</v>
      </c>
      <c r="C172" s="126">
        <f>Аналитика!$M$7*Расчеты!$AB$95/24</f>
        <v>20.833333333333332</v>
      </c>
      <c r="D172" s="126">
        <f>Аналитика!$M$7*Расчеты!$AB$95/24</f>
        <v>20.833333333333332</v>
      </c>
      <c r="E172" s="126">
        <f>Аналитика!$M$7*Расчеты!$AB$95/24</f>
        <v>20.833333333333332</v>
      </c>
      <c r="F172" s="126">
        <f>Аналитика!$M$7*Расчеты!$AB$95/24</f>
        <v>20.833333333333332</v>
      </c>
      <c r="G172" s="126">
        <f>Аналитика!$M$7*Расчеты!$AB$95/24</f>
        <v>20.833333333333332</v>
      </c>
      <c r="H172" s="126">
        <f>Аналитика!$M$7*Расчеты!$AB$95/24</f>
        <v>20.833333333333332</v>
      </c>
      <c r="I172" s="126">
        <f>Аналитика!$M$7*Расчеты!$AB$95/24</f>
        <v>20.833333333333332</v>
      </c>
      <c r="J172" s="126">
        <f>Аналитика!$M$7*Расчеты!$AB$95/24</f>
        <v>20.833333333333332</v>
      </c>
      <c r="K172" s="126">
        <f>Аналитика!$M$7*Расчеты!$AB$95/24</f>
        <v>20.833333333333332</v>
      </c>
      <c r="L172" s="126">
        <f>Аналитика!$M$7*Расчеты!$AB$95/24</f>
        <v>20.833333333333332</v>
      </c>
      <c r="M172" s="126">
        <f>Аналитика!$M$7*Расчеты!$AB$95/24</f>
        <v>20.833333333333332</v>
      </c>
      <c r="N172" s="126">
        <f>Аналитика!$M$7*Расчеты!$AB$95/24</f>
        <v>20.833333333333332</v>
      </c>
      <c r="O172" s="126">
        <f t="shared" ref="O172:O174" si="178">SUM(C172:N172)</f>
        <v>250.00000000000003</v>
      </c>
      <c r="P172" s="126">
        <f>Аналитика!$M$7*Расчеты!$AB$95/24</f>
        <v>20.833333333333332</v>
      </c>
      <c r="Q172" s="126">
        <f>Аналитика!$M$7*Расчеты!$AB$95/24</f>
        <v>20.833333333333332</v>
      </c>
      <c r="R172" s="126">
        <f>Аналитика!$M$7*Расчеты!$AB$95/24</f>
        <v>20.833333333333332</v>
      </c>
      <c r="S172" s="126">
        <f>Аналитика!$M$7*Расчеты!$AB$95/24</f>
        <v>20.833333333333332</v>
      </c>
      <c r="T172" s="126">
        <f>Аналитика!$M$7*Расчеты!$AB$95/24</f>
        <v>20.833333333333332</v>
      </c>
      <c r="U172" s="126">
        <f>Аналитика!$M$7*Расчеты!$AB$95/24</f>
        <v>20.833333333333332</v>
      </c>
      <c r="V172" s="126">
        <f>Аналитика!$M$7*Расчеты!$AB$95/24</f>
        <v>20.833333333333332</v>
      </c>
      <c r="W172" s="126">
        <f>Аналитика!$M$7*Расчеты!$AB$95/24</f>
        <v>20.833333333333332</v>
      </c>
      <c r="X172" s="126">
        <f>Аналитика!$M$7*Расчеты!$AB$95/24</f>
        <v>20.833333333333332</v>
      </c>
      <c r="Y172" s="126">
        <f>Аналитика!$M$7*Расчеты!$AB$95/24</f>
        <v>20.833333333333332</v>
      </c>
      <c r="Z172" s="126">
        <f>Аналитика!$M$7*Расчеты!$AB$95/24</f>
        <v>20.833333333333332</v>
      </c>
      <c r="AA172" s="126">
        <f>Аналитика!$M$7*Расчеты!$AB$95/24</f>
        <v>20.833333333333332</v>
      </c>
      <c r="AB172" s="126">
        <f t="shared" ref="AB172:AB174" si="179">SUM(P172:AA172)</f>
        <v>250.00000000000003</v>
      </c>
      <c r="AD172" s="342"/>
    </row>
    <row r="173" spans="2:32" ht="20" customHeight="1">
      <c r="B173" s="125" t="s">
        <v>22</v>
      </c>
      <c r="C173" s="126">
        <f>Аналитика!$M$7*Расчеты!$AB$101/24</f>
        <v>62.5</v>
      </c>
      <c r="D173" s="126">
        <f>Аналитика!$M$7*Расчеты!$AB$101/24</f>
        <v>62.5</v>
      </c>
      <c r="E173" s="126">
        <f>Аналитика!$M$7*Расчеты!$AB$101/24</f>
        <v>62.5</v>
      </c>
      <c r="F173" s="126">
        <f>Аналитика!$M$7*Расчеты!$AB$101/24</f>
        <v>62.5</v>
      </c>
      <c r="G173" s="126">
        <f>Аналитика!$M$7*Расчеты!$AB$101/24</f>
        <v>62.5</v>
      </c>
      <c r="H173" s="126">
        <f>Аналитика!$M$7*Расчеты!$AB$101/24</f>
        <v>62.5</v>
      </c>
      <c r="I173" s="126">
        <f>Аналитика!$M$7*Расчеты!$AB$101/24</f>
        <v>62.5</v>
      </c>
      <c r="J173" s="126">
        <f>Аналитика!$M$7*Расчеты!$AB$101/24</f>
        <v>62.5</v>
      </c>
      <c r="K173" s="126">
        <f>Аналитика!$M$7*Расчеты!$AB$101/24</f>
        <v>62.5</v>
      </c>
      <c r="L173" s="126">
        <f>Аналитика!$M$7*Расчеты!$AB$101/24</f>
        <v>62.5</v>
      </c>
      <c r="M173" s="126">
        <f>Аналитика!$M$7*Расчеты!$AB$101/24</f>
        <v>62.5</v>
      </c>
      <c r="N173" s="126">
        <f>Аналитика!$M$7*Расчеты!$AB$101/24</f>
        <v>62.5</v>
      </c>
      <c r="O173" s="126">
        <f t="shared" si="178"/>
        <v>750</v>
      </c>
      <c r="P173" s="126">
        <f>Аналитика!$M$7*Расчеты!$AB$101/24</f>
        <v>62.5</v>
      </c>
      <c r="Q173" s="126">
        <f>Аналитика!$M$7*Расчеты!$AB$101/24</f>
        <v>62.5</v>
      </c>
      <c r="R173" s="126">
        <f>Аналитика!$M$7*Расчеты!$AB$101/24</f>
        <v>62.5</v>
      </c>
      <c r="S173" s="126">
        <f>Аналитика!$M$7*Расчеты!$AB$101/24</f>
        <v>62.5</v>
      </c>
      <c r="T173" s="126">
        <f>Аналитика!$M$7*Расчеты!$AB$101/24</f>
        <v>62.5</v>
      </c>
      <c r="U173" s="126">
        <f>Аналитика!$M$7*Расчеты!$AB$101/24</f>
        <v>62.5</v>
      </c>
      <c r="V173" s="126">
        <f>Аналитика!$M$7*Расчеты!$AB$101/24</f>
        <v>62.5</v>
      </c>
      <c r="W173" s="126">
        <f>Аналитика!$M$7*Расчеты!$AB$101/24</f>
        <v>62.5</v>
      </c>
      <c r="X173" s="126">
        <f>Аналитика!$M$7*Расчеты!$AB$101/24</f>
        <v>62.5</v>
      </c>
      <c r="Y173" s="126">
        <f>Аналитика!$M$7*Расчеты!$AB$101/24</f>
        <v>62.5</v>
      </c>
      <c r="Z173" s="126">
        <f>Аналитика!$M$7*Расчеты!$AB$101/24</f>
        <v>62.5</v>
      </c>
      <c r="AA173" s="126">
        <f>Аналитика!$M$7*Расчеты!$AB$101/24</f>
        <v>62.5</v>
      </c>
      <c r="AB173" s="126">
        <f t="shared" si="179"/>
        <v>750</v>
      </c>
      <c r="AD173" s="342"/>
    </row>
    <row r="174" spans="2:32" ht="20" customHeight="1">
      <c r="B174" s="125" t="s">
        <v>83</v>
      </c>
      <c r="C174" s="126">
        <f>Аналитика!$M$7*Расчеты!$AB$106/24</f>
        <v>4.166666666666667</v>
      </c>
      <c r="D174" s="126">
        <f>Аналитика!$M$7*Расчеты!$AB$106/24</f>
        <v>4.166666666666667</v>
      </c>
      <c r="E174" s="126">
        <f>Аналитика!$M$7*Расчеты!$AB$106/24</f>
        <v>4.166666666666667</v>
      </c>
      <c r="F174" s="126">
        <f>Аналитика!$M$7*Расчеты!$AB$106/24</f>
        <v>4.166666666666667</v>
      </c>
      <c r="G174" s="126">
        <f>Аналитика!$M$7*Расчеты!$AB$106/24</f>
        <v>4.166666666666667</v>
      </c>
      <c r="H174" s="126">
        <f>Аналитика!$M$7*Расчеты!$AB$106/24</f>
        <v>4.166666666666667</v>
      </c>
      <c r="I174" s="126">
        <f>Аналитика!$M$7*Расчеты!$AB$106/24</f>
        <v>4.166666666666667</v>
      </c>
      <c r="J174" s="126">
        <f>Аналитика!$M$7*Расчеты!$AB$106/24</f>
        <v>4.166666666666667</v>
      </c>
      <c r="K174" s="126">
        <f>Аналитика!$M$7*Расчеты!$AB$106/24</f>
        <v>4.166666666666667</v>
      </c>
      <c r="L174" s="126">
        <f>Аналитика!$M$7*Расчеты!$AB$106/24</f>
        <v>4.166666666666667</v>
      </c>
      <c r="M174" s="126">
        <f>Аналитика!$M$7*Расчеты!$AB$106/24</f>
        <v>4.166666666666667</v>
      </c>
      <c r="N174" s="126">
        <f>Аналитика!$M$7*Расчеты!$AB$106/24</f>
        <v>4.166666666666667</v>
      </c>
      <c r="O174" s="126">
        <f t="shared" si="178"/>
        <v>49.999999999999993</v>
      </c>
      <c r="P174" s="126">
        <f>Аналитика!$M$7*Расчеты!$AB$106/24</f>
        <v>4.166666666666667</v>
      </c>
      <c r="Q174" s="126">
        <f>Аналитика!$M$7*Расчеты!$AB$106/24</f>
        <v>4.166666666666667</v>
      </c>
      <c r="R174" s="126">
        <f>Аналитика!$M$7*Расчеты!$AB$106/24</f>
        <v>4.166666666666667</v>
      </c>
      <c r="S174" s="126">
        <f>Аналитика!$M$7*Расчеты!$AB$106/24</f>
        <v>4.166666666666667</v>
      </c>
      <c r="T174" s="126">
        <f>Аналитика!$M$7*Расчеты!$AB$106/24</f>
        <v>4.166666666666667</v>
      </c>
      <c r="U174" s="126">
        <f>Аналитика!$M$7*Расчеты!$AB$106/24</f>
        <v>4.166666666666667</v>
      </c>
      <c r="V174" s="126">
        <f>Аналитика!$M$7*Расчеты!$AB$106/24</f>
        <v>4.166666666666667</v>
      </c>
      <c r="W174" s="126">
        <f>Аналитика!$M$7*Расчеты!$AB$106/24</f>
        <v>4.166666666666667</v>
      </c>
      <c r="X174" s="126">
        <f>Аналитика!$M$7*Расчеты!$AB$106/24</f>
        <v>4.166666666666667</v>
      </c>
      <c r="Y174" s="126">
        <f>Аналитика!$M$7*Расчеты!$AB$106/24</f>
        <v>4.166666666666667</v>
      </c>
      <c r="Z174" s="126">
        <f>Аналитика!$M$7*Расчеты!$AB$106/24</f>
        <v>4.166666666666667</v>
      </c>
      <c r="AA174" s="126">
        <f>Аналитика!$M$7*Расчеты!$AB$106/24</f>
        <v>4.166666666666667</v>
      </c>
      <c r="AB174" s="126">
        <f t="shared" si="179"/>
        <v>49.999999999999993</v>
      </c>
      <c r="AD174" s="342"/>
    </row>
    <row r="175" spans="2:32" ht="20" customHeight="1"/>
    <row r="176" spans="2:32" ht="41.25" customHeight="1">
      <c r="B176" s="111" t="s">
        <v>184</v>
      </c>
      <c r="C176" s="189"/>
      <c r="D176" s="189"/>
      <c r="E176" s="189"/>
      <c r="F176" s="189"/>
      <c r="G176" s="225"/>
      <c r="H176" s="225"/>
      <c r="I176" s="225"/>
      <c r="J176" s="225"/>
      <c r="K176" s="225"/>
      <c r="L176" s="225"/>
      <c r="M176" s="225"/>
      <c r="N176" s="225"/>
      <c r="O176" s="225"/>
      <c r="P176" s="225"/>
      <c r="Q176" s="225"/>
      <c r="R176" s="225"/>
      <c r="S176" s="225"/>
      <c r="T176" s="225"/>
      <c r="U176" s="225"/>
      <c r="V176" s="225"/>
      <c r="W176" s="225"/>
      <c r="X176" s="225"/>
      <c r="Y176" s="225"/>
      <c r="Z176" s="225"/>
      <c r="AA176" s="225"/>
      <c r="AB176" s="225"/>
      <c r="AD176" s="341"/>
      <c r="AF176" s="13"/>
    </row>
    <row r="177" spans="2:32" ht="20" customHeight="1" thickBot="1">
      <c r="B177" s="113"/>
      <c r="C177" s="153" t="s">
        <v>186</v>
      </c>
      <c r="D177" s="153" t="s">
        <v>187</v>
      </c>
      <c r="E177" s="153" t="s">
        <v>188</v>
      </c>
      <c r="F177" s="153" t="s">
        <v>189</v>
      </c>
      <c r="G177" s="249">
        <v>46143</v>
      </c>
      <c r="H177" s="153" t="s">
        <v>190</v>
      </c>
      <c r="I177" s="153" t="s">
        <v>191</v>
      </c>
      <c r="J177" s="153" t="s">
        <v>192</v>
      </c>
      <c r="K177" s="153" t="s">
        <v>193</v>
      </c>
      <c r="L177" s="153" t="s">
        <v>194</v>
      </c>
      <c r="M177" s="153" t="s">
        <v>195</v>
      </c>
      <c r="N177" s="153" t="s">
        <v>196</v>
      </c>
      <c r="O177" s="250">
        <v>2026</v>
      </c>
      <c r="P177" s="153" t="s">
        <v>202</v>
      </c>
      <c r="Q177" s="153" t="s">
        <v>203</v>
      </c>
      <c r="R177" s="153" t="s">
        <v>204</v>
      </c>
      <c r="S177" s="153" t="s">
        <v>205</v>
      </c>
      <c r="T177" s="249">
        <v>46508</v>
      </c>
      <c r="U177" s="153" t="s">
        <v>206</v>
      </c>
      <c r="V177" s="153" t="s">
        <v>207</v>
      </c>
      <c r="W177" s="153" t="s">
        <v>208</v>
      </c>
      <c r="X177" s="153" t="s">
        <v>209</v>
      </c>
      <c r="Y177" s="153" t="s">
        <v>210</v>
      </c>
      <c r="Z177" s="153" t="s">
        <v>211</v>
      </c>
      <c r="AA177" s="153" t="s">
        <v>212</v>
      </c>
      <c r="AB177" s="250">
        <v>2027</v>
      </c>
      <c r="AD177" s="342"/>
      <c r="AF177" s="13"/>
    </row>
    <row r="178" spans="2:32" ht="10.25" customHeight="1">
      <c r="B178" s="123"/>
      <c r="C178" s="123"/>
      <c r="D178" s="123"/>
      <c r="E178" s="123"/>
      <c r="F178" s="123"/>
      <c r="G178" s="123"/>
      <c r="H178" s="123"/>
      <c r="I178" s="123"/>
      <c r="J178" s="123"/>
      <c r="K178" s="123"/>
      <c r="L178" s="123"/>
      <c r="M178" s="123"/>
      <c r="N178" s="123"/>
      <c r="O178" s="123"/>
      <c r="P178" s="123"/>
      <c r="Q178" s="123"/>
      <c r="R178" s="123"/>
      <c r="S178" s="123"/>
      <c r="T178" s="123"/>
      <c r="U178" s="123"/>
      <c r="V178" s="123"/>
      <c r="W178" s="123"/>
      <c r="X178" s="123"/>
      <c r="Y178" s="123"/>
      <c r="Z178" s="123"/>
      <c r="AA178" s="123"/>
      <c r="AB178" s="123"/>
      <c r="AD178" s="342"/>
      <c r="AF178" s="13"/>
    </row>
    <row r="179" spans="2:32" ht="20" customHeight="1">
      <c r="B179" s="125" t="s">
        <v>21</v>
      </c>
      <c r="C179" s="126">
        <f>SUM(C180:C183)</f>
        <v>50</v>
      </c>
      <c r="D179" s="126">
        <f t="shared" ref="D179:P179" si="180">SUM(D180:D183)</f>
        <v>50</v>
      </c>
      <c r="E179" s="126">
        <f t="shared" si="180"/>
        <v>50</v>
      </c>
      <c r="F179" s="126">
        <f t="shared" si="180"/>
        <v>50</v>
      </c>
      <c r="G179" s="126">
        <f t="shared" si="180"/>
        <v>50</v>
      </c>
      <c r="H179" s="126">
        <f t="shared" si="180"/>
        <v>50</v>
      </c>
      <c r="I179" s="126">
        <f t="shared" si="180"/>
        <v>50</v>
      </c>
      <c r="J179" s="126">
        <f t="shared" si="180"/>
        <v>50</v>
      </c>
      <c r="K179" s="126">
        <f t="shared" si="180"/>
        <v>50</v>
      </c>
      <c r="L179" s="126">
        <f t="shared" si="180"/>
        <v>50</v>
      </c>
      <c r="M179" s="126">
        <f t="shared" si="180"/>
        <v>50</v>
      </c>
      <c r="N179" s="126">
        <f t="shared" si="180"/>
        <v>50</v>
      </c>
      <c r="O179" s="126">
        <f>SUM(C179:N179)</f>
        <v>600</v>
      </c>
      <c r="P179" s="126">
        <f t="shared" si="180"/>
        <v>53.5</v>
      </c>
      <c r="Q179" s="126">
        <f t="shared" ref="Q179" si="181">SUM(Q180:Q183)</f>
        <v>53.5</v>
      </c>
      <c r="R179" s="126">
        <f t="shared" ref="R179" si="182">SUM(R180:R183)</f>
        <v>53.5</v>
      </c>
      <c r="S179" s="126">
        <f t="shared" ref="S179" si="183">SUM(S180:S183)</f>
        <v>53.5</v>
      </c>
      <c r="T179" s="126">
        <f t="shared" ref="T179" si="184">SUM(T180:T183)</f>
        <v>53.5</v>
      </c>
      <c r="U179" s="126">
        <f t="shared" ref="U179" si="185">SUM(U180:U183)</f>
        <v>53.5</v>
      </c>
      <c r="V179" s="126">
        <f t="shared" ref="V179" si="186">SUM(V180:V183)</f>
        <v>53.5</v>
      </c>
      <c r="W179" s="126">
        <f t="shared" ref="W179" si="187">SUM(W180:W183)</f>
        <v>53.5</v>
      </c>
      <c r="X179" s="126">
        <f t="shared" ref="X179" si="188">SUM(X180:X183)</f>
        <v>53.5</v>
      </c>
      <c r="Y179" s="126">
        <f t="shared" ref="Y179" si="189">SUM(Y180:Y183)</f>
        <v>53.5</v>
      </c>
      <c r="Z179" s="126">
        <f t="shared" ref="Z179" si="190">SUM(Z180:Z183)</f>
        <v>53.5</v>
      </c>
      <c r="AA179" s="126">
        <f t="shared" ref="AA179" si="191">SUM(AA180:AA183)</f>
        <v>53.5</v>
      </c>
      <c r="AB179" s="126">
        <f t="shared" ref="AB179:AB191" si="192">SUM(P179:AA179)</f>
        <v>642</v>
      </c>
      <c r="AD179" s="342"/>
    </row>
    <row r="180" spans="2:32" ht="20" customHeight="1">
      <c r="B180" s="117" t="s">
        <v>85</v>
      </c>
      <c r="C180" s="118">
        <f>Аналитика!$M$11/12*C$95</f>
        <v>12.5</v>
      </c>
      <c r="D180" s="118">
        <f>Аналитика!$M$11/12*D$95</f>
        <v>12.5</v>
      </c>
      <c r="E180" s="118">
        <f>Аналитика!$M$11/12*E$95</f>
        <v>12.5</v>
      </c>
      <c r="F180" s="118">
        <f>Аналитика!$M$11/12*F$95</f>
        <v>12.5</v>
      </c>
      <c r="G180" s="118">
        <f>Аналитика!$M$11/12*G$95</f>
        <v>12.5</v>
      </c>
      <c r="H180" s="118">
        <f>Аналитика!$M$11/12*H$95</f>
        <v>12.5</v>
      </c>
      <c r="I180" s="118">
        <f>Аналитика!$M$11/12*I$95</f>
        <v>12.5</v>
      </c>
      <c r="J180" s="118">
        <f>Аналитика!$M$11/12*J$95</f>
        <v>12.5</v>
      </c>
      <c r="K180" s="118">
        <f>Аналитика!$M$11/12*K$95</f>
        <v>12.5</v>
      </c>
      <c r="L180" s="118">
        <f>Аналитика!$M$11/12*L$95</f>
        <v>12.5</v>
      </c>
      <c r="M180" s="118">
        <f>Аналитика!$M$11/12*M$95</f>
        <v>12.5</v>
      </c>
      <c r="N180" s="118">
        <f>Аналитика!$M$11/12*N$95</f>
        <v>12.5</v>
      </c>
      <c r="O180" s="65">
        <f>SUM(C180:N180)</f>
        <v>150</v>
      </c>
      <c r="P180" s="118">
        <f>Аналитика!$M$11/12*P$95*(1+Аналитика!$M$4)</f>
        <v>13.375</v>
      </c>
      <c r="Q180" s="118">
        <f>Аналитика!$M$11/12*Q$95*(1+Аналитика!$M$4)</f>
        <v>13.375</v>
      </c>
      <c r="R180" s="118">
        <f>Аналитика!$M$11/12*R$95*(1+Аналитика!$M$4)</f>
        <v>13.375</v>
      </c>
      <c r="S180" s="118">
        <f>Аналитика!$M$11/12*S$95*(1+Аналитика!$M$4)</f>
        <v>13.375</v>
      </c>
      <c r="T180" s="118">
        <f>Аналитика!$M$11/12*T$95*(1+Аналитика!$M$4)</f>
        <v>13.375</v>
      </c>
      <c r="U180" s="118">
        <f>Аналитика!$M$11/12*U$95*(1+Аналитика!$M$4)</f>
        <v>13.375</v>
      </c>
      <c r="V180" s="118">
        <f>Аналитика!$M$11/12*V$95*(1+Аналитика!$M$4)</f>
        <v>13.375</v>
      </c>
      <c r="W180" s="118">
        <f>Аналитика!$M$11/12*W$95*(1+Аналитика!$M$4)</f>
        <v>13.375</v>
      </c>
      <c r="X180" s="118">
        <f>Аналитика!$M$11/12*X$95*(1+Аналитика!$M$4)</f>
        <v>13.375</v>
      </c>
      <c r="Y180" s="118">
        <f>Аналитика!$M$11/12*Y$95*(1+Аналитика!$M$4)</f>
        <v>13.375</v>
      </c>
      <c r="Z180" s="118">
        <f>Аналитика!$M$11/12*Z$95*(1+Аналитика!$M$4)</f>
        <v>13.375</v>
      </c>
      <c r="AA180" s="118">
        <f>Аналитика!$M$11/12*AA$95*(1+Аналитика!$M$4)</f>
        <v>13.375</v>
      </c>
      <c r="AB180" s="66">
        <f t="shared" si="192"/>
        <v>160.5</v>
      </c>
      <c r="AD180" s="342"/>
    </row>
    <row r="181" spans="2:32" ht="20" customHeight="1">
      <c r="B181" s="147" t="s">
        <v>86</v>
      </c>
      <c r="C181" s="86">
        <f>Аналитика!$M$12/12*C$95</f>
        <v>5.8333333333333339</v>
      </c>
      <c r="D181" s="86">
        <f>Аналитика!$M$12/12*D$95</f>
        <v>5.8333333333333339</v>
      </c>
      <c r="E181" s="86">
        <f>Аналитика!$M$12/12*E$95</f>
        <v>5.8333333333333339</v>
      </c>
      <c r="F181" s="86">
        <f>Аналитика!$M$12/12*F$95</f>
        <v>5.8333333333333339</v>
      </c>
      <c r="G181" s="86">
        <f>Аналитика!$M$12/12*G$95</f>
        <v>5.8333333333333339</v>
      </c>
      <c r="H181" s="86">
        <f>Аналитика!$M$12/12*H$95</f>
        <v>5.8333333333333339</v>
      </c>
      <c r="I181" s="86">
        <f>Аналитика!$M$12/12*I$95</f>
        <v>5.8333333333333339</v>
      </c>
      <c r="J181" s="86">
        <f>Аналитика!$M$12/12*J$95</f>
        <v>5.8333333333333339</v>
      </c>
      <c r="K181" s="86">
        <f>Аналитика!$M$12/12*K$95</f>
        <v>5.8333333333333339</v>
      </c>
      <c r="L181" s="86">
        <f>Аналитика!$M$12/12*L$95</f>
        <v>5.8333333333333339</v>
      </c>
      <c r="M181" s="86">
        <f>Аналитика!$M$12/12*M$95</f>
        <v>5.8333333333333339</v>
      </c>
      <c r="N181" s="86">
        <f>Аналитика!$M$12/12*N$95</f>
        <v>5.8333333333333339</v>
      </c>
      <c r="O181" s="76">
        <f t="shared" ref="O181:O191" si="193">SUM(C181:N181)</f>
        <v>70.000000000000014</v>
      </c>
      <c r="P181" s="86">
        <f>Аналитика!$M$12/12*P$95*(1+Аналитика!$M$4)</f>
        <v>6.241666666666668</v>
      </c>
      <c r="Q181" s="86">
        <f>Аналитика!$M$12/12*Q$95*(1+Аналитика!$M$4)</f>
        <v>6.241666666666668</v>
      </c>
      <c r="R181" s="86">
        <f>Аналитика!$M$12/12*R$95*(1+Аналитика!$M$4)</f>
        <v>6.241666666666668</v>
      </c>
      <c r="S181" s="86">
        <f>Аналитика!$M$12/12*S$95*(1+Аналитика!$M$4)</f>
        <v>6.241666666666668</v>
      </c>
      <c r="T181" s="86">
        <f>Аналитика!$M$12/12*T$95*(1+Аналитика!$M$4)</f>
        <v>6.241666666666668</v>
      </c>
      <c r="U181" s="86">
        <f>Аналитика!$M$12/12*U$95*(1+Аналитика!$M$4)</f>
        <v>6.241666666666668</v>
      </c>
      <c r="V181" s="86">
        <f>Аналитика!$M$12/12*V$95*(1+Аналитика!$M$4)</f>
        <v>6.241666666666668</v>
      </c>
      <c r="W181" s="86">
        <f>Аналитика!$M$12/12*W$95*(1+Аналитика!$M$4)</f>
        <v>6.241666666666668</v>
      </c>
      <c r="X181" s="86">
        <f>Аналитика!$M$12/12*X$95*(1+Аналитика!$M$4)</f>
        <v>6.241666666666668</v>
      </c>
      <c r="Y181" s="86">
        <f>Аналитика!$M$12/12*Y$95*(1+Аналитика!$M$4)</f>
        <v>6.241666666666668</v>
      </c>
      <c r="Z181" s="86">
        <f>Аналитика!$M$12/12*Z$95*(1+Аналитика!$M$4)</f>
        <v>6.241666666666668</v>
      </c>
      <c r="AA181" s="86">
        <f>Аналитика!$M$12/12*AA$95*(1+Аналитика!$M$4)</f>
        <v>6.241666666666668</v>
      </c>
      <c r="AB181" s="77">
        <f t="shared" si="192"/>
        <v>74.90000000000002</v>
      </c>
      <c r="AD181" s="342"/>
    </row>
    <row r="182" spans="2:32" ht="20" customHeight="1">
      <c r="B182" s="147" t="s">
        <v>87</v>
      </c>
      <c r="C182" s="86">
        <f>Аналитика!$M$13/12*C$95</f>
        <v>4.166666666666667</v>
      </c>
      <c r="D182" s="86">
        <f>Аналитика!$M$13/12*D$95</f>
        <v>4.166666666666667</v>
      </c>
      <c r="E182" s="86">
        <f>Аналитика!$M$13/12*E$95</f>
        <v>4.166666666666667</v>
      </c>
      <c r="F182" s="86">
        <f>Аналитика!$M$13/12*F$95</f>
        <v>4.166666666666667</v>
      </c>
      <c r="G182" s="86">
        <f>Аналитика!$M$13/12*G$95</f>
        <v>4.166666666666667</v>
      </c>
      <c r="H182" s="86">
        <f>Аналитика!$M$13/12*H$95</f>
        <v>4.166666666666667</v>
      </c>
      <c r="I182" s="86">
        <f>Аналитика!$M$13/12*I$95</f>
        <v>4.166666666666667</v>
      </c>
      <c r="J182" s="86">
        <f>Аналитика!$M$13/12*J$95</f>
        <v>4.166666666666667</v>
      </c>
      <c r="K182" s="86">
        <f>Аналитика!$M$13/12*K$95</f>
        <v>4.166666666666667</v>
      </c>
      <c r="L182" s="86">
        <f>Аналитика!$M$13/12*L$95</f>
        <v>4.166666666666667</v>
      </c>
      <c r="M182" s="86">
        <f>Аналитика!$M$13/12*M$95</f>
        <v>4.166666666666667</v>
      </c>
      <c r="N182" s="86">
        <f>Аналитика!$M$13/12*N$95</f>
        <v>4.166666666666667</v>
      </c>
      <c r="O182" s="76">
        <f t="shared" ref="O182:O183" si="194">SUM(C182:N182)</f>
        <v>49.999999999999993</v>
      </c>
      <c r="P182" s="86">
        <f>Аналитика!$M$13/12*P$95*(1+Аналитика!$M$4)</f>
        <v>4.4583333333333339</v>
      </c>
      <c r="Q182" s="86">
        <f>Аналитика!$M$13/12*Q$95*(1+Аналитика!$M$4)</f>
        <v>4.4583333333333339</v>
      </c>
      <c r="R182" s="86">
        <f>Аналитика!$M$13/12*R$95*(1+Аналитика!$M$4)</f>
        <v>4.4583333333333339</v>
      </c>
      <c r="S182" s="86">
        <f>Аналитика!$M$13/12*S$95*(1+Аналитика!$M$4)</f>
        <v>4.4583333333333339</v>
      </c>
      <c r="T182" s="86">
        <f>Аналитика!$M$13/12*T$95*(1+Аналитика!$M$4)</f>
        <v>4.4583333333333339</v>
      </c>
      <c r="U182" s="86">
        <f>Аналитика!$M$13/12*U$95*(1+Аналитика!$M$4)</f>
        <v>4.4583333333333339</v>
      </c>
      <c r="V182" s="86">
        <f>Аналитика!$M$13/12*V$95*(1+Аналитика!$M$4)</f>
        <v>4.4583333333333339</v>
      </c>
      <c r="W182" s="86">
        <f>Аналитика!$M$13/12*W$95*(1+Аналитика!$M$4)</f>
        <v>4.4583333333333339</v>
      </c>
      <c r="X182" s="86">
        <f>Аналитика!$M$13/12*X$95*(1+Аналитика!$M$4)</f>
        <v>4.4583333333333339</v>
      </c>
      <c r="Y182" s="86">
        <f>Аналитика!$M$13/12*Y$95*(1+Аналитика!$M$4)</f>
        <v>4.4583333333333339</v>
      </c>
      <c r="Z182" s="86">
        <f>Аналитика!$M$13/12*Z$95*(1+Аналитика!$M$4)</f>
        <v>4.4583333333333339</v>
      </c>
      <c r="AA182" s="86">
        <f>Аналитика!$M$13/12*AA$95*(1+Аналитика!$M$4)</f>
        <v>4.4583333333333339</v>
      </c>
      <c r="AB182" s="77">
        <f t="shared" ref="AB182:AB183" si="195">SUM(P182:AA182)</f>
        <v>53.500000000000021</v>
      </c>
      <c r="AD182" s="342"/>
    </row>
    <row r="183" spans="2:32" ht="20" customHeight="1">
      <c r="B183" s="119" t="s">
        <v>88</v>
      </c>
      <c r="C183" s="120">
        <f>Аналитика!$M$14/12*C$95</f>
        <v>27.5</v>
      </c>
      <c r="D183" s="120">
        <f>Аналитика!$M$14/12*D$95</f>
        <v>27.5</v>
      </c>
      <c r="E183" s="120">
        <f>Аналитика!$M$14/12*E$95</f>
        <v>27.5</v>
      </c>
      <c r="F183" s="120">
        <f>Аналитика!$M$14/12*F$95</f>
        <v>27.5</v>
      </c>
      <c r="G183" s="120">
        <f>Аналитика!$M$14/12*G$95</f>
        <v>27.5</v>
      </c>
      <c r="H183" s="120">
        <f>Аналитика!$M$14/12*H$95</f>
        <v>27.5</v>
      </c>
      <c r="I183" s="120">
        <f>Аналитика!$M$14/12*I$95</f>
        <v>27.5</v>
      </c>
      <c r="J183" s="120">
        <f>Аналитика!$M$14/12*J$95</f>
        <v>27.5</v>
      </c>
      <c r="K183" s="120">
        <f>Аналитика!$M$14/12*K$95</f>
        <v>27.5</v>
      </c>
      <c r="L183" s="120">
        <f>Аналитика!$M$14/12*L$95</f>
        <v>27.5</v>
      </c>
      <c r="M183" s="120">
        <f>Аналитика!$M$14/12*M$95</f>
        <v>27.5</v>
      </c>
      <c r="N183" s="120">
        <f>Аналитика!$M$14/12*N$95</f>
        <v>27.5</v>
      </c>
      <c r="O183" s="121">
        <f t="shared" si="194"/>
        <v>330</v>
      </c>
      <c r="P183" s="120">
        <f>Аналитика!$M$14/12*P$95*(1+Аналитика!$M$4)</f>
        <v>29.425000000000001</v>
      </c>
      <c r="Q183" s="120">
        <f>Аналитика!$M$14/12*Q$95*(1+Аналитика!$M$4)</f>
        <v>29.425000000000001</v>
      </c>
      <c r="R183" s="120">
        <f>Аналитика!$M$14/12*R$95*(1+Аналитика!$M$4)</f>
        <v>29.425000000000001</v>
      </c>
      <c r="S183" s="120">
        <f>Аналитика!$M$14/12*S$95*(1+Аналитика!$M$4)</f>
        <v>29.425000000000001</v>
      </c>
      <c r="T183" s="120">
        <f>Аналитика!$M$14/12*T$95*(1+Аналитика!$M$4)</f>
        <v>29.425000000000001</v>
      </c>
      <c r="U183" s="120">
        <f>Аналитика!$M$14/12*U$95*(1+Аналитика!$M$4)</f>
        <v>29.425000000000001</v>
      </c>
      <c r="V183" s="120">
        <f>Аналитика!$M$14/12*V$95*(1+Аналитика!$M$4)</f>
        <v>29.425000000000001</v>
      </c>
      <c r="W183" s="120">
        <f>Аналитика!$M$14/12*W$95*(1+Аналитика!$M$4)</f>
        <v>29.425000000000001</v>
      </c>
      <c r="X183" s="120">
        <f>Аналитика!$M$14/12*X$95*(1+Аналитика!$M$4)</f>
        <v>29.425000000000001</v>
      </c>
      <c r="Y183" s="120">
        <f>Аналитика!$M$14/12*Y$95*(1+Аналитика!$M$4)</f>
        <v>29.425000000000001</v>
      </c>
      <c r="Z183" s="120">
        <f>Аналитика!$M$14/12*Z$95*(1+Аналитика!$M$4)</f>
        <v>29.425000000000001</v>
      </c>
      <c r="AA183" s="120">
        <f>Аналитика!$M$14/12*AA$95*(1+Аналитика!$M$4)</f>
        <v>29.425000000000001</v>
      </c>
      <c r="AB183" s="122">
        <f t="shared" si="195"/>
        <v>353.10000000000008</v>
      </c>
      <c r="AD183" s="342"/>
    </row>
    <row r="184" spans="2:32" ht="20" customHeight="1">
      <c r="B184" s="125" t="s">
        <v>22</v>
      </c>
      <c r="C184" s="126">
        <f>SUM(C185:C188)</f>
        <v>40</v>
      </c>
      <c r="D184" s="126">
        <f t="shared" ref="D184:P184" si="196">SUM(D185:D188)</f>
        <v>50</v>
      </c>
      <c r="E184" s="126">
        <f t="shared" si="196"/>
        <v>50</v>
      </c>
      <c r="F184" s="126">
        <f t="shared" si="196"/>
        <v>60</v>
      </c>
      <c r="G184" s="126">
        <f t="shared" si="196"/>
        <v>70</v>
      </c>
      <c r="H184" s="126">
        <f t="shared" si="196"/>
        <v>80</v>
      </c>
      <c r="I184" s="126">
        <f t="shared" si="196"/>
        <v>80</v>
      </c>
      <c r="J184" s="126">
        <f t="shared" si="196"/>
        <v>90</v>
      </c>
      <c r="K184" s="126">
        <f t="shared" si="196"/>
        <v>100</v>
      </c>
      <c r="L184" s="126">
        <f t="shared" si="196"/>
        <v>110</v>
      </c>
      <c r="M184" s="126">
        <f t="shared" si="196"/>
        <v>110</v>
      </c>
      <c r="N184" s="126">
        <f t="shared" si="196"/>
        <v>120</v>
      </c>
      <c r="O184" s="126">
        <f t="shared" si="193"/>
        <v>960</v>
      </c>
      <c r="P184" s="126">
        <f t="shared" si="196"/>
        <v>128.4</v>
      </c>
      <c r="Q184" s="126">
        <f t="shared" ref="Q184" si="197">SUM(Q185:Q188)</f>
        <v>139.10000000000002</v>
      </c>
      <c r="R184" s="126">
        <f t="shared" ref="R184" si="198">SUM(R185:R188)</f>
        <v>139.10000000000002</v>
      </c>
      <c r="S184" s="126">
        <f t="shared" ref="S184" si="199">SUM(S185:S188)</f>
        <v>139.10000000000002</v>
      </c>
      <c r="T184" s="126">
        <f t="shared" ref="T184" si="200">SUM(T185:T188)</f>
        <v>139.10000000000002</v>
      </c>
      <c r="U184" s="126">
        <f t="shared" ref="U184" si="201">SUM(U185:U188)</f>
        <v>139.10000000000002</v>
      </c>
      <c r="V184" s="126">
        <f t="shared" ref="V184" si="202">SUM(V185:V188)</f>
        <v>149.80000000000001</v>
      </c>
      <c r="W184" s="126">
        <f t="shared" ref="W184" si="203">SUM(W185:W188)</f>
        <v>149.80000000000001</v>
      </c>
      <c r="X184" s="126">
        <f t="shared" ref="X184" si="204">SUM(X185:X188)</f>
        <v>149.80000000000001</v>
      </c>
      <c r="Y184" s="126">
        <f t="shared" ref="Y184" si="205">SUM(Y185:Y188)</f>
        <v>149.80000000000001</v>
      </c>
      <c r="Z184" s="126">
        <f t="shared" ref="Z184" si="206">SUM(Z185:Z188)</f>
        <v>149.80000000000001</v>
      </c>
      <c r="AA184" s="126">
        <f t="shared" ref="AA184" si="207">SUM(AA185:AA188)</f>
        <v>160.5</v>
      </c>
      <c r="AB184" s="126">
        <f t="shared" si="192"/>
        <v>1733.3999999999999</v>
      </c>
      <c r="AD184" s="342"/>
    </row>
    <row r="185" spans="2:32" ht="20" customHeight="1">
      <c r="B185" s="117" t="s">
        <v>85</v>
      </c>
      <c r="C185" s="118">
        <f>Аналитика!$M$11/12*C$101</f>
        <v>10</v>
      </c>
      <c r="D185" s="118">
        <f>Аналитика!$M$11/12*D$101</f>
        <v>12.5</v>
      </c>
      <c r="E185" s="118">
        <f>Аналитика!$M$11/12*E$101</f>
        <v>12.5</v>
      </c>
      <c r="F185" s="118">
        <f>Аналитика!$M$11/12*F$101</f>
        <v>15</v>
      </c>
      <c r="G185" s="118">
        <f>Аналитика!$M$11/12*G$101</f>
        <v>17.5</v>
      </c>
      <c r="H185" s="118">
        <f>Аналитика!$M$11/12*H$101</f>
        <v>20</v>
      </c>
      <c r="I185" s="118">
        <f>Аналитика!$M$11/12*I$101</f>
        <v>20</v>
      </c>
      <c r="J185" s="118">
        <f>Аналитика!$M$11/12*J$101</f>
        <v>22.5</v>
      </c>
      <c r="K185" s="118">
        <f>Аналитика!$M$11/12*K$101</f>
        <v>25</v>
      </c>
      <c r="L185" s="118">
        <f>Аналитика!$M$11/12*L$101</f>
        <v>27.5</v>
      </c>
      <c r="M185" s="118">
        <f>Аналитика!$M$11/12*M$101</f>
        <v>27.5</v>
      </c>
      <c r="N185" s="118">
        <f>Аналитика!$M$11/12*N$101</f>
        <v>30</v>
      </c>
      <c r="O185" s="65">
        <f t="shared" si="193"/>
        <v>240</v>
      </c>
      <c r="P185" s="118">
        <f>Аналитика!$M$11/12*P$101*(1+Аналитика!$M$4)</f>
        <v>32.1</v>
      </c>
      <c r="Q185" s="118">
        <f>Аналитика!$M$11/12*Q$101*(1+Аналитика!$M$4)</f>
        <v>34.774999999999999</v>
      </c>
      <c r="R185" s="118">
        <f>Аналитика!$M$11/12*R$101*(1+Аналитика!$M$4)</f>
        <v>34.774999999999999</v>
      </c>
      <c r="S185" s="118">
        <f>Аналитика!$M$11/12*S$101*(1+Аналитика!$M$4)</f>
        <v>34.774999999999999</v>
      </c>
      <c r="T185" s="118">
        <f>Аналитика!$M$11/12*T$101*(1+Аналитика!$M$4)</f>
        <v>34.774999999999999</v>
      </c>
      <c r="U185" s="118">
        <f>Аналитика!$M$11/12*U$101*(1+Аналитика!$M$4)</f>
        <v>34.774999999999999</v>
      </c>
      <c r="V185" s="118">
        <f>Аналитика!$M$11/12*V$101*(1+Аналитика!$M$4)</f>
        <v>37.450000000000003</v>
      </c>
      <c r="W185" s="118">
        <f>Аналитика!$M$11/12*W$101*(1+Аналитика!$M$4)</f>
        <v>37.450000000000003</v>
      </c>
      <c r="X185" s="118">
        <f>Аналитика!$M$11/12*X$101*(1+Аналитика!$M$4)</f>
        <v>37.450000000000003</v>
      </c>
      <c r="Y185" s="118">
        <f>Аналитика!$M$11/12*Y$101*(1+Аналитика!$M$4)</f>
        <v>37.450000000000003</v>
      </c>
      <c r="Z185" s="118">
        <f>Аналитика!$M$11/12*Z$101*(1+Аналитика!$M$4)</f>
        <v>37.450000000000003</v>
      </c>
      <c r="AA185" s="118">
        <f>Аналитика!$M$11/12*AA$101*(1+Аналитика!$M$4)</f>
        <v>40.125</v>
      </c>
      <c r="AB185" s="66">
        <f t="shared" si="192"/>
        <v>433.34999999999997</v>
      </c>
      <c r="AD185" s="342"/>
    </row>
    <row r="186" spans="2:32" ht="20" customHeight="1">
      <c r="B186" s="147" t="s">
        <v>86</v>
      </c>
      <c r="C186" s="86">
        <f>Аналитика!$M$12/12*C$101</f>
        <v>4.666666666666667</v>
      </c>
      <c r="D186" s="86">
        <f>Аналитика!$M$12/12*D$101</f>
        <v>5.8333333333333339</v>
      </c>
      <c r="E186" s="86">
        <f>Аналитика!$M$12/12*E$101</f>
        <v>5.8333333333333339</v>
      </c>
      <c r="F186" s="86">
        <f>Аналитика!$M$12/12*F$101</f>
        <v>7</v>
      </c>
      <c r="G186" s="86">
        <f>Аналитика!$M$12/12*G$101</f>
        <v>8.1666666666666679</v>
      </c>
      <c r="H186" s="86">
        <f>Аналитика!$M$12/12*H$101</f>
        <v>9.3333333333333339</v>
      </c>
      <c r="I186" s="86">
        <f>Аналитика!$M$12/12*I$101</f>
        <v>9.3333333333333339</v>
      </c>
      <c r="J186" s="86">
        <f>Аналитика!$M$12/12*J$101</f>
        <v>10.5</v>
      </c>
      <c r="K186" s="86">
        <f>Аналитика!$M$12/12*K$101</f>
        <v>11.666666666666668</v>
      </c>
      <c r="L186" s="86">
        <f>Аналитика!$M$12/12*L$101</f>
        <v>12.833333333333334</v>
      </c>
      <c r="M186" s="86">
        <f>Аналитика!$M$12/12*M$101</f>
        <v>12.833333333333334</v>
      </c>
      <c r="N186" s="86">
        <f>Аналитика!$M$12/12*N$101</f>
        <v>14</v>
      </c>
      <c r="O186" s="76">
        <f t="shared" si="193"/>
        <v>112</v>
      </c>
      <c r="P186" s="86">
        <f>Аналитика!$M$12/12*P$101*(1+Аналитика!$M$4)</f>
        <v>14.98</v>
      </c>
      <c r="Q186" s="86">
        <f>Аналитика!$M$12/12*Q$101*(1+Аналитика!$M$4)</f>
        <v>16.228333333333335</v>
      </c>
      <c r="R186" s="86">
        <f>Аналитика!$M$12/12*R$101*(1+Аналитика!$M$4)</f>
        <v>16.228333333333335</v>
      </c>
      <c r="S186" s="86">
        <f>Аналитика!$M$12/12*S$101*(1+Аналитика!$M$4)</f>
        <v>16.228333333333335</v>
      </c>
      <c r="T186" s="86">
        <f>Аналитика!$M$12/12*T$101*(1+Аналитика!$M$4)</f>
        <v>16.228333333333335</v>
      </c>
      <c r="U186" s="86">
        <f>Аналитика!$M$12/12*U$101*(1+Аналитика!$M$4)</f>
        <v>16.228333333333335</v>
      </c>
      <c r="V186" s="86">
        <f>Аналитика!$M$12/12*V$101*(1+Аналитика!$M$4)</f>
        <v>17.47666666666667</v>
      </c>
      <c r="W186" s="86">
        <f>Аналитика!$M$12/12*W$101*(1+Аналитика!$M$4)</f>
        <v>17.47666666666667</v>
      </c>
      <c r="X186" s="86">
        <f>Аналитика!$M$12/12*X$101*(1+Аналитика!$M$4)</f>
        <v>17.47666666666667</v>
      </c>
      <c r="Y186" s="86">
        <f>Аналитика!$M$12/12*Y$101*(1+Аналитика!$M$4)</f>
        <v>17.47666666666667</v>
      </c>
      <c r="Z186" s="86">
        <f>Аналитика!$M$12/12*Z$101*(1+Аналитика!$M$4)</f>
        <v>17.47666666666667</v>
      </c>
      <c r="AA186" s="86">
        <f>Аналитика!$M$12/12*AA$101*(1+Аналитика!$M$4)</f>
        <v>18.725000000000001</v>
      </c>
      <c r="AB186" s="77">
        <f t="shared" si="192"/>
        <v>202.23</v>
      </c>
      <c r="AD186" s="342"/>
    </row>
    <row r="187" spans="2:32" ht="20" customHeight="1">
      <c r="B187" s="147" t="s">
        <v>87</v>
      </c>
      <c r="C187" s="86">
        <f>Аналитика!$M$13/12*C$101</f>
        <v>3.3333333333333335</v>
      </c>
      <c r="D187" s="86">
        <f>Аналитика!$M$13/12*D$101</f>
        <v>4.166666666666667</v>
      </c>
      <c r="E187" s="86">
        <f>Аналитика!$M$13/12*E$101</f>
        <v>4.166666666666667</v>
      </c>
      <c r="F187" s="86">
        <f>Аналитика!$M$13/12*F$101</f>
        <v>5</v>
      </c>
      <c r="G187" s="86">
        <f>Аналитика!$M$13/12*G$101</f>
        <v>5.8333333333333339</v>
      </c>
      <c r="H187" s="86">
        <f>Аналитика!$M$13/12*H$101</f>
        <v>6.666666666666667</v>
      </c>
      <c r="I187" s="86">
        <f>Аналитика!$M$13/12*I$101</f>
        <v>6.666666666666667</v>
      </c>
      <c r="J187" s="86">
        <f>Аналитика!$M$13/12*J$101</f>
        <v>7.5</v>
      </c>
      <c r="K187" s="86">
        <f>Аналитика!$M$13/12*K$101</f>
        <v>8.3333333333333339</v>
      </c>
      <c r="L187" s="86">
        <f>Аналитика!$M$13/12*L$101</f>
        <v>9.1666666666666679</v>
      </c>
      <c r="M187" s="86">
        <f>Аналитика!$M$13/12*M$101</f>
        <v>9.1666666666666679</v>
      </c>
      <c r="N187" s="86">
        <f>Аналитика!$M$13/12*N$101</f>
        <v>10</v>
      </c>
      <c r="O187" s="76">
        <f t="shared" ref="O187:O188" si="208">SUM(C187:N187)</f>
        <v>80.000000000000014</v>
      </c>
      <c r="P187" s="86">
        <f>Аналитика!$M$13/12*P$101*(1+Аналитика!$M$4)</f>
        <v>10.700000000000001</v>
      </c>
      <c r="Q187" s="86">
        <f>Аналитика!$M$13/12*Q$101*(1+Аналитика!$M$4)</f>
        <v>11.591666666666669</v>
      </c>
      <c r="R187" s="86">
        <f>Аналитика!$M$13/12*R$101*(1+Аналитика!$M$4)</f>
        <v>11.591666666666669</v>
      </c>
      <c r="S187" s="86">
        <f>Аналитика!$M$13/12*S$101*(1+Аналитика!$M$4)</f>
        <v>11.591666666666669</v>
      </c>
      <c r="T187" s="86">
        <f>Аналитика!$M$13/12*T$101*(1+Аналитика!$M$4)</f>
        <v>11.591666666666669</v>
      </c>
      <c r="U187" s="86">
        <f>Аналитика!$M$13/12*U$101*(1+Аналитика!$M$4)</f>
        <v>11.591666666666669</v>
      </c>
      <c r="V187" s="86">
        <f>Аналитика!$M$13/12*V$101*(1+Аналитика!$M$4)</f>
        <v>12.483333333333336</v>
      </c>
      <c r="W187" s="86">
        <f>Аналитика!$M$13/12*W$101*(1+Аналитика!$M$4)</f>
        <v>12.483333333333336</v>
      </c>
      <c r="X187" s="86">
        <f>Аналитика!$M$13/12*X$101*(1+Аналитика!$M$4)</f>
        <v>12.483333333333336</v>
      </c>
      <c r="Y187" s="86">
        <f>Аналитика!$M$13/12*Y$101*(1+Аналитика!$M$4)</f>
        <v>12.483333333333336</v>
      </c>
      <c r="Z187" s="86">
        <f>Аналитика!$M$13/12*Z$101*(1+Аналитика!$M$4)</f>
        <v>12.483333333333336</v>
      </c>
      <c r="AA187" s="86">
        <f>Аналитика!$M$13/12*AA$101*(1+Аналитика!$M$4)</f>
        <v>13.375</v>
      </c>
      <c r="AB187" s="77">
        <f t="shared" ref="AB187:AB188" si="209">SUM(P187:AA187)</f>
        <v>144.45000000000002</v>
      </c>
      <c r="AD187" s="342"/>
    </row>
    <row r="188" spans="2:32" ht="20" customHeight="1">
      <c r="B188" s="119" t="s">
        <v>89</v>
      </c>
      <c r="C188" s="120">
        <f>Аналитика!$M$15/12*C$101</f>
        <v>22</v>
      </c>
      <c r="D188" s="120">
        <f>Аналитика!$M$15/12*D$101</f>
        <v>27.5</v>
      </c>
      <c r="E188" s="120">
        <f>Аналитика!$M$15/12*E$101</f>
        <v>27.5</v>
      </c>
      <c r="F188" s="120">
        <f>Аналитика!$M$15/12*F$101</f>
        <v>33</v>
      </c>
      <c r="G188" s="120">
        <f>Аналитика!$M$15/12*G$101</f>
        <v>38.5</v>
      </c>
      <c r="H188" s="120">
        <f>Аналитика!$M$15/12*H$101</f>
        <v>44</v>
      </c>
      <c r="I188" s="120">
        <f>Аналитика!$M$15/12*I$101</f>
        <v>44</v>
      </c>
      <c r="J188" s="120">
        <f>Аналитика!$M$15/12*J$101</f>
        <v>49.5</v>
      </c>
      <c r="K188" s="120">
        <f>Аналитика!$M$15/12*K$101</f>
        <v>55</v>
      </c>
      <c r="L188" s="120">
        <f>Аналитика!$M$15/12*L$101</f>
        <v>60.5</v>
      </c>
      <c r="M188" s="120">
        <f>Аналитика!$M$15/12*M$101</f>
        <v>60.5</v>
      </c>
      <c r="N188" s="120">
        <f>Аналитика!$M$15/12*N$101</f>
        <v>66</v>
      </c>
      <c r="O188" s="121">
        <f t="shared" si="208"/>
        <v>528</v>
      </c>
      <c r="P188" s="120">
        <f>Аналитика!$M$15/12*P$101*(1+Аналитика!$M$4)</f>
        <v>70.62</v>
      </c>
      <c r="Q188" s="120">
        <f>Аналитика!$M$15/12*Q$101*(1+Аналитика!$M$4)</f>
        <v>76.50500000000001</v>
      </c>
      <c r="R188" s="120">
        <f>Аналитика!$M$15/12*R$101*(1+Аналитика!$M$4)</f>
        <v>76.50500000000001</v>
      </c>
      <c r="S188" s="120">
        <f>Аналитика!$M$15/12*S$101*(1+Аналитика!$M$4)</f>
        <v>76.50500000000001</v>
      </c>
      <c r="T188" s="120">
        <f>Аналитика!$M$15/12*T$101*(1+Аналитика!$M$4)</f>
        <v>76.50500000000001</v>
      </c>
      <c r="U188" s="120">
        <f>Аналитика!$M$15/12*U$101*(1+Аналитика!$M$4)</f>
        <v>76.50500000000001</v>
      </c>
      <c r="V188" s="120">
        <f>Аналитика!$M$15/12*V$101*(1+Аналитика!$M$4)</f>
        <v>82.39</v>
      </c>
      <c r="W188" s="120">
        <f>Аналитика!$M$15/12*W$101*(1+Аналитика!$M$4)</f>
        <v>82.39</v>
      </c>
      <c r="X188" s="120">
        <f>Аналитика!$M$15/12*X$101*(1+Аналитика!$M$4)</f>
        <v>82.39</v>
      </c>
      <c r="Y188" s="120">
        <f>Аналитика!$M$15/12*Y$101*(1+Аналитика!$M$4)</f>
        <v>82.39</v>
      </c>
      <c r="Z188" s="120">
        <f>Аналитика!$M$15/12*Z$101*(1+Аналитика!$M$4)</f>
        <v>82.39</v>
      </c>
      <c r="AA188" s="120">
        <f>Аналитика!$M$15/12*AA$101*(1+Аналитика!$M$4)</f>
        <v>88.275000000000006</v>
      </c>
      <c r="AB188" s="122">
        <f t="shared" si="209"/>
        <v>953.36999999999989</v>
      </c>
      <c r="AD188" s="342"/>
    </row>
    <row r="189" spans="2:32" ht="20" customHeight="1">
      <c r="B189" s="125" t="s">
        <v>83</v>
      </c>
      <c r="C189" s="126">
        <f>SUM(C190:C191)</f>
        <v>3.3333333333333335</v>
      </c>
      <c r="D189" s="126">
        <f t="shared" ref="D189:N189" si="210">SUM(D190:D191)</f>
        <v>3.3333333333333335</v>
      </c>
      <c r="E189" s="126">
        <f t="shared" si="210"/>
        <v>3.3333333333333335</v>
      </c>
      <c r="F189" s="126">
        <f t="shared" si="210"/>
        <v>3.3333333333333335</v>
      </c>
      <c r="G189" s="126">
        <f t="shared" si="210"/>
        <v>3.3333333333333335</v>
      </c>
      <c r="H189" s="126">
        <f t="shared" si="210"/>
        <v>3.3333333333333335</v>
      </c>
      <c r="I189" s="126">
        <f t="shared" si="210"/>
        <v>3.3333333333333335</v>
      </c>
      <c r="J189" s="126">
        <f t="shared" si="210"/>
        <v>3.3333333333333335</v>
      </c>
      <c r="K189" s="126">
        <f t="shared" si="210"/>
        <v>3.3333333333333335</v>
      </c>
      <c r="L189" s="126">
        <f t="shared" si="210"/>
        <v>3.3333333333333335</v>
      </c>
      <c r="M189" s="126">
        <f t="shared" si="210"/>
        <v>3.3333333333333335</v>
      </c>
      <c r="N189" s="126">
        <f t="shared" si="210"/>
        <v>3.3333333333333335</v>
      </c>
      <c r="O189" s="126">
        <f t="shared" si="193"/>
        <v>40</v>
      </c>
      <c r="P189" s="126">
        <f>SUM(P190:P191)</f>
        <v>3.5666666666666669</v>
      </c>
      <c r="Q189" s="126">
        <f t="shared" ref="Q189:AA189" si="211">SUM(Q190:Q191)</f>
        <v>3.5666666666666669</v>
      </c>
      <c r="R189" s="126">
        <f t="shared" si="211"/>
        <v>3.5666666666666669</v>
      </c>
      <c r="S189" s="126">
        <f t="shared" si="211"/>
        <v>3.5666666666666669</v>
      </c>
      <c r="T189" s="126">
        <f t="shared" si="211"/>
        <v>3.5666666666666669</v>
      </c>
      <c r="U189" s="126">
        <f t="shared" si="211"/>
        <v>3.5666666666666669</v>
      </c>
      <c r="V189" s="126">
        <f t="shared" si="211"/>
        <v>3.5666666666666669</v>
      </c>
      <c r="W189" s="126">
        <f t="shared" si="211"/>
        <v>3.5666666666666669</v>
      </c>
      <c r="X189" s="126">
        <f t="shared" si="211"/>
        <v>3.5666666666666669</v>
      </c>
      <c r="Y189" s="126">
        <f t="shared" si="211"/>
        <v>3.5666666666666669</v>
      </c>
      <c r="Z189" s="126">
        <f t="shared" si="211"/>
        <v>3.5666666666666669</v>
      </c>
      <c r="AA189" s="126">
        <f t="shared" si="211"/>
        <v>3.5666666666666669</v>
      </c>
      <c r="AB189" s="126">
        <f t="shared" si="192"/>
        <v>42.800000000000011</v>
      </c>
      <c r="AD189" s="342"/>
    </row>
    <row r="190" spans="2:32" ht="20" customHeight="1">
      <c r="B190" s="117" t="s">
        <v>90</v>
      </c>
      <c r="C190" s="118">
        <f>Аналитика!$M$10/12*C$106</f>
        <v>0.83333333333333337</v>
      </c>
      <c r="D190" s="118">
        <f>Аналитика!$M$10/12*D$106</f>
        <v>0.83333333333333337</v>
      </c>
      <c r="E190" s="118">
        <f>Аналитика!$M$10/12*E$106</f>
        <v>0.83333333333333337</v>
      </c>
      <c r="F190" s="118">
        <f>Аналитика!$M$10/12*F$106</f>
        <v>0.83333333333333337</v>
      </c>
      <c r="G190" s="118">
        <f>Аналитика!$M$10/12*G$106</f>
        <v>0.83333333333333337</v>
      </c>
      <c r="H190" s="118">
        <f>Аналитика!$M$10/12*H$106</f>
        <v>0.83333333333333337</v>
      </c>
      <c r="I190" s="118">
        <f>Аналитика!$M$10/12*I$106</f>
        <v>0.83333333333333337</v>
      </c>
      <c r="J190" s="118">
        <f>Аналитика!$M$10/12*J$106</f>
        <v>0.83333333333333337</v>
      </c>
      <c r="K190" s="118">
        <f>Аналитика!$M$10/12*K$106</f>
        <v>0.83333333333333337</v>
      </c>
      <c r="L190" s="118">
        <f>Аналитика!$M$10/12*L$106</f>
        <v>0.83333333333333337</v>
      </c>
      <c r="M190" s="118">
        <f>Аналитика!$M$10/12*M$106</f>
        <v>0.83333333333333337</v>
      </c>
      <c r="N190" s="118">
        <f>Аналитика!$M$10/12*N$106</f>
        <v>0.83333333333333337</v>
      </c>
      <c r="O190" s="65">
        <f t="shared" si="193"/>
        <v>10</v>
      </c>
      <c r="P190" s="118">
        <f>Аналитика!$M$10/12*P$106*(1+Аналитика!$M$4)</f>
        <v>0.89166666666666672</v>
      </c>
      <c r="Q190" s="118">
        <f>Аналитика!$M$10/12*Q$106*(1+Аналитика!$M$4)</f>
        <v>0.89166666666666672</v>
      </c>
      <c r="R190" s="118">
        <f>Аналитика!$M$10/12*R$106*(1+Аналитика!$M$4)</f>
        <v>0.89166666666666672</v>
      </c>
      <c r="S190" s="118">
        <f>Аналитика!$M$10/12*S$106*(1+Аналитика!$M$4)</f>
        <v>0.89166666666666672</v>
      </c>
      <c r="T190" s="118">
        <f>Аналитика!$M$10/12*T$106*(1+Аналитика!$M$4)</f>
        <v>0.89166666666666672</v>
      </c>
      <c r="U190" s="118">
        <f>Аналитика!$M$10/12*U$106*(1+Аналитика!$M$4)</f>
        <v>0.89166666666666672</v>
      </c>
      <c r="V190" s="118">
        <f>Аналитика!$M$10/12*V$106*(1+Аналитика!$M$4)</f>
        <v>0.89166666666666672</v>
      </c>
      <c r="W190" s="118">
        <f>Аналитика!$M$10/12*W$106*(1+Аналитика!$M$4)</f>
        <v>0.89166666666666672</v>
      </c>
      <c r="X190" s="118">
        <f>Аналитика!$M$10/12*X$106*(1+Аналитика!$M$4)</f>
        <v>0.89166666666666672</v>
      </c>
      <c r="Y190" s="118">
        <f>Аналитика!$M$10/12*Y$106*(1+Аналитика!$M$4)</f>
        <v>0.89166666666666672</v>
      </c>
      <c r="Z190" s="118">
        <f>Аналитика!$M$10/12*Z$106*(1+Аналитика!$M$4)</f>
        <v>0.89166666666666672</v>
      </c>
      <c r="AA190" s="118">
        <f>Аналитика!$M$10/12*AA$106*(1+Аналитика!$M$4)</f>
        <v>0.89166666666666672</v>
      </c>
      <c r="AB190" s="66">
        <f t="shared" si="192"/>
        <v>10.700000000000003</v>
      </c>
      <c r="AD190" s="342"/>
    </row>
    <row r="191" spans="2:32" ht="20" customHeight="1">
      <c r="B191" s="119" t="s">
        <v>85</v>
      </c>
      <c r="C191" s="120">
        <f>Аналитика!$M$11/12*C$106</f>
        <v>2.5</v>
      </c>
      <c r="D191" s="120">
        <f>Аналитика!$M$11/12*D$106</f>
        <v>2.5</v>
      </c>
      <c r="E191" s="120">
        <f>Аналитика!$M$11/12*E$106</f>
        <v>2.5</v>
      </c>
      <c r="F191" s="120">
        <f>Аналитика!$M$11/12*F$106</f>
        <v>2.5</v>
      </c>
      <c r="G191" s="120">
        <f>Аналитика!$M$11/12*G$106</f>
        <v>2.5</v>
      </c>
      <c r="H191" s="120">
        <f>Аналитика!$M$11/12*H$106</f>
        <v>2.5</v>
      </c>
      <c r="I191" s="120">
        <f>Аналитика!$M$11/12*I$106</f>
        <v>2.5</v>
      </c>
      <c r="J191" s="120">
        <f>Аналитика!$M$11/12*J$106</f>
        <v>2.5</v>
      </c>
      <c r="K191" s="120">
        <f>Аналитика!$M$11/12*K$106</f>
        <v>2.5</v>
      </c>
      <c r="L191" s="120">
        <f>Аналитика!$M$11/12*L$106</f>
        <v>2.5</v>
      </c>
      <c r="M191" s="120">
        <f>Аналитика!$M$11/12*M$106</f>
        <v>2.5</v>
      </c>
      <c r="N191" s="120">
        <f>Аналитика!$M$11/12*N$106</f>
        <v>2.5</v>
      </c>
      <c r="O191" s="121">
        <f t="shared" si="193"/>
        <v>30</v>
      </c>
      <c r="P191" s="120">
        <f>Аналитика!$M$11/12*P$106*(1+Аналитика!$M$4)</f>
        <v>2.6750000000000003</v>
      </c>
      <c r="Q191" s="120">
        <f>Аналитика!$M$11/12*Q$106*(1+Аналитика!$M$4)</f>
        <v>2.6750000000000003</v>
      </c>
      <c r="R191" s="120">
        <f>Аналитика!$M$11/12*R$106*(1+Аналитика!$M$4)</f>
        <v>2.6750000000000003</v>
      </c>
      <c r="S191" s="120">
        <f>Аналитика!$M$11/12*S$106*(1+Аналитика!$M$4)</f>
        <v>2.6750000000000003</v>
      </c>
      <c r="T191" s="120">
        <f>Аналитика!$M$11/12*T$106*(1+Аналитика!$M$4)</f>
        <v>2.6750000000000003</v>
      </c>
      <c r="U191" s="120">
        <f>Аналитика!$M$11/12*U$106*(1+Аналитика!$M$4)</f>
        <v>2.6750000000000003</v>
      </c>
      <c r="V191" s="120">
        <f>Аналитика!$M$11/12*V$106*(1+Аналитика!$M$4)</f>
        <v>2.6750000000000003</v>
      </c>
      <c r="W191" s="120">
        <f>Аналитика!$M$11/12*W$106*(1+Аналитика!$M$4)</f>
        <v>2.6750000000000003</v>
      </c>
      <c r="X191" s="120">
        <f>Аналитика!$M$11/12*X$106*(1+Аналитика!$M$4)</f>
        <v>2.6750000000000003</v>
      </c>
      <c r="Y191" s="120">
        <f>Аналитика!$M$11/12*Y$106*(1+Аналитика!$M$4)</f>
        <v>2.6750000000000003</v>
      </c>
      <c r="Z191" s="120">
        <f>Аналитика!$M$11/12*Z$106*(1+Аналитика!$M$4)</f>
        <v>2.6750000000000003</v>
      </c>
      <c r="AA191" s="120">
        <f>Аналитика!$M$11/12*AA$106*(1+Аналитика!$M$4)</f>
        <v>2.6750000000000003</v>
      </c>
      <c r="AB191" s="122">
        <f t="shared" si="192"/>
        <v>32.1</v>
      </c>
      <c r="AD191" s="342"/>
    </row>
    <row r="195" spans="2:29" hidden="1">
      <c r="B195" t="s">
        <v>27</v>
      </c>
      <c r="C195" s="9">
        <f>C9+C15</f>
        <v>183.66666666666666</v>
      </c>
      <c r="D195" s="9">
        <f t="shared" ref="D195:AB195" si="212">D9+D15</f>
        <v>439.34</v>
      </c>
      <c r="E195" s="9">
        <f t="shared" si="212"/>
        <v>699.92180000000008</v>
      </c>
      <c r="F195" s="9">
        <f t="shared" si="212"/>
        <v>965.50675100000001</v>
      </c>
      <c r="G195" s="9">
        <f t="shared" si="212"/>
        <v>1236.1913717749999</v>
      </c>
      <c r="H195" s="9">
        <f t="shared" si="212"/>
        <v>1518.157536448967</v>
      </c>
      <c r="I195" s="9">
        <f t="shared" si="212"/>
        <v>1814.1653105541814</v>
      </c>
      <c r="J195" s="9">
        <f t="shared" si="212"/>
        <v>2124.9144680402696</v>
      </c>
      <c r="K195" s="9">
        <f t="shared" si="212"/>
        <v>2424.1308416911188</v>
      </c>
      <c r="L195" s="9">
        <f t="shared" si="212"/>
        <v>2721.8283355299277</v>
      </c>
      <c r="M195" s="9">
        <f t="shared" si="212"/>
        <v>3025.2451827693067</v>
      </c>
      <c r="N195" s="9">
        <f t="shared" si="212"/>
        <v>3334.4917823371725</v>
      </c>
      <c r="O195" s="9">
        <f t="shared" si="212"/>
        <v>20487.56004681261</v>
      </c>
      <c r="P195" s="9">
        <f t="shared" si="212"/>
        <v>3466.0140066749509</v>
      </c>
      <c r="Q195" s="9">
        <f t="shared" si="212"/>
        <v>3599.9199100552751</v>
      </c>
      <c r="R195" s="9">
        <f t="shared" si="212"/>
        <v>3736.2529710464451</v>
      </c>
      <c r="S195" s="9">
        <f t="shared" si="212"/>
        <v>3875.0574664729129</v>
      </c>
      <c r="T195" s="9">
        <f t="shared" si="212"/>
        <v>4016.3784861680469</v>
      </c>
      <c r="U195" s="9">
        <f t="shared" si="212"/>
        <v>4161.8937929954609</v>
      </c>
      <c r="V195" s="9">
        <f t="shared" si="212"/>
        <v>4314.4956544856723</v>
      </c>
      <c r="W195" s="9">
        <f t="shared" si="212"/>
        <v>4474.5295128459411</v>
      </c>
      <c r="X195" s="9">
        <f t="shared" si="212"/>
        <v>4635.1127658215373</v>
      </c>
      <c r="Y195" s="9">
        <f t="shared" si="212"/>
        <v>4789.7222773813783</v>
      </c>
      <c r="Z195" s="9">
        <f t="shared" si="212"/>
        <v>4947.1367867879126</v>
      </c>
      <c r="AA195" s="9">
        <f t="shared" si="212"/>
        <v>5107.4075117275388</v>
      </c>
      <c r="AB195" s="9">
        <f t="shared" si="212"/>
        <v>51123.921142463078</v>
      </c>
    </row>
    <row r="196" spans="2:29" hidden="1">
      <c r="B196" t="s">
        <v>28</v>
      </c>
      <c r="C196" s="9">
        <f>-C57-C58-C63-C69-C179-C184</f>
        <v>-1640.3333333333333</v>
      </c>
      <c r="D196" s="9">
        <f t="shared" ref="D196:AC196" si="213">-D57-D58-D63-D69-D179-D184</f>
        <v>-1782.3333333333333</v>
      </c>
      <c r="E196" s="9">
        <f t="shared" si="213"/>
        <v>-1782.3333333333333</v>
      </c>
      <c r="F196" s="9">
        <f t="shared" si="213"/>
        <v>-1924.3333333333333</v>
      </c>
      <c r="G196" s="9">
        <f t="shared" si="213"/>
        <v>-2066.333333333333</v>
      </c>
      <c r="H196" s="9">
        <f t="shared" si="213"/>
        <v>-2208.333333333333</v>
      </c>
      <c r="I196" s="9">
        <f t="shared" si="213"/>
        <v>-2208.333333333333</v>
      </c>
      <c r="J196" s="9">
        <f t="shared" si="213"/>
        <v>-2350.333333333333</v>
      </c>
      <c r="K196" s="9">
        <f t="shared" si="213"/>
        <v>-2492.333333333333</v>
      </c>
      <c r="L196" s="9">
        <f t="shared" si="213"/>
        <v>-2634.333333333333</v>
      </c>
      <c r="M196" s="9">
        <f t="shared" si="213"/>
        <v>-2634.333333333333</v>
      </c>
      <c r="N196" s="9">
        <f t="shared" si="213"/>
        <v>-2776.333333333333</v>
      </c>
      <c r="O196" s="14">
        <f t="shared" si="213"/>
        <v>-26500</v>
      </c>
      <c r="P196" s="9">
        <f t="shared" si="213"/>
        <v>-2947.3533333333335</v>
      </c>
      <c r="Q196" s="9">
        <f t="shared" si="213"/>
        <v>-3100.4533333333334</v>
      </c>
      <c r="R196" s="9">
        <f t="shared" si="213"/>
        <v>-3100.4533333333334</v>
      </c>
      <c r="S196" s="9">
        <f t="shared" si="213"/>
        <v>-3100.4533333333334</v>
      </c>
      <c r="T196" s="9">
        <f t="shared" si="213"/>
        <v>-3100.4533333333334</v>
      </c>
      <c r="U196" s="9">
        <f t="shared" si="213"/>
        <v>-3100.4533333333334</v>
      </c>
      <c r="V196" s="9">
        <f t="shared" si="213"/>
        <v>-3253.5533333333333</v>
      </c>
      <c r="W196" s="9">
        <f t="shared" si="213"/>
        <v>-3253.5533333333333</v>
      </c>
      <c r="X196" s="9">
        <f t="shared" si="213"/>
        <v>-3253.5533333333333</v>
      </c>
      <c r="Y196" s="9">
        <f t="shared" si="213"/>
        <v>-3253.5533333333333</v>
      </c>
      <c r="Z196" s="9">
        <f t="shared" si="213"/>
        <v>-3253.5533333333333</v>
      </c>
      <c r="AA196" s="9">
        <f t="shared" si="213"/>
        <v>-3406.6533333333336</v>
      </c>
      <c r="AB196" s="14">
        <f t="shared" si="213"/>
        <v>-38124.04</v>
      </c>
      <c r="AC196" s="9">
        <f t="shared" si="213"/>
        <v>0</v>
      </c>
    </row>
    <row r="197" spans="2:29" hidden="1">
      <c r="B197" t="s">
        <v>91</v>
      </c>
      <c r="C197" s="9">
        <f>-C74-C159-C166-C167-C172-C173-C174-C189</f>
        <v>-801.08333333333337</v>
      </c>
      <c r="D197" s="9">
        <f t="shared" ref="D197:AB197" si="214">-D74-D159-D166-D167-D172-D173-D174-D189</f>
        <v>-801.08333333333337</v>
      </c>
      <c r="E197" s="9">
        <f t="shared" si="214"/>
        <v>-801.08333333333337</v>
      </c>
      <c r="F197" s="9">
        <f t="shared" si="214"/>
        <v>-801.08333333333337</v>
      </c>
      <c r="G197" s="9">
        <f t="shared" si="214"/>
        <v>-801.08333333333337</v>
      </c>
      <c r="H197" s="9">
        <f t="shared" si="214"/>
        <v>-801.08333333333337</v>
      </c>
      <c r="I197" s="9">
        <f t="shared" si="214"/>
        <v>-801.08333333333337</v>
      </c>
      <c r="J197" s="9">
        <f t="shared" si="214"/>
        <v>-801.08333333333337</v>
      </c>
      <c r="K197" s="9">
        <f t="shared" si="214"/>
        <v>-801.08333333333337</v>
      </c>
      <c r="L197" s="9">
        <f t="shared" si="214"/>
        <v>-801.08333333333337</v>
      </c>
      <c r="M197" s="9">
        <f t="shared" si="214"/>
        <v>-801.08333333333337</v>
      </c>
      <c r="N197" s="9">
        <f t="shared" si="214"/>
        <v>-801.08333333333337</v>
      </c>
      <c r="O197" s="9">
        <f t="shared" si="214"/>
        <v>-9613</v>
      </c>
      <c r="P197" s="9">
        <f t="shared" si="214"/>
        <v>-850.97666666666669</v>
      </c>
      <c r="Q197" s="9">
        <f t="shared" si="214"/>
        <v>-850.97666666666669</v>
      </c>
      <c r="R197" s="9">
        <f t="shared" si="214"/>
        <v>-850.97666666666669</v>
      </c>
      <c r="S197" s="9">
        <f t="shared" si="214"/>
        <v>-850.97666666666669</v>
      </c>
      <c r="T197" s="9">
        <f t="shared" si="214"/>
        <v>-850.97666666666669</v>
      </c>
      <c r="U197" s="9">
        <f t="shared" si="214"/>
        <v>-850.97666666666669</v>
      </c>
      <c r="V197" s="9">
        <f t="shared" si="214"/>
        <v>-850.97666666666669</v>
      </c>
      <c r="W197" s="9">
        <f t="shared" si="214"/>
        <v>-850.97666666666669</v>
      </c>
      <c r="X197" s="9">
        <f t="shared" si="214"/>
        <v>-850.97666666666669</v>
      </c>
      <c r="Y197" s="9">
        <f t="shared" si="214"/>
        <v>-850.97666666666669</v>
      </c>
      <c r="Z197" s="9">
        <f t="shared" si="214"/>
        <v>-850.97666666666669</v>
      </c>
      <c r="AA197" s="9">
        <f t="shared" si="214"/>
        <v>-850.97666666666669</v>
      </c>
      <c r="AB197" s="14">
        <f t="shared" si="214"/>
        <v>-10211.719999999999</v>
      </c>
    </row>
    <row r="198" spans="2:29" hidden="1">
      <c r="B198" t="s">
        <v>92</v>
      </c>
      <c r="C198" s="15">
        <f>(C196+C197)*0.01</f>
        <v>-24.414166666666667</v>
      </c>
      <c r="D198" s="15">
        <f t="shared" ref="D198:AC198" si="215">(D196+D197)*0.01</f>
        <v>-25.834166666666665</v>
      </c>
      <c r="E198" s="15">
        <f t="shared" si="215"/>
        <v>-25.834166666666665</v>
      </c>
      <c r="F198" s="15">
        <f t="shared" si="215"/>
        <v>-27.254166666666666</v>
      </c>
      <c r="G198" s="15">
        <f t="shared" si="215"/>
        <v>-28.674166666666665</v>
      </c>
      <c r="H198" s="15">
        <f t="shared" si="215"/>
        <v>-30.094166666666666</v>
      </c>
      <c r="I198" s="15">
        <f t="shared" si="215"/>
        <v>-30.094166666666666</v>
      </c>
      <c r="J198" s="15">
        <f t="shared" si="215"/>
        <v>-31.514166666666664</v>
      </c>
      <c r="K198" s="15">
        <f t="shared" si="215"/>
        <v>-32.934166666666663</v>
      </c>
      <c r="L198" s="15">
        <f t="shared" si="215"/>
        <v>-34.354166666666664</v>
      </c>
      <c r="M198" s="15">
        <f t="shared" si="215"/>
        <v>-34.354166666666664</v>
      </c>
      <c r="N198" s="15">
        <f t="shared" si="215"/>
        <v>-35.774166666666666</v>
      </c>
      <c r="O198" s="15">
        <f t="shared" si="215"/>
        <v>-361.13</v>
      </c>
      <c r="P198" s="15">
        <f t="shared" si="215"/>
        <v>-37.9833</v>
      </c>
      <c r="Q198" s="15">
        <f t="shared" si="215"/>
        <v>-39.514300000000006</v>
      </c>
      <c r="R198" s="15">
        <f t="shared" si="215"/>
        <v>-39.514300000000006</v>
      </c>
      <c r="S198" s="15">
        <f t="shared" si="215"/>
        <v>-39.514300000000006</v>
      </c>
      <c r="T198" s="15">
        <f t="shared" si="215"/>
        <v>-39.514300000000006</v>
      </c>
      <c r="U198" s="15">
        <f t="shared" si="215"/>
        <v>-39.514300000000006</v>
      </c>
      <c r="V198" s="15">
        <f t="shared" si="215"/>
        <v>-41.045299999999997</v>
      </c>
      <c r="W198" s="15">
        <f t="shared" si="215"/>
        <v>-41.045299999999997</v>
      </c>
      <c r="X198" s="15">
        <f t="shared" si="215"/>
        <v>-41.045299999999997</v>
      </c>
      <c r="Y198" s="15">
        <f t="shared" si="215"/>
        <v>-41.045299999999997</v>
      </c>
      <c r="Z198" s="15">
        <f t="shared" si="215"/>
        <v>-41.045299999999997</v>
      </c>
      <c r="AA198" s="15">
        <f t="shared" si="215"/>
        <v>-42.576300000000003</v>
      </c>
      <c r="AB198" s="15">
        <f t="shared" si="215"/>
        <v>-483.35760000000005</v>
      </c>
      <c r="AC198" s="15">
        <f t="shared" si="215"/>
        <v>0</v>
      </c>
    </row>
    <row r="199" spans="2:29" hidden="1">
      <c r="B199" t="s">
        <v>93</v>
      </c>
      <c r="C199" s="9">
        <f>SUM(C195:C198)</f>
        <v>-2282.1641666666665</v>
      </c>
      <c r="D199" s="9">
        <f t="shared" ref="D199:AB199" si="216">SUM(D195:D198)</f>
        <v>-2169.9108333333334</v>
      </c>
      <c r="E199" s="9">
        <f t="shared" si="216"/>
        <v>-1909.3290333333332</v>
      </c>
      <c r="F199" s="9">
        <f t="shared" si="216"/>
        <v>-1787.1640823333332</v>
      </c>
      <c r="G199" s="9">
        <f t="shared" si="216"/>
        <v>-1659.8994615583333</v>
      </c>
      <c r="H199" s="9">
        <f t="shared" si="216"/>
        <v>-1521.353296884366</v>
      </c>
      <c r="I199" s="9">
        <f t="shared" si="216"/>
        <v>-1225.3455227791519</v>
      </c>
      <c r="J199" s="9">
        <f t="shared" si="216"/>
        <v>-1058.0163652930635</v>
      </c>
      <c r="K199" s="9">
        <f t="shared" si="216"/>
        <v>-902.21999164221427</v>
      </c>
      <c r="L199" s="9">
        <f t="shared" si="216"/>
        <v>-747.94249780340533</v>
      </c>
      <c r="M199" s="9">
        <f t="shared" si="216"/>
        <v>-444.52565056402642</v>
      </c>
      <c r="N199" s="9">
        <f t="shared" si="216"/>
        <v>-278.69905099616057</v>
      </c>
      <c r="O199" s="14">
        <f t="shared" si="216"/>
        <v>-15986.569953187389</v>
      </c>
      <c r="P199" s="9">
        <f t="shared" si="216"/>
        <v>-370.29929332504923</v>
      </c>
      <c r="Q199" s="9">
        <f t="shared" si="216"/>
        <v>-391.02438994472499</v>
      </c>
      <c r="R199" s="9">
        <f t="shared" si="216"/>
        <v>-254.691328953555</v>
      </c>
      <c r="S199" s="9">
        <f t="shared" si="216"/>
        <v>-115.88683352708718</v>
      </c>
      <c r="T199" s="9">
        <f t="shared" si="216"/>
        <v>25.434186168046878</v>
      </c>
      <c r="U199" s="9">
        <f t="shared" si="216"/>
        <v>170.94949299546084</v>
      </c>
      <c r="V199" s="9">
        <f t="shared" si="216"/>
        <v>168.92035448567231</v>
      </c>
      <c r="W199" s="9">
        <f t="shared" si="216"/>
        <v>328.95421284594113</v>
      </c>
      <c r="X199" s="9">
        <f t="shared" si="216"/>
        <v>489.53746582153735</v>
      </c>
      <c r="Y199" s="9">
        <f t="shared" si="216"/>
        <v>644.14697738137829</v>
      </c>
      <c r="Z199" s="9">
        <f t="shared" si="216"/>
        <v>801.5614867879126</v>
      </c>
      <c r="AA199" s="9">
        <f t="shared" si="216"/>
        <v>807.20121172753852</v>
      </c>
      <c r="AB199" s="9">
        <f t="shared" si="216"/>
        <v>2304.8035424630771</v>
      </c>
    </row>
  </sheetData>
  <mergeCells count="7">
    <mergeCell ref="AD176:AD191"/>
    <mergeCell ref="AD169:AD174"/>
    <mergeCell ref="AD22:AD36"/>
    <mergeCell ref="AD54:AD58"/>
    <mergeCell ref="AD60:AD74"/>
    <mergeCell ref="AD108:AD122"/>
    <mergeCell ref="AD156:AD161"/>
  </mergeCells>
  <phoneticPr fontId="8" type="noConversion"/>
  <dataValidations count="1">
    <dataValidation type="list" allowBlank="1" showInputMessage="1" showErrorMessage="1" sqref="AF6 AF22:AF29 AF38 AF54 AF60 AF76 AF92 AF108 AF124 AF140 AF156:AF158 AF163 AF169:AF171 AF176:AF178" xr:uid="{A3E893C8-1B08-4A62-9CCE-2DD2BA09D047}">
      <formula1>#REF!</formula1>
    </dataValidation>
  </dataValidations>
  <pageMargins left="0.7" right="0.7" top="0.75" bottom="0.75" header="0.3" footer="0.3"/>
  <ignoredErrors>
    <ignoredError sqref="C15:N15 O15:AA15 O11:O14 O16:O20" formula="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1713B-76C5-4729-BE90-3E312ECB4332}">
  <sheetPr>
    <tabColor rgb="FFFF0000"/>
  </sheetPr>
  <dimension ref="B1:M28"/>
  <sheetViews>
    <sheetView showGridLines="0" zoomScaleNormal="100" workbookViewId="0">
      <selection activeCell="C9" sqref="C9"/>
    </sheetView>
  </sheetViews>
  <sheetFormatPr baseColWidth="10" defaultColWidth="8.83203125" defaultRowHeight="15"/>
  <cols>
    <col min="1" max="1" width="4.1640625" customWidth="1"/>
    <col min="2" max="2" width="41.33203125" customWidth="1"/>
    <col min="3" max="3" width="11.83203125" customWidth="1"/>
    <col min="4" max="4" width="11.33203125" customWidth="1"/>
    <col min="5" max="5" width="2.5" customWidth="1"/>
    <col min="6" max="6" width="11.83203125" customWidth="1"/>
    <col min="7" max="7" width="11.33203125" customWidth="1"/>
    <col min="8" max="8" width="2.5" customWidth="1"/>
    <col min="9" max="9" width="11.83203125" customWidth="1"/>
    <col min="10" max="10" width="11.33203125" customWidth="1"/>
    <col min="11" max="11" width="2.5" customWidth="1"/>
    <col min="12" max="12" width="12.6640625" customWidth="1"/>
  </cols>
  <sheetData>
    <row r="1" spans="2:13" ht="20" customHeight="1"/>
    <row r="2" spans="2:13" s="62" customFormat="1" ht="27" customHeight="1" thickBot="1">
      <c r="B2" s="238" t="s">
        <v>213</v>
      </c>
      <c r="C2" s="239"/>
      <c r="D2" s="239"/>
      <c r="E2" s="104"/>
      <c r="F2" s="239"/>
      <c r="G2" s="239"/>
      <c r="H2" s="104"/>
      <c r="I2" s="239"/>
      <c r="J2" s="239"/>
      <c r="L2" s="240"/>
    </row>
    <row r="3" spans="2:13" ht="20" customHeight="1">
      <c r="B3" s="243"/>
      <c r="C3" s="320" t="s">
        <v>20</v>
      </c>
      <c r="D3" s="320"/>
      <c r="F3" s="320" t="s">
        <v>21</v>
      </c>
      <c r="G3" s="320"/>
      <c r="I3" s="320" t="s">
        <v>22</v>
      </c>
      <c r="J3" s="320"/>
    </row>
    <row r="4" spans="2:13" ht="20" customHeight="1">
      <c r="B4" s="63"/>
      <c r="C4" s="63">
        <v>2026</v>
      </c>
      <c r="D4" s="63">
        <v>2027</v>
      </c>
      <c r="F4" s="63">
        <v>2026</v>
      </c>
      <c r="G4" s="63">
        <v>2027</v>
      </c>
      <c r="I4" s="63">
        <v>2026</v>
      </c>
      <c r="J4" s="63">
        <v>2027</v>
      </c>
    </row>
    <row r="5" spans="2:13" ht="20" customHeight="1">
      <c r="B5" s="37" t="s">
        <v>27</v>
      </c>
      <c r="C5" s="38">
        <f>F5+I5</f>
        <v>20487.56004681261</v>
      </c>
      <c r="D5" s="54">
        <f>G5+J5</f>
        <v>51123.921142463078</v>
      </c>
      <c r="F5" s="48">
        <f>Расчеты!O9</f>
        <v>4840.5368616106434</v>
      </c>
      <c r="G5" s="54">
        <f>Расчеты!AB9</f>
        <v>16907.573162411667</v>
      </c>
      <c r="I5" s="48">
        <f>Расчеты!O15</f>
        <v>15647.023185201966</v>
      </c>
      <c r="J5" s="54">
        <f>Расчеты!AB15</f>
        <v>34216.347980051411</v>
      </c>
      <c r="L5" s="13"/>
      <c r="M5" s="1"/>
    </row>
    <row r="6" spans="2:13" ht="20" customHeight="1">
      <c r="B6" s="39" t="s">
        <v>28</v>
      </c>
      <c r="C6" s="40">
        <f>F6+I6</f>
        <v>27500</v>
      </c>
      <c r="D6" s="55">
        <f>G6+J6</f>
        <v>39124.040000000008</v>
      </c>
      <c r="F6" s="49">
        <f>(Расчеты!O57+Расчеты!O63+Расчеты!O172+Расчеты!O179)</f>
        <v>10898</v>
      </c>
      <c r="G6" s="55">
        <f>(Расчеты!AB57+Расчеты!AB63+Расчеты!AB172+Расчеты!AB179)</f>
        <v>11414.240000000002</v>
      </c>
      <c r="I6" s="49">
        <f>(Расчеты!O58+Расчеты!O69+Расчеты!O173+Расчеты!O184)</f>
        <v>16602</v>
      </c>
      <c r="J6" s="55">
        <f>(Расчеты!AB58+Расчеты!AB69+Расчеты!AB173+Расчеты!AB184)</f>
        <v>27709.800000000003</v>
      </c>
      <c r="L6" s="13"/>
      <c r="M6" s="1"/>
    </row>
    <row r="7" spans="2:13" ht="20" customHeight="1">
      <c r="B7" s="39" t="s">
        <v>29</v>
      </c>
      <c r="C7" s="41">
        <f>C5-C6</f>
        <v>-7012.4399531873896</v>
      </c>
      <c r="D7" s="56">
        <f>D5-D6</f>
        <v>11999.881142463069</v>
      </c>
      <c r="F7" s="50">
        <f>F5-F6</f>
        <v>-6057.4631383893566</v>
      </c>
      <c r="G7" s="56">
        <f>G5-G6</f>
        <v>5493.3331624116654</v>
      </c>
      <c r="I7" s="50">
        <f>I5-I6</f>
        <v>-954.97681479803396</v>
      </c>
      <c r="J7" s="56">
        <f>J5-J6</f>
        <v>6506.5479800514076</v>
      </c>
      <c r="L7" s="13"/>
      <c r="M7" s="1"/>
    </row>
    <row r="8" spans="2:13" ht="20" customHeight="1">
      <c r="B8" s="39" t="s">
        <v>30</v>
      </c>
      <c r="C8" s="42">
        <f>C7/C5</f>
        <v>-0.34227794511227622</v>
      </c>
      <c r="D8" s="57">
        <f>D7/D5</f>
        <v>0.23472145473786973</v>
      </c>
      <c r="F8" s="51">
        <f>F7/F5</f>
        <v>-1.2514031628247517</v>
      </c>
      <c r="G8" s="57">
        <f>G7/G5</f>
        <v>0.32490370496365817</v>
      </c>
      <c r="I8" s="51">
        <f>I7/I5</f>
        <v>-6.1032491835328453E-2</v>
      </c>
      <c r="J8" s="57">
        <f>J7/J5</f>
        <v>0.19015904280155241</v>
      </c>
      <c r="L8" s="13"/>
      <c r="M8" s="1"/>
    </row>
    <row r="9" spans="2:13" ht="20" customHeight="1">
      <c r="B9" s="39" t="s">
        <v>31</v>
      </c>
      <c r="C9" s="41">
        <f>SUM(C10:C14)</f>
        <v>8974.1299999999992</v>
      </c>
      <c r="D9" s="56">
        <f>SUM(D10:D14)</f>
        <v>9695.0775999999987</v>
      </c>
      <c r="F9" s="50">
        <f>SUM(F10:F14)</f>
        <v>3744.98</v>
      </c>
      <c r="G9" s="56">
        <f>SUM(G10:G14)</f>
        <v>4004.6624000000002</v>
      </c>
      <c r="I9" s="50">
        <f>SUM(I10:I14)</f>
        <v>3802.02</v>
      </c>
      <c r="J9" s="56">
        <f>SUM(J10:J14)</f>
        <v>4167.6180000000004</v>
      </c>
      <c r="L9" s="13"/>
      <c r="M9" s="1"/>
    </row>
    <row r="10" spans="2:13" ht="20" customHeight="1">
      <c r="B10" s="43" t="s">
        <v>32</v>
      </c>
      <c r="C10" s="44">
        <f>Расчеты!O74+F10+I10</f>
        <v>648</v>
      </c>
      <c r="D10" s="58">
        <f>Расчеты!AB74+G10+J10</f>
        <v>697.92</v>
      </c>
      <c r="F10" s="52">
        <v>0</v>
      </c>
      <c r="G10" s="58">
        <v>0</v>
      </c>
      <c r="I10" s="52">
        <v>0</v>
      </c>
      <c r="J10" s="58">
        <v>0</v>
      </c>
      <c r="L10" s="13"/>
      <c r="M10" s="1"/>
    </row>
    <row r="11" spans="2:13" ht="20" customHeight="1">
      <c r="B11" s="43" t="s">
        <v>33</v>
      </c>
      <c r="C11" s="44">
        <f>Расчеты!O159+F11+I11</f>
        <v>675</v>
      </c>
      <c r="D11" s="58">
        <f>Расчеты!AB159+G11+J11</f>
        <v>717</v>
      </c>
      <c r="F11" s="52">
        <v>0</v>
      </c>
      <c r="G11" s="58">
        <v>0</v>
      </c>
      <c r="I11" s="52">
        <v>0</v>
      </c>
      <c r="J11" s="58">
        <v>0</v>
      </c>
      <c r="L11" s="13"/>
      <c r="M11" s="1"/>
    </row>
    <row r="12" spans="2:13" ht="20" customHeight="1">
      <c r="B12" s="43" t="s">
        <v>34</v>
      </c>
      <c r="C12" s="44">
        <f>F12+I12</f>
        <v>7200</v>
      </c>
      <c r="D12" s="58">
        <f>G12+J12</f>
        <v>7704</v>
      </c>
      <c r="F12" s="52">
        <f>Расчеты!O166</f>
        <v>3600</v>
      </c>
      <c r="G12" s="58">
        <f>Расчеты!AB166</f>
        <v>3852</v>
      </c>
      <c r="I12" s="52">
        <f>Расчеты!O167</f>
        <v>3600</v>
      </c>
      <c r="J12" s="58">
        <f>Расчеты!AB167</f>
        <v>3852</v>
      </c>
      <c r="L12" s="13"/>
      <c r="M12" s="1"/>
    </row>
    <row r="13" spans="2:13" ht="20" customHeight="1">
      <c r="B13" s="43" t="s">
        <v>185</v>
      </c>
      <c r="C13" s="44">
        <f>Расчеты!O174+Расчеты!O189+Бюджет!F13+Бюджет!I13</f>
        <v>90</v>
      </c>
      <c r="D13" s="58">
        <f>Расчеты!AB174+Бюджет!G13+Бюджет!J13+Расчеты!AB189</f>
        <v>92.800000000000011</v>
      </c>
      <c r="F13" s="52">
        <v>0</v>
      </c>
      <c r="G13" s="58">
        <v>0</v>
      </c>
      <c r="I13" s="52">
        <v>0</v>
      </c>
      <c r="J13" s="58">
        <v>0</v>
      </c>
      <c r="L13" s="13"/>
      <c r="M13" s="1"/>
    </row>
    <row r="14" spans="2:13" ht="20" customHeight="1">
      <c r="B14" s="43" t="s">
        <v>36</v>
      </c>
      <c r="C14" s="44">
        <f>(SUM(C10:C13)+C6)*0.01</f>
        <v>361.13</v>
      </c>
      <c r="D14" s="58">
        <f>(SUM(D10:D13)+D6)*0.01</f>
        <v>483.3576000000001</v>
      </c>
      <c r="F14" s="52">
        <f>(SUM(F10:F13)+F6)*0.01</f>
        <v>144.97999999999999</v>
      </c>
      <c r="G14" s="58">
        <f t="shared" ref="G14" si="0">(SUM(G10:G13)+G6)*0.01</f>
        <v>152.66240000000002</v>
      </c>
      <c r="I14" s="52">
        <f t="shared" ref="I14" si="1">(SUM(I10:I13)+I6)*0.01</f>
        <v>202.02</v>
      </c>
      <c r="J14" s="58">
        <f t="shared" ref="J14" si="2">(SUM(J10:J13)+J6)*0.01</f>
        <v>315.61800000000005</v>
      </c>
      <c r="L14" s="13"/>
      <c r="M14" s="1"/>
    </row>
    <row r="15" spans="2:13" ht="20" customHeight="1">
      <c r="B15" s="39" t="s">
        <v>37</v>
      </c>
      <c r="C15" s="41">
        <f>C7-C9</f>
        <v>-15986.569953187389</v>
      </c>
      <c r="D15" s="56">
        <f>D7-D9</f>
        <v>2304.8035424630707</v>
      </c>
      <c r="F15" s="50">
        <f>F7-F9</f>
        <v>-9802.443138389357</v>
      </c>
      <c r="G15" s="56">
        <f>G7-G9</f>
        <v>1488.6707624116652</v>
      </c>
      <c r="I15" s="50">
        <f>I7-I9</f>
        <v>-4756.9968147980344</v>
      </c>
      <c r="J15" s="56">
        <f>J7-J9</f>
        <v>2338.9299800514073</v>
      </c>
      <c r="L15" s="13"/>
      <c r="M15" s="1"/>
    </row>
    <row r="16" spans="2:13" ht="20" customHeight="1">
      <c r="B16" s="39" t="s">
        <v>38</v>
      </c>
      <c r="C16" s="42">
        <f>C15/C5</f>
        <v>-0.78030619149665548</v>
      </c>
      <c r="D16" s="57">
        <f>D15/D5</f>
        <v>4.5082683232384561E-2</v>
      </c>
      <c r="F16" s="51">
        <f>F15/F5</f>
        <v>-2.0250735442447771</v>
      </c>
      <c r="G16" s="57">
        <f>G15/G5</f>
        <v>8.8047571825460247E-2</v>
      </c>
      <c r="I16" s="51">
        <f>I15/I5</f>
        <v>-0.30401928587265864</v>
      </c>
      <c r="J16" s="57">
        <f>J15/J5</f>
        <v>6.8357090049909322E-2</v>
      </c>
      <c r="L16" s="13"/>
      <c r="M16" s="1"/>
    </row>
    <row r="17" spans="2:13" ht="20" customHeight="1">
      <c r="B17" s="45" t="s">
        <v>39</v>
      </c>
      <c r="C17" s="44">
        <f>IF(C15&gt;0, C15*25%, 0)</f>
        <v>0</v>
      </c>
      <c r="D17" s="58">
        <f>IF(D15&gt;0, D15*25%, 0)</f>
        <v>576.20088561576767</v>
      </c>
      <c r="F17" s="52">
        <v>0</v>
      </c>
      <c r="G17" s="58">
        <v>0</v>
      </c>
      <c r="I17" s="52">
        <v>0</v>
      </c>
      <c r="J17" s="58">
        <v>0</v>
      </c>
      <c r="L17" s="13"/>
      <c r="M17" s="1"/>
    </row>
    <row r="18" spans="2:13" ht="20" customHeight="1">
      <c r="B18" s="39" t="s">
        <v>40</v>
      </c>
      <c r="C18" s="41">
        <f>C15-C17</f>
        <v>-15986.569953187389</v>
      </c>
      <c r="D18" s="56">
        <f>D15-D17</f>
        <v>1728.602656847303</v>
      </c>
      <c r="F18" s="50">
        <f>F15-F17</f>
        <v>-9802.443138389357</v>
      </c>
      <c r="G18" s="56">
        <f>G15-G17</f>
        <v>1488.6707624116652</v>
      </c>
      <c r="I18" s="50">
        <f>I15-I17</f>
        <v>-4756.9968147980344</v>
      </c>
      <c r="J18" s="56">
        <f>J15-J17</f>
        <v>2338.9299800514073</v>
      </c>
      <c r="L18" s="13"/>
      <c r="M18" s="1"/>
    </row>
    <row r="19" spans="2:13" ht="20" customHeight="1">
      <c r="B19" s="46" t="s">
        <v>41</v>
      </c>
      <c r="C19" s="47">
        <f>C18/C5</f>
        <v>-0.78030619149665548</v>
      </c>
      <c r="D19" s="59">
        <f>D18/D5</f>
        <v>3.3812012424288419E-2</v>
      </c>
      <c r="F19" s="53">
        <f>F18/F5</f>
        <v>-2.0250735442447771</v>
      </c>
      <c r="G19" s="59">
        <f>G18/G5</f>
        <v>8.8047571825460247E-2</v>
      </c>
      <c r="I19" s="53">
        <f>I18/I5</f>
        <v>-0.30401928587265864</v>
      </c>
      <c r="J19" s="59">
        <f>J18/J5</f>
        <v>6.8357090049909322E-2</v>
      </c>
      <c r="L19" s="13"/>
      <c r="M19" s="1"/>
    </row>
    <row r="20" spans="2:13">
      <c r="B20" s="1"/>
    </row>
    <row r="21" spans="2:13">
      <c r="B21" s="1"/>
    </row>
    <row r="28" spans="2:13">
      <c r="C28" s="6"/>
      <c r="F28" s="5"/>
      <c r="I28" s="6"/>
    </row>
  </sheetData>
  <mergeCells count="3">
    <mergeCell ref="C3:D3"/>
    <mergeCell ref="F3:G3"/>
    <mergeCell ref="I3:J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13</vt:i4>
      </vt:variant>
    </vt:vector>
  </HeadingPairs>
  <TitlesOfParts>
    <vt:vector size="13" baseType="lpstr">
      <vt:lpstr>Последовательность расчётов</vt:lpstr>
      <vt:lpstr>Для презентации</vt:lpstr>
      <vt:lpstr>Факт--&gt;</vt:lpstr>
      <vt:lpstr>План-Факт</vt:lpstr>
      <vt:lpstr>Свод факта</vt:lpstr>
      <vt:lpstr>Выгрузка персонал</vt:lpstr>
      <vt:lpstr>Выгрузка оборудование</vt:lpstr>
      <vt:lpstr>Выгрузка лицензии</vt:lpstr>
      <vt:lpstr>Бюджет--&gt;</vt:lpstr>
      <vt:lpstr>Цели</vt:lpstr>
      <vt:lpstr>Аналитика</vt:lpstr>
      <vt:lpstr>Расчеты</vt:lpstr>
      <vt:lpstr>Бюджет</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Arch Bin</dc:creator>
  <cp:keywords/>
  <dc:description/>
  <cp:lastModifiedBy>Андрей Киселев</cp:lastModifiedBy>
  <cp:revision/>
  <dcterms:created xsi:type="dcterms:W3CDTF">2023-12-22T06:40:20Z</dcterms:created>
  <dcterms:modified xsi:type="dcterms:W3CDTF">2026-04-20T17:51:17Z</dcterms:modified>
  <cp:category/>
  <cp:contentStatus/>
</cp:coreProperties>
</file>